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70" windowWidth="14880" windowHeight="8520" firstSheet="1" activeTab="3"/>
  </bookViews>
  <sheets>
    <sheet name="Ünnep" sheetId="8" state="hidden" r:id="rId1"/>
    <sheet name="2020" sheetId="1" r:id="rId2"/>
    <sheet name="ÖSSZES" sheetId="3" r:id="rId3"/>
    <sheet name="A" sheetId="4" r:id="rId4"/>
    <sheet name="B" sheetId="2" r:id="rId5"/>
    <sheet name="C" sheetId="5" r:id="rId6"/>
    <sheet name="D" sheetId="6" r:id="rId7"/>
    <sheet name="N" sheetId="7" r:id="rId8"/>
  </sheets>
  <externalReferences>
    <externalReference r:id="rId9"/>
  </externalReferences>
  <calcPr calcId="145621"/>
</workbook>
</file>

<file path=xl/calcChain.xml><?xml version="1.0" encoding="utf-8"?>
<calcChain xmlns="http://schemas.openxmlformats.org/spreadsheetml/2006/main">
  <c r="B269" i="6" l="1"/>
  <c r="C269" i="6"/>
  <c r="D269" i="6"/>
  <c r="E269" i="6"/>
  <c r="F269" i="6"/>
  <c r="G269" i="6"/>
  <c r="H269" i="6"/>
  <c r="I269" i="6"/>
  <c r="J269" i="6"/>
  <c r="K269" i="6"/>
  <c r="L269" i="6"/>
  <c r="M269" i="6"/>
  <c r="N269" i="6"/>
  <c r="O269" i="6"/>
  <c r="P269" i="6"/>
  <c r="Q269" i="6"/>
  <c r="R269" i="6"/>
  <c r="S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B270" i="6"/>
  <c r="C270" i="6"/>
  <c r="D270" i="6"/>
  <c r="E270" i="6"/>
  <c r="F270" i="6"/>
  <c r="G270" i="6"/>
  <c r="H270" i="6"/>
  <c r="I270" i="6"/>
  <c r="J270" i="6"/>
  <c r="K270" i="6"/>
  <c r="L270" i="6"/>
  <c r="M270" i="6"/>
  <c r="N270" i="6"/>
  <c r="O270" i="6"/>
  <c r="P270" i="6"/>
  <c r="Q270" i="6"/>
  <c r="R270" i="6"/>
  <c r="S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B271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P271" i="6"/>
  <c r="Q271" i="6"/>
  <c r="R271" i="6"/>
  <c r="S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B272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P272" i="6"/>
  <c r="Q272" i="6"/>
  <c r="R272" i="6"/>
  <c r="S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B273" i="6"/>
  <c r="C273" i="6"/>
  <c r="D273" i="6"/>
  <c r="E273" i="6"/>
  <c r="F273" i="6"/>
  <c r="G273" i="6"/>
  <c r="H273" i="6"/>
  <c r="I273" i="6"/>
  <c r="J273" i="6"/>
  <c r="K273" i="6"/>
  <c r="L273" i="6"/>
  <c r="M273" i="6"/>
  <c r="N273" i="6"/>
  <c r="O273" i="6"/>
  <c r="P273" i="6"/>
  <c r="Q273" i="6"/>
  <c r="R273" i="6"/>
  <c r="S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B274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P274" i="6"/>
  <c r="Q274" i="6"/>
  <c r="R274" i="6"/>
  <c r="S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P268" i="6"/>
  <c r="Q268" i="6"/>
  <c r="R268" i="6"/>
  <c r="S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B268" i="6"/>
  <c r="B245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P245" i="6"/>
  <c r="Q245" i="6"/>
  <c r="R245" i="6"/>
  <c r="S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B246" i="6"/>
  <c r="C246" i="6"/>
  <c r="D246" i="6"/>
  <c r="E246" i="6"/>
  <c r="F246" i="6"/>
  <c r="G246" i="6"/>
  <c r="H246" i="6"/>
  <c r="I246" i="6"/>
  <c r="J246" i="6"/>
  <c r="K246" i="6"/>
  <c r="L246" i="6"/>
  <c r="M246" i="6"/>
  <c r="N246" i="6"/>
  <c r="O246" i="6"/>
  <c r="P246" i="6"/>
  <c r="Q246" i="6"/>
  <c r="R246" i="6"/>
  <c r="S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B247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P247" i="6"/>
  <c r="Q247" i="6"/>
  <c r="R247" i="6"/>
  <c r="S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B248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R248" i="6"/>
  <c r="S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B249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P249" i="6"/>
  <c r="Q249" i="6"/>
  <c r="R249" i="6"/>
  <c r="S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B250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P250" i="6"/>
  <c r="Q250" i="6"/>
  <c r="R250" i="6"/>
  <c r="S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P244" i="6"/>
  <c r="Q244" i="6"/>
  <c r="R244" i="6"/>
  <c r="S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B244" i="6"/>
  <c r="B221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P221" i="6"/>
  <c r="Q221" i="6"/>
  <c r="R221" i="6"/>
  <c r="S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B222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P222" i="6"/>
  <c r="Q222" i="6"/>
  <c r="R222" i="6"/>
  <c r="S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B223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P223" i="6"/>
  <c r="Q223" i="6"/>
  <c r="R223" i="6"/>
  <c r="S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B224" i="6"/>
  <c r="C224" i="6"/>
  <c r="D224" i="6"/>
  <c r="E224" i="6"/>
  <c r="F224" i="6"/>
  <c r="G224" i="6"/>
  <c r="H224" i="6"/>
  <c r="I224" i="6"/>
  <c r="J224" i="6"/>
  <c r="K224" i="6"/>
  <c r="L224" i="6"/>
  <c r="M224" i="6"/>
  <c r="N224" i="6"/>
  <c r="O224" i="6"/>
  <c r="P224" i="6"/>
  <c r="Q224" i="6"/>
  <c r="R224" i="6"/>
  <c r="S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B225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P225" i="6"/>
  <c r="Q225" i="6"/>
  <c r="R225" i="6"/>
  <c r="S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B226" i="6"/>
  <c r="C226" i="6"/>
  <c r="D226" i="6"/>
  <c r="E226" i="6"/>
  <c r="F226" i="6"/>
  <c r="G226" i="6"/>
  <c r="H226" i="6"/>
  <c r="I226" i="6"/>
  <c r="J226" i="6"/>
  <c r="K226" i="6"/>
  <c r="L226" i="6"/>
  <c r="M226" i="6"/>
  <c r="N226" i="6"/>
  <c r="O226" i="6"/>
  <c r="P226" i="6"/>
  <c r="Q226" i="6"/>
  <c r="R226" i="6"/>
  <c r="S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P220" i="6"/>
  <c r="Q220" i="6"/>
  <c r="R220" i="6"/>
  <c r="S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B220" i="6"/>
  <c r="B197" i="6"/>
  <c r="C197" i="6"/>
  <c r="D197" i="6"/>
  <c r="E197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R197" i="6"/>
  <c r="S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B198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P198" i="6"/>
  <c r="Q198" i="6"/>
  <c r="R198" i="6"/>
  <c r="S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B199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P199" i="6"/>
  <c r="Q199" i="6"/>
  <c r="R199" i="6"/>
  <c r="S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B200" i="6"/>
  <c r="C200" i="6"/>
  <c r="D200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S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B201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R201" i="6"/>
  <c r="S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B202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R202" i="6"/>
  <c r="S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R196" i="6"/>
  <c r="S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B196" i="6"/>
  <c r="B173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B174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B175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B176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B177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B178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B172" i="6"/>
  <c r="B149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B150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B154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B14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R29" i="6"/>
  <c r="S29" i="6"/>
  <c r="T29" i="6"/>
  <c r="U29" i="6"/>
  <c r="V29" i="6"/>
  <c r="W29" i="6"/>
  <c r="X29" i="6"/>
  <c r="Y29" i="6"/>
  <c r="Z29" i="6"/>
  <c r="AA29" i="6"/>
  <c r="AB29" i="6"/>
  <c r="AC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AA30" i="6"/>
  <c r="AB30" i="6"/>
  <c r="AC30" i="6"/>
  <c r="AD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T32" i="6"/>
  <c r="U32" i="6"/>
  <c r="V32" i="6"/>
  <c r="W32" i="6"/>
  <c r="X32" i="6"/>
  <c r="Y32" i="6"/>
  <c r="Z32" i="6"/>
  <c r="AA32" i="6"/>
  <c r="AB32" i="6"/>
  <c r="AC32" i="6"/>
  <c r="AD32" i="6"/>
  <c r="B33" i="6"/>
  <c r="C33" i="6"/>
  <c r="D33" i="6"/>
  <c r="E33" i="6"/>
  <c r="F33" i="6"/>
  <c r="G33" i="6"/>
  <c r="H33" i="6"/>
  <c r="I33" i="6"/>
  <c r="J33" i="6"/>
  <c r="K33" i="6"/>
  <c r="L33" i="6"/>
  <c r="M33" i="6"/>
  <c r="O33" i="6"/>
  <c r="P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B34" i="6"/>
  <c r="C34" i="6"/>
  <c r="D34" i="6"/>
  <c r="E34" i="6"/>
  <c r="F34" i="6"/>
  <c r="G34" i="6"/>
  <c r="H34" i="6"/>
  <c r="K34" i="6"/>
  <c r="L34" i="6"/>
  <c r="M34" i="6"/>
  <c r="N34" i="6"/>
  <c r="O34" i="6"/>
  <c r="P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C28" i="6"/>
  <c r="D28" i="6"/>
  <c r="E28" i="6"/>
  <c r="F28" i="6"/>
  <c r="G28" i="6"/>
  <c r="H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B28" i="6"/>
  <c r="B125" i="6" l="1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B126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B127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B128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B129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B130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B124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B100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B76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B53" i="6"/>
  <c r="B54" i="6"/>
  <c r="B55" i="6"/>
  <c r="B56" i="6"/>
  <c r="B57" i="6"/>
  <c r="B58" i="6"/>
  <c r="B52" i="6"/>
  <c r="C4" i="6" l="1"/>
  <c r="D4" i="6"/>
  <c r="E4" i="6"/>
  <c r="F4" i="6"/>
  <c r="G4" i="6"/>
  <c r="H4" i="6"/>
  <c r="I4" i="6"/>
  <c r="J4" i="6"/>
  <c r="K4" i="6"/>
  <c r="L4" i="6"/>
  <c r="M4" i="6"/>
  <c r="N4" i="6"/>
  <c r="O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V11" i="6"/>
  <c r="W11" i="6"/>
  <c r="X11" i="6"/>
  <c r="Y11" i="6"/>
  <c r="Z11" i="6"/>
  <c r="AA11" i="6"/>
  <c r="AB11" i="6"/>
  <c r="AC11" i="6"/>
  <c r="AD11" i="6"/>
  <c r="AE11" i="6"/>
  <c r="AF11" i="6"/>
  <c r="B5" i="6"/>
  <c r="B6" i="6"/>
  <c r="B7" i="6"/>
  <c r="B8" i="6"/>
  <c r="B9" i="6"/>
  <c r="B10" i="6"/>
  <c r="B11" i="6"/>
  <c r="B4" i="6"/>
  <c r="A11" i="7" l="1"/>
  <c r="AD26" i="7"/>
  <c r="AD26" i="6"/>
  <c r="AD27" i="6"/>
  <c r="AD26" i="5"/>
  <c r="AD27" i="5"/>
  <c r="AD26" i="2"/>
  <c r="AD27" i="2"/>
  <c r="AD26" i="4"/>
  <c r="AD27" i="4"/>
  <c r="AI269" i="2" l="1"/>
  <c r="Q27" i="3" s="1"/>
  <c r="AI270" i="2"/>
  <c r="Q28" i="3" s="1"/>
  <c r="AI271" i="2"/>
  <c r="Q29" i="3" s="1"/>
  <c r="AI272" i="2"/>
  <c r="Q30" i="3" s="1"/>
  <c r="AI273" i="2"/>
  <c r="Q31" i="3" s="1"/>
  <c r="AI274" i="2"/>
  <c r="Q32" i="3" s="1"/>
  <c r="AI275" i="2"/>
  <c r="Q33" i="3" s="1"/>
  <c r="AI276" i="2"/>
  <c r="Q34" i="3" s="1"/>
  <c r="AI277" i="2"/>
  <c r="Q35" i="3" s="1"/>
  <c r="AI278" i="2"/>
  <c r="Q36" i="3" s="1"/>
  <c r="AI279" i="2"/>
  <c r="Q37" i="3" s="1"/>
  <c r="AI280" i="2"/>
  <c r="Q38" i="3" s="1"/>
  <c r="AI281" i="2"/>
  <c r="Q39" i="3" s="1"/>
  <c r="AI282" i="2"/>
  <c r="Q40" i="3" s="1"/>
  <c r="AI283" i="2"/>
  <c r="Q41" i="3" s="1"/>
  <c r="AI284" i="2"/>
  <c r="Q42" i="3" s="1"/>
  <c r="AI285" i="2"/>
  <c r="Q43" i="3" s="1"/>
  <c r="AI286" i="2"/>
  <c r="Q44" i="3" s="1"/>
  <c r="AI287" i="2"/>
  <c r="Q45" i="3" s="1"/>
  <c r="AI269" i="5"/>
  <c r="Q50" i="3" s="1"/>
  <c r="AI270" i="5"/>
  <c r="Q51" i="3" s="1"/>
  <c r="AI271" i="5"/>
  <c r="Q52" i="3" s="1"/>
  <c r="AI272" i="5"/>
  <c r="Q53" i="3" s="1"/>
  <c r="AI273" i="5"/>
  <c r="Q54" i="3" s="1"/>
  <c r="AI274" i="5"/>
  <c r="Q55" i="3" s="1"/>
  <c r="AI275" i="5"/>
  <c r="Q56" i="3" s="1"/>
  <c r="AI276" i="5"/>
  <c r="Q57" i="3" s="1"/>
  <c r="AI277" i="5"/>
  <c r="Q58" i="3" s="1"/>
  <c r="AI278" i="5"/>
  <c r="Q59" i="3" s="1"/>
  <c r="AI279" i="5"/>
  <c r="Q60" i="3" s="1"/>
  <c r="AI280" i="5"/>
  <c r="Q61" i="3" s="1"/>
  <c r="AI281" i="5"/>
  <c r="Q62" i="3" s="1"/>
  <c r="AI282" i="5"/>
  <c r="Q63" i="3" s="1"/>
  <c r="AI283" i="5"/>
  <c r="Q64" i="3" s="1"/>
  <c r="AI284" i="5"/>
  <c r="Q65" i="3" s="1"/>
  <c r="AI285" i="5"/>
  <c r="Q66" i="3" s="1"/>
  <c r="AI286" i="5"/>
  <c r="Q67" i="3" s="1"/>
  <c r="AI287" i="5"/>
  <c r="Q68" i="3" s="1"/>
  <c r="AI269" i="6"/>
  <c r="Q73" i="3" s="1"/>
  <c r="AI270" i="6"/>
  <c r="Q74" i="3" s="1"/>
  <c r="AI271" i="6"/>
  <c r="Q75" i="3" s="1"/>
  <c r="AI272" i="6"/>
  <c r="Q76" i="3" s="1"/>
  <c r="AI273" i="6"/>
  <c r="Q77" i="3" s="1"/>
  <c r="AI274" i="6"/>
  <c r="Q78" i="3" s="1"/>
  <c r="AI275" i="6"/>
  <c r="Q79" i="3" s="1"/>
  <c r="AI276" i="6"/>
  <c r="Q80" i="3" s="1"/>
  <c r="AI277" i="6"/>
  <c r="Q81" i="3" s="1"/>
  <c r="AI278" i="6"/>
  <c r="Q82" i="3" s="1"/>
  <c r="AI279" i="6"/>
  <c r="Q83" i="3" s="1"/>
  <c r="AI280" i="6"/>
  <c r="Q84" i="3" s="1"/>
  <c r="AI281" i="6"/>
  <c r="Q85" i="3" s="1"/>
  <c r="AI282" i="6"/>
  <c r="Q86" i="3" s="1"/>
  <c r="AI283" i="6"/>
  <c r="Q87" i="3" s="1"/>
  <c r="AI284" i="6"/>
  <c r="Q88" i="3" s="1"/>
  <c r="AI285" i="6"/>
  <c r="Q89" i="3" s="1"/>
  <c r="AI286" i="6"/>
  <c r="Q90" i="3" s="1"/>
  <c r="AI287" i="6"/>
  <c r="Q91" i="3" s="1"/>
  <c r="AI269" i="7"/>
  <c r="Q96" i="3" s="1"/>
  <c r="AI270" i="7"/>
  <c r="Q97" i="3" s="1"/>
  <c r="AI271" i="7"/>
  <c r="Q98" i="3" s="1"/>
  <c r="AI272" i="7"/>
  <c r="Q99" i="3" s="1"/>
  <c r="AI273" i="7"/>
  <c r="Q100" i="3" s="1"/>
  <c r="AI274" i="7"/>
  <c r="Q101" i="3" s="1"/>
  <c r="AI275" i="7"/>
  <c r="Q102" i="3" s="1"/>
  <c r="AI276" i="7"/>
  <c r="Q103" i="3" s="1"/>
  <c r="AI277" i="7"/>
  <c r="Q104" i="3" s="1"/>
  <c r="AI278" i="7"/>
  <c r="Q105" i="3" s="1"/>
  <c r="AI279" i="7"/>
  <c r="Q106" i="3" s="1"/>
  <c r="AI280" i="7"/>
  <c r="Q107" i="3" s="1"/>
  <c r="AI281" i="7"/>
  <c r="Q108" i="3" s="1"/>
  <c r="AI282" i="7"/>
  <c r="Q109" i="3" s="1"/>
  <c r="AI283" i="7"/>
  <c r="Q110" i="3" s="1"/>
  <c r="AI284" i="7"/>
  <c r="Q111" i="3" s="1"/>
  <c r="AI285" i="7"/>
  <c r="Q112" i="3" s="1"/>
  <c r="AI286" i="7"/>
  <c r="Q113" i="3" s="1"/>
  <c r="AI287" i="7"/>
  <c r="Q114" i="3" s="1"/>
  <c r="AI269" i="4"/>
  <c r="Q4" i="3" s="1"/>
  <c r="AI270" i="4"/>
  <c r="Q5" i="3" s="1"/>
  <c r="AI271" i="4"/>
  <c r="Q6" i="3" s="1"/>
  <c r="AI272" i="4"/>
  <c r="AI273" i="4"/>
  <c r="Q8" i="3" s="1"/>
  <c r="AI274" i="4"/>
  <c r="Q9" i="3" s="1"/>
  <c r="AI275" i="4"/>
  <c r="Q10" i="3" s="1"/>
  <c r="AI276" i="4"/>
  <c r="Q11" i="3" s="1"/>
  <c r="AI277" i="4"/>
  <c r="Q12" i="3" s="1"/>
  <c r="AI278" i="4"/>
  <c r="Q13" i="3" s="1"/>
  <c r="AI279" i="4"/>
  <c r="Q14" i="3" s="1"/>
  <c r="AI280" i="4"/>
  <c r="Q15" i="3" s="1"/>
  <c r="AI281" i="4"/>
  <c r="Q16" i="3" s="1"/>
  <c r="AI282" i="4"/>
  <c r="Q17" i="3" s="1"/>
  <c r="AI283" i="4"/>
  <c r="Q18" i="3" s="1"/>
  <c r="AI284" i="4"/>
  <c r="Q19" i="3" s="1"/>
  <c r="AI285" i="4"/>
  <c r="Q20" i="3" s="1"/>
  <c r="AI286" i="4"/>
  <c r="Q21" i="3" s="1"/>
  <c r="AI287" i="4"/>
  <c r="Q22" i="3" s="1"/>
  <c r="AI245" i="2"/>
  <c r="P27" i="3" s="1"/>
  <c r="AI246" i="2"/>
  <c r="P28" i="3" s="1"/>
  <c r="AI247" i="2"/>
  <c r="P29" i="3" s="1"/>
  <c r="AI248" i="2"/>
  <c r="P30" i="3" s="1"/>
  <c r="AI249" i="2"/>
  <c r="P31" i="3" s="1"/>
  <c r="AI250" i="2"/>
  <c r="P32" i="3" s="1"/>
  <c r="AI251" i="2"/>
  <c r="P33" i="3" s="1"/>
  <c r="AI252" i="2"/>
  <c r="P34" i="3" s="1"/>
  <c r="AI253" i="2"/>
  <c r="P35" i="3" s="1"/>
  <c r="AI254" i="2"/>
  <c r="AI255" i="2"/>
  <c r="P37" i="3" s="1"/>
  <c r="AI256" i="2"/>
  <c r="P38" i="3" s="1"/>
  <c r="AI257" i="2"/>
  <c r="P39" i="3" s="1"/>
  <c r="AI258" i="2"/>
  <c r="P40" i="3" s="1"/>
  <c r="AI259" i="2"/>
  <c r="P41" i="3" s="1"/>
  <c r="AI260" i="2"/>
  <c r="P42" i="3" s="1"/>
  <c r="AI261" i="2"/>
  <c r="P43" i="3" s="1"/>
  <c r="AI262" i="2"/>
  <c r="P44" i="3" s="1"/>
  <c r="AI263" i="2"/>
  <c r="P45" i="3" s="1"/>
  <c r="AI245" i="5"/>
  <c r="P50" i="3" s="1"/>
  <c r="AI246" i="5"/>
  <c r="P51" i="3" s="1"/>
  <c r="AI247" i="5"/>
  <c r="P52" i="3" s="1"/>
  <c r="AI248" i="5"/>
  <c r="P53" i="3" s="1"/>
  <c r="AI249" i="5"/>
  <c r="P54" i="3" s="1"/>
  <c r="AI250" i="5"/>
  <c r="P55" i="3" s="1"/>
  <c r="AI251" i="5"/>
  <c r="P56" i="3" s="1"/>
  <c r="AI252" i="5"/>
  <c r="P57" i="3" s="1"/>
  <c r="AI253" i="5"/>
  <c r="P58" i="3" s="1"/>
  <c r="AI254" i="5"/>
  <c r="P59" i="3" s="1"/>
  <c r="AI255" i="5"/>
  <c r="P60" i="3" s="1"/>
  <c r="AI256" i="5"/>
  <c r="P61" i="3" s="1"/>
  <c r="AI257" i="5"/>
  <c r="P62" i="3" s="1"/>
  <c r="AI258" i="5"/>
  <c r="P63" i="3" s="1"/>
  <c r="AI259" i="5"/>
  <c r="P64" i="3" s="1"/>
  <c r="AI260" i="5"/>
  <c r="P65" i="3" s="1"/>
  <c r="AI261" i="5"/>
  <c r="P66" i="3" s="1"/>
  <c r="AI262" i="5"/>
  <c r="P67" i="3" s="1"/>
  <c r="AI263" i="5"/>
  <c r="P68" i="3" s="1"/>
  <c r="AI245" i="6"/>
  <c r="P73" i="3" s="1"/>
  <c r="AI246" i="6"/>
  <c r="P74" i="3" s="1"/>
  <c r="AI247" i="6"/>
  <c r="P75" i="3" s="1"/>
  <c r="AI248" i="6"/>
  <c r="P76" i="3" s="1"/>
  <c r="AI249" i="6"/>
  <c r="P77" i="3" s="1"/>
  <c r="AI250" i="6"/>
  <c r="P78" i="3" s="1"/>
  <c r="AI251" i="6"/>
  <c r="P79" i="3" s="1"/>
  <c r="AI252" i="6"/>
  <c r="P80" i="3" s="1"/>
  <c r="AI253" i="6"/>
  <c r="P81" i="3" s="1"/>
  <c r="AI254" i="6"/>
  <c r="P82" i="3" s="1"/>
  <c r="AI255" i="6"/>
  <c r="P83" i="3" s="1"/>
  <c r="AI256" i="6"/>
  <c r="AI257" i="6"/>
  <c r="P85" i="3" s="1"/>
  <c r="AI258" i="6"/>
  <c r="P86" i="3" s="1"/>
  <c r="AI259" i="6"/>
  <c r="P87" i="3" s="1"/>
  <c r="AI260" i="6"/>
  <c r="AI261" i="6"/>
  <c r="P89" i="3" s="1"/>
  <c r="AI262" i="6"/>
  <c r="P90" i="3" s="1"/>
  <c r="AI263" i="6"/>
  <c r="P91" i="3" s="1"/>
  <c r="AI245" i="7"/>
  <c r="AI246" i="7"/>
  <c r="P97" i="3" s="1"/>
  <c r="AI247" i="7"/>
  <c r="P98" i="3" s="1"/>
  <c r="AI248" i="7"/>
  <c r="P99" i="3" s="1"/>
  <c r="AI249" i="7"/>
  <c r="P100" i="3" s="1"/>
  <c r="AI250" i="7"/>
  <c r="P101" i="3" s="1"/>
  <c r="AI251" i="7"/>
  <c r="P102" i="3" s="1"/>
  <c r="AI252" i="7"/>
  <c r="P103" i="3" s="1"/>
  <c r="AI253" i="7"/>
  <c r="P104" i="3" s="1"/>
  <c r="AI254" i="7"/>
  <c r="P105" i="3" s="1"/>
  <c r="AI255" i="7"/>
  <c r="P106" i="3" s="1"/>
  <c r="AI256" i="7"/>
  <c r="P107" i="3" s="1"/>
  <c r="AI257" i="7"/>
  <c r="P108" i="3" s="1"/>
  <c r="AI258" i="7"/>
  <c r="P109" i="3" s="1"/>
  <c r="AI259" i="7"/>
  <c r="P110" i="3" s="1"/>
  <c r="AI260" i="7"/>
  <c r="P111" i="3" s="1"/>
  <c r="AI261" i="7"/>
  <c r="P112" i="3" s="1"/>
  <c r="AI262" i="7"/>
  <c r="P113" i="3" s="1"/>
  <c r="AI263" i="7"/>
  <c r="P114" i="3" s="1"/>
  <c r="AI245" i="4"/>
  <c r="P4" i="3" s="1"/>
  <c r="AI246" i="4"/>
  <c r="P5" i="3" s="1"/>
  <c r="AI247" i="4"/>
  <c r="P6" i="3" s="1"/>
  <c r="AI248" i="4"/>
  <c r="P7" i="3" s="1"/>
  <c r="AI249" i="4"/>
  <c r="P8" i="3" s="1"/>
  <c r="AI250" i="4"/>
  <c r="P9" i="3" s="1"/>
  <c r="AI251" i="4"/>
  <c r="AI252" i="4"/>
  <c r="P11" i="3" s="1"/>
  <c r="AI253" i="4"/>
  <c r="P12" i="3" s="1"/>
  <c r="AI254" i="4"/>
  <c r="P13" i="3" s="1"/>
  <c r="AI255" i="4"/>
  <c r="P14" i="3" s="1"/>
  <c r="AI256" i="4"/>
  <c r="P15" i="3" s="1"/>
  <c r="AI257" i="4"/>
  <c r="P16" i="3" s="1"/>
  <c r="AI258" i="4"/>
  <c r="P17" i="3" s="1"/>
  <c r="AI259" i="4"/>
  <c r="P18" i="3" s="1"/>
  <c r="AI260" i="4"/>
  <c r="P19" i="3" s="1"/>
  <c r="AI261" i="4"/>
  <c r="P20" i="3" s="1"/>
  <c r="AI262" i="4"/>
  <c r="P21" i="3" s="1"/>
  <c r="AI263" i="4"/>
  <c r="P22" i="3" s="1"/>
  <c r="AI221" i="2"/>
  <c r="O27" i="3" s="1"/>
  <c r="AI222" i="2"/>
  <c r="O28" i="3" s="1"/>
  <c r="AI223" i="2"/>
  <c r="O29" i="3" s="1"/>
  <c r="AI224" i="2"/>
  <c r="O30" i="3" s="1"/>
  <c r="AI225" i="2"/>
  <c r="O31" i="3" s="1"/>
  <c r="AI226" i="2"/>
  <c r="O32" i="3" s="1"/>
  <c r="AI227" i="2"/>
  <c r="O33" i="3" s="1"/>
  <c r="AI228" i="2"/>
  <c r="O34" i="3" s="1"/>
  <c r="AI229" i="2"/>
  <c r="O35" i="3" s="1"/>
  <c r="AI230" i="2"/>
  <c r="O36" i="3" s="1"/>
  <c r="AI231" i="2"/>
  <c r="O37" i="3" s="1"/>
  <c r="AI232" i="2"/>
  <c r="O38" i="3" s="1"/>
  <c r="AI233" i="2"/>
  <c r="O39" i="3" s="1"/>
  <c r="AI234" i="2"/>
  <c r="O40" i="3" s="1"/>
  <c r="AI235" i="2"/>
  <c r="O41" i="3" s="1"/>
  <c r="AI236" i="2"/>
  <c r="O42" i="3" s="1"/>
  <c r="AI237" i="2"/>
  <c r="O43" i="3" s="1"/>
  <c r="AI238" i="2"/>
  <c r="O44" i="3" s="1"/>
  <c r="AI239" i="2"/>
  <c r="O45" i="3" s="1"/>
  <c r="AI221" i="5"/>
  <c r="O50" i="3" s="1"/>
  <c r="AI222" i="5"/>
  <c r="O51" i="3" s="1"/>
  <c r="AI223" i="5"/>
  <c r="O52" i="3" s="1"/>
  <c r="AI224" i="5"/>
  <c r="O53" i="3" s="1"/>
  <c r="AI225" i="5"/>
  <c r="O54" i="3" s="1"/>
  <c r="AI226" i="5"/>
  <c r="O55" i="3" s="1"/>
  <c r="AI227" i="5"/>
  <c r="O56" i="3" s="1"/>
  <c r="AI228" i="5"/>
  <c r="O57" i="3" s="1"/>
  <c r="AI229" i="5"/>
  <c r="O58" i="3" s="1"/>
  <c r="AI230" i="5"/>
  <c r="O59" i="3" s="1"/>
  <c r="AI231" i="5"/>
  <c r="O60" i="3" s="1"/>
  <c r="AI232" i="5"/>
  <c r="O61" i="3" s="1"/>
  <c r="AI233" i="5"/>
  <c r="O62" i="3" s="1"/>
  <c r="AI234" i="5"/>
  <c r="O63" i="3" s="1"/>
  <c r="AI235" i="5"/>
  <c r="O64" i="3" s="1"/>
  <c r="AI236" i="5"/>
  <c r="O65" i="3" s="1"/>
  <c r="AI237" i="5"/>
  <c r="O66" i="3" s="1"/>
  <c r="AI238" i="5"/>
  <c r="O67" i="3" s="1"/>
  <c r="AI239" i="5"/>
  <c r="O68" i="3" s="1"/>
  <c r="AI221" i="6"/>
  <c r="O73" i="3" s="1"/>
  <c r="AI222" i="6"/>
  <c r="O74" i="3" s="1"/>
  <c r="AI223" i="6"/>
  <c r="O75" i="3" s="1"/>
  <c r="AI224" i="6"/>
  <c r="O76" i="3" s="1"/>
  <c r="AI225" i="6"/>
  <c r="O77" i="3" s="1"/>
  <c r="AI226" i="6"/>
  <c r="O78" i="3" s="1"/>
  <c r="AI227" i="6"/>
  <c r="O79" i="3" s="1"/>
  <c r="AI228" i="6"/>
  <c r="O80" i="3" s="1"/>
  <c r="AI229" i="6"/>
  <c r="O81" i="3" s="1"/>
  <c r="AI230" i="6"/>
  <c r="O82" i="3" s="1"/>
  <c r="AI231" i="6"/>
  <c r="O83" i="3" s="1"/>
  <c r="AI232" i="6"/>
  <c r="O84" i="3" s="1"/>
  <c r="AI233" i="6"/>
  <c r="O85" i="3" s="1"/>
  <c r="AI234" i="6"/>
  <c r="O86" i="3" s="1"/>
  <c r="AI235" i="6"/>
  <c r="O87" i="3" s="1"/>
  <c r="AI236" i="6"/>
  <c r="O88" i="3" s="1"/>
  <c r="AI237" i="6"/>
  <c r="O89" i="3" s="1"/>
  <c r="AI238" i="6"/>
  <c r="O90" i="3" s="1"/>
  <c r="AI239" i="6"/>
  <c r="O91" i="3" s="1"/>
  <c r="AI221" i="7"/>
  <c r="O96" i="3" s="1"/>
  <c r="AI222" i="7"/>
  <c r="O97" i="3" s="1"/>
  <c r="AI223" i="7"/>
  <c r="O98" i="3" s="1"/>
  <c r="AI224" i="7"/>
  <c r="O99" i="3" s="1"/>
  <c r="AI225" i="7"/>
  <c r="O100" i="3" s="1"/>
  <c r="AI226" i="7"/>
  <c r="O101" i="3" s="1"/>
  <c r="AI227" i="7"/>
  <c r="O102" i="3" s="1"/>
  <c r="AI228" i="7"/>
  <c r="O103" i="3" s="1"/>
  <c r="AI229" i="7"/>
  <c r="O104" i="3" s="1"/>
  <c r="AI230" i="7"/>
  <c r="O105" i="3" s="1"/>
  <c r="AI231" i="7"/>
  <c r="O106" i="3" s="1"/>
  <c r="AI232" i="7"/>
  <c r="O107" i="3" s="1"/>
  <c r="AI233" i="7"/>
  <c r="O108" i="3" s="1"/>
  <c r="AI234" i="7"/>
  <c r="O109" i="3" s="1"/>
  <c r="AI235" i="7"/>
  <c r="AI236" i="7"/>
  <c r="O111" i="3" s="1"/>
  <c r="AI237" i="7"/>
  <c r="O112" i="3" s="1"/>
  <c r="AI238" i="7"/>
  <c r="O113" i="3" s="1"/>
  <c r="AI239" i="7"/>
  <c r="O114" i="3" s="1"/>
  <c r="AI221" i="4"/>
  <c r="O4" i="3" s="1"/>
  <c r="AI222" i="4"/>
  <c r="O5" i="3" s="1"/>
  <c r="AI223" i="4"/>
  <c r="O6" i="3" s="1"/>
  <c r="AI224" i="4"/>
  <c r="O7" i="3" s="1"/>
  <c r="AI225" i="4"/>
  <c r="O8" i="3" s="1"/>
  <c r="AI226" i="4"/>
  <c r="O9" i="3" s="1"/>
  <c r="AI227" i="4"/>
  <c r="O10" i="3" s="1"/>
  <c r="AI228" i="4"/>
  <c r="O11" i="3" s="1"/>
  <c r="AI229" i="4"/>
  <c r="O12" i="3" s="1"/>
  <c r="AI230" i="4"/>
  <c r="O13" i="3" s="1"/>
  <c r="AI231" i="4"/>
  <c r="O14" i="3" s="1"/>
  <c r="AI232" i="4"/>
  <c r="O15" i="3" s="1"/>
  <c r="AI233" i="4"/>
  <c r="O16" i="3" s="1"/>
  <c r="AI234" i="4"/>
  <c r="O17" i="3" s="1"/>
  <c r="AI235" i="4"/>
  <c r="O18" i="3" s="1"/>
  <c r="AI236" i="4"/>
  <c r="O19" i="3" s="1"/>
  <c r="AI237" i="4"/>
  <c r="O20" i="3" s="1"/>
  <c r="AI238" i="4"/>
  <c r="O21" i="3" s="1"/>
  <c r="AI239" i="4"/>
  <c r="O22" i="3" s="1"/>
  <c r="AI197" i="2"/>
  <c r="N27" i="3" s="1"/>
  <c r="AI198" i="2"/>
  <c r="N28" i="3" s="1"/>
  <c r="AI199" i="2"/>
  <c r="N29" i="3" s="1"/>
  <c r="AI200" i="2"/>
  <c r="N30" i="3" s="1"/>
  <c r="AI201" i="2"/>
  <c r="N31" i="3" s="1"/>
  <c r="AI202" i="2"/>
  <c r="N32" i="3" s="1"/>
  <c r="AI203" i="2"/>
  <c r="N33" i="3" s="1"/>
  <c r="AI204" i="2"/>
  <c r="N34" i="3" s="1"/>
  <c r="AI205" i="2"/>
  <c r="N35" i="3" s="1"/>
  <c r="AI206" i="2"/>
  <c r="N36" i="3" s="1"/>
  <c r="AI207" i="2"/>
  <c r="N37" i="3" s="1"/>
  <c r="AI208" i="2"/>
  <c r="N38" i="3" s="1"/>
  <c r="AI209" i="2"/>
  <c r="N39" i="3" s="1"/>
  <c r="AI210" i="2"/>
  <c r="N40" i="3" s="1"/>
  <c r="AI211" i="2"/>
  <c r="N41" i="3" s="1"/>
  <c r="AI212" i="2"/>
  <c r="N42" i="3" s="1"/>
  <c r="AI213" i="2"/>
  <c r="N43" i="3" s="1"/>
  <c r="AI214" i="2"/>
  <c r="N44" i="3" s="1"/>
  <c r="AI215" i="2"/>
  <c r="N45" i="3" s="1"/>
  <c r="AI197" i="5"/>
  <c r="N50" i="3" s="1"/>
  <c r="AI198" i="5"/>
  <c r="N51" i="3" s="1"/>
  <c r="AI199" i="5"/>
  <c r="N52" i="3" s="1"/>
  <c r="AI200" i="5"/>
  <c r="N53" i="3" s="1"/>
  <c r="AI201" i="5"/>
  <c r="N54" i="3" s="1"/>
  <c r="AI202" i="5"/>
  <c r="AI203" i="5"/>
  <c r="N56" i="3" s="1"/>
  <c r="AI204" i="5"/>
  <c r="N57" i="3" s="1"/>
  <c r="AI205" i="5"/>
  <c r="N58" i="3" s="1"/>
  <c r="AI206" i="5"/>
  <c r="N59" i="3" s="1"/>
  <c r="AI207" i="5"/>
  <c r="N60" i="3" s="1"/>
  <c r="AI208" i="5"/>
  <c r="N61" i="3" s="1"/>
  <c r="AI209" i="5"/>
  <c r="N62" i="3" s="1"/>
  <c r="AI210" i="5"/>
  <c r="N63" i="3" s="1"/>
  <c r="AI211" i="5"/>
  <c r="N64" i="3" s="1"/>
  <c r="AI212" i="5"/>
  <c r="N65" i="3" s="1"/>
  <c r="AI213" i="5"/>
  <c r="N66" i="3" s="1"/>
  <c r="AI214" i="5"/>
  <c r="N67" i="3" s="1"/>
  <c r="AI215" i="5"/>
  <c r="N68" i="3" s="1"/>
  <c r="AI197" i="6"/>
  <c r="N73" i="3" s="1"/>
  <c r="AI198" i="6"/>
  <c r="N74" i="3" s="1"/>
  <c r="AI199" i="6"/>
  <c r="N75" i="3" s="1"/>
  <c r="AI200" i="6"/>
  <c r="N76" i="3" s="1"/>
  <c r="AI201" i="6"/>
  <c r="N77" i="3" s="1"/>
  <c r="AI202" i="6"/>
  <c r="N78" i="3" s="1"/>
  <c r="AI203" i="6"/>
  <c r="N79" i="3" s="1"/>
  <c r="AI204" i="6"/>
  <c r="N80" i="3" s="1"/>
  <c r="AI205" i="6"/>
  <c r="N81" i="3" s="1"/>
  <c r="AI206" i="6"/>
  <c r="N82" i="3" s="1"/>
  <c r="AI207" i="6"/>
  <c r="N83" i="3" s="1"/>
  <c r="AI208" i="6"/>
  <c r="N84" i="3" s="1"/>
  <c r="AI209" i="6"/>
  <c r="N85" i="3" s="1"/>
  <c r="AI210" i="6"/>
  <c r="N86" i="3" s="1"/>
  <c r="AI211" i="6"/>
  <c r="N87" i="3" s="1"/>
  <c r="AI212" i="6"/>
  <c r="N88" i="3" s="1"/>
  <c r="AI213" i="6"/>
  <c r="N89" i="3" s="1"/>
  <c r="AI214" i="6"/>
  <c r="N90" i="3" s="1"/>
  <c r="AI215" i="6"/>
  <c r="N91" i="3" s="1"/>
  <c r="AI197" i="7"/>
  <c r="N96" i="3" s="1"/>
  <c r="AI198" i="7"/>
  <c r="N97" i="3" s="1"/>
  <c r="AI199" i="7"/>
  <c r="N98" i="3" s="1"/>
  <c r="AI200" i="7"/>
  <c r="N99" i="3" s="1"/>
  <c r="AI201" i="7"/>
  <c r="N100" i="3" s="1"/>
  <c r="AI202" i="7"/>
  <c r="N101" i="3" s="1"/>
  <c r="AI203" i="7"/>
  <c r="N102" i="3" s="1"/>
  <c r="AI204" i="7"/>
  <c r="N103" i="3" s="1"/>
  <c r="AI205" i="7"/>
  <c r="N104" i="3" s="1"/>
  <c r="AI206" i="7"/>
  <c r="N105" i="3" s="1"/>
  <c r="AI207" i="7"/>
  <c r="N106" i="3" s="1"/>
  <c r="AI208" i="7"/>
  <c r="N107" i="3" s="1"/>
  <c r="AI209" i="7"/>
  <c r="N108" i="3" s="1"/>
  <c r="AI210" i="7"/>
  <c r="N109" i="3" s="1"/>
  <c r="AI211" i="7"/>
  <c r="N110" i="3" s="1"/>
  <c r="AI212" i="7"/>
  <c r="N111" i="3" s="1"/>
  <c r="AI213" i="7"/>
  <c r="N112" i="3" s="1"/>
  <c r="AI214" i="7"/>
  <c r="N113" i="3" s="1"/>
  <c r="AI215" i="7"/>
  <c r="N114" i="3" s="1"/>
  <c r="AI197" i="4"/>
  <c r="N4" i="3" s="1"/>
  <c r="AI198" i="4"/>
  <c r="N5" i="3" s="1"/>
  <c r="AI199" i="4"/>
  <c r="N6" i="3" s="1"/>
  <c r="AI200" i="4"/>
  <c r="N7" i="3" s="1"/>
  <c r="AI201" i="4"/>
  <c r="N8" i="3" s="1"/>
  <c r="AI202" i="4"/>
  <c r="N9" i="3" s="1"/>
  <c r="AI203" i="4"/>
  <c r="N10" i="3" s="1"/>
  <c r="AI204" i="4"/>
  <c r="N11" i="3" s="1"/>
  <c r="AI205" i="4"/>
  <c r="N12" i="3" s="1"/>
  <c r="AI206" i="4"/>
  <c r="N13" i="3" s="1"/>
  <c r="AI207" i="4"/>
  <c r="N14" i="3" s="1"/>
  <c r="AI208" i="4"/>
  <c r="N15" i="3" s="1"/>
  <c r="AI209" i="4"/>
  <c r="N16" i="3" s="1"/>
  <c r="AI210" i="4"/>
  <c r="N17" i="3" s="1"/>
  <c r="AI211" i="4"/>
  <c r="N18" i="3" s="1"/>
  <c r="AI212" i="4"/>
  <c r="N19" i="3" s="1"/>
  <c r="AI213" i="4"/>
  <c r="N20" i="3" s="1"/>
  <c r="AI214" i="4"/>
  <c r="N21" i="3" s="1"/>
  <c r="AI215" i="4"/>
  <c r="N22" i="3" s="1"/>
  <c r="AI173" i="2"/>
  <c r="M27" i="3" s="1"/>
  <c r="AI174" i="2"/>
  <c r="M28" i="3" s="1"/>
  <c r="AI175" i="2"/>
  <c r="M29" i="3" s="1"/>
  <c r="AI176" i="2"/>
  <c r="M30" i="3" s="1"/>
  <c r="AI177" i="2"/>
  <c r="M31" i="3" s="1"/>
  <c r="AI178" i="2"/>
  <c r="M32" i="3" s="1"/>
  <c r="AI179" i="2"/>
  <c r="M33" i="3" s="1"/>
  <c r="AI180" i="2"/>
  <c r="M34" i="3" s="1"/>
  <c r="AI181" i="2"/>
  <c r="M35" i="3" s="1"/>
  <c r="AI182" i="2"/>
  <c r="M36" i="3" s="1"/>
  <c r="AI183" i="2"/>
  <c r="M37" i="3" s="1"/>
  <c r="AI184" i="2"/>
  <c r="M38" i="3" s="1"/>
  <c r="AI185" i="2"/>
  <c r="M39" i="3" s="1"/>
  <c r="AI186" i="2"/>
  <c r="M40" i="3" s="1"/>
  <c r="AI187" i="2"/>
  <c r="M41" i="3" s="1"/>
  <c r="AI188" i="2"/>
  <c r="M42" i="3" s="1"/>
  <c r="AI189" i="2"/>
  <c r="M43" i="3" s="1"/>
  <c r="AI190" i="2"/>
  <c r="M44" i="3" s="1"/>
  <c r="AI191" i="2"/>
  <c r="M45" i="3" s="1"/>
  <c r="AI173" i="5"/>
  <c r="M50" i="3" s="1"/>
  <c r="AI174" i="5"/>
  <c r="M51" i="3" s="1"/>
  <c r="AI175" i="5"/>
  <c r="M52" i="3" s="1"/>
  <c r="AI176" i="5"/>
  <c r="M53" i="3" s="1"/>
  <c r="AI177" i="5"/>
  <c r="M54" i="3" s="1"/>
  <c r="AI178" i="5"/>
  <c r="M55" i="3" s="1"/>
  <c r="AI179" i="5"/>
  <c r="M56" i="3" s="1"/>
  <c r="AI180" i="5"/>
  <c r="M57" i="3" s="1"/>
  <c r="AI181" i="5"/>
  <c r="M58" i="3" s="1"/>
  <c r="AI182" i="5"/>
  <c r="M59" i="3" s="1"/>
  <c r="AI183" i="5"/>
  <c r="M60" i="3" s="1"/>
  <c r="AI184" i="5"/>
  <c r="M61" i="3" s="1"/>
  <c r="AI185" i="5"/>
  <c r="M62" i="3" s="1"/>
  <c r="AI186" i="5"/>
  <c r="M63" i="3" s="1"/>
  <c r="AI187" i="5"/>
  <c r="M64" i="3" s="1"/>
  <c r="AI188" i="5"/>
  <c r="M65" i="3" s="1"/>
  <c r="AI189" i="5"/>
  <c r="M66" i="3" s="1"/>
  <c r="AI190" i="5"/>
  <c r="M67" i="3" s="1"/>
  <c r="AI191" i="5"/>
  <c r="M68" i="3" s="1"/>
  <c r="AI173" i="6"/>
  <c r="M73" i="3" s="1"/>
  <c r="AI174" i="6"/>
  <c r="M74" i="3" s="1"/>
  <c r="AI175" i="6"/>
  <c r="M75" i="3" s="1"/>
  <c r="AI176" i="6"/>
  <c r="M76" i="3" s="1"/>
  <c r="AI177" i="6"/>
  <c r="M77" i="3" s="1"/>
  <c r="AI178" i="6"/>
  <c r="M78" i="3" s="1"/>
  <c r="AI179" i="6"/>
  <c r="M79" i="3" s="1"/>
  <c r="AI180" i="6"/>
  <c r="M80" i="3" s="1"/>
  <c r="AI181" i="6"/>
  <c r="M81" i="3" s="1"/>
  <c r="AI182" i="6"/>
  <c r="M82" i="3" s="1"/>
  <c r="AI183" i="6"/>
  <c r="M83" i="3" s="1"/>
  <c r="AI184" i="6"/>
  <c r="M84" i="3" s="1"/>
  <c r="AI185" i="6"/>
  <c r="M85" i="3" s="1"/>
  <c r="AI186" i="6"/>
  <c r="M86" i="3" s="1"/>
  <c r="AI187" i="6"/>
  <c r="M87" i="3" s="1"/>
  <c r="AI188" i="6"/>
  <c r="M88" i="3" s="1"/>
  <c r="AI189" i="6"/>
  <c r="M89" i="3" s="1"/>
  <c r="AI190" i="6"/>
  <c r="M90" i="3" s="1"/>
  <c r="AI191" i="6"/>
  <c r="M91" i="3" s="1"/>
  <c r="AI173" i="7"/>
  <c r="M96" i="3" s="1"/>
  <c r="AI174" i="7"/>
  <c r="M97" i="3" s="1"/>
  <c r="AI175" i="7"/>
  <c r="M98" i="3" s="1"/>
  <c r="AI176" i="7"/>
  <c r="M99" i="3" s="1"/>
  <c r="AI177" i="7"/>
  <c r="M100" i="3" s="1"/>
  <c r="AI178" i="7"/>
  <c r="M101" i="3" s="1"/>
  <c r="AI179" i="7"/>
  <c r="M102" i="3" s="1"/>
  <c r="AI180" i="7"/>
  <c r="M103" i="3" s="1"/>
  <c r="AI181" i="7"/>
  <c r="M104" i="3" s="1"/>
  <c r="AI182" i="7"/>
  <c r="M105" i="3" s="1"/>
  <c r="AI183" i="7"/>
  <c r="M106" i="3" s="1"/>
  <c r="AI184" i="7"/>
  <c r="M107" i="3" s="1"/>
  <c r="AI185" i="7"/>
  <c r="M108" i="3" s="1"/>
  <c r="AI186" i="7"/>
  <c r="M109" i="3" s="1"/>
  <c r="AI187" i="7"/>
  <c r="M110" i="3" s="1"/>
  <c r="AI188" i="7"/>
  <c r="M111" i="3" s="1"/>
  <c r="AI189" i="7"/>
  <c r="M112" i="3" s="1"/>
  <c r="AI190" i="7"/>
  <c r="M113" i="3" s="1"/>
  <c r="AI191" i="7"/>
  <c r="M114" i="3" s="1"/>
  <c r="AI173" i="4"/>
  <c r="AI174" i="4"/>
  <c r="M5" i="3" s="1"/>
  <c r="AI175" i="4"/>
  <c r="M6" i="3" s="1"/>
  <c r="AI176" i="4"/>
  <c r="M7" i="3" s="1"/>
  <c r="AI177" i="4"/>
  <c r="M8" i="3" s="1"/>
  <c r="AI178" i="4"/>
  <c r="M9" i="3" s="1"/>
  <c r="AI179" i="4"/>
  <c r="M10" i="3" s="1"/>
  <c r="AI180" i="4"/>
  <c r="M11" i="3" s="1"/>
  <c r="AI181" i="4"/>
  <c r="M12" i="3" s="1"/>
  <c r="AI182" i="4"/>
  <c r="M13" i="3" s="1"/>
  <c r="AI183" i="4"/>
  <c r="M14" i="3" s="1"/>
  <c r="AI184" i="4"/>
  <c r="M15" i="3" s="1"/>
  <c r="AI185" i="4"/>
  <c r="M16" i="3" s="1"/>
  <c r="AI186" i="4"/>
  <c r="M17" i="3" s="1"/>
  <c r="AI187" i="4"/>
  <c r="M18" i="3" s="1"/>
  <c r="AI188" i="4"/>
  <c r="M19" i="3" s="1"/>
  <c r="AI189" i="4"/>
  <c r="M20" i="3" s="1"/>
  <c r="AI190" i="4"/>
  <c r="M21" i="3" s="1"/>
  <c r="AI191" i="4"/>
  <c r="M22" i="3" s="1"/>
  <c r="AI149" i="2"/>
  <c r="L27" i="3" s="1"/>
  <c r="AI150" i="2"/>
  <c r="L28" i="3" s="1"/>
  <c r="AI151" i="2"/>
  <c r="L29" i="3" s="1"/>
  <c r="AI152" i="2"/>
  <c r="L30" i="3" s="1"/>
  <c r="AI153" i="2"/>
  <c r="L31" i="3" s="1"/>
  <c r="AI154" i="2"/>
  <c r="L32" i="3" s="1"/>
  <c r="AI155" i="2"/>
  <c r="L33" i="3" s="1"/>
  <c r="AI156" i="2"/>
  <c r="AI157" i="2"/>
  <c r="L35" i="3" s="1"/>
  <c r="AI158" i="2"/>
  <c r="AI159" i="2"/>
  <c r="L37" i="3" s="1"/>
  <c r="AI160" i="2"/>
  <c r="L38" i="3" s="1"/>
  <c r="AI161" i="2"/>
  <c r="L39" i="3" s="1"/>
  <c r="AI162" i="2"/>
  <c r="L40" i="3" s="1"/>
  <c r="AI163" i="2"/>
  <c r="L41" i="3" s="1"/>
  <c r="AI164" i="2"/>
  <c r="L42" i="3" s="1"/>
  <c r="AI165" i="2"/>
  <c r="L43" i="3" s="1"/>
  <c r="AI166" i="2"/>
  <c r="L44" i="3" s="1"/>
  <c r="AI167" i="2"/>
  <c r="L45" i="3" s="1"/>
  <c r="AI149" i="5"/>
  <c r="L50" i="3" s="1"/>
  <c r="AI150" i="5"/>
  <c r="L51" i="3" s="1"/>
  <c r="AI151" i="5"/>
  <c r="L52" i="3" s="1"/>
  <c r="AI152" i="5"/>
  <c r="L53" i="3" s="1"/>
  <c r="AI153" i="5"/>
  <c r="L54" i="3" s="1"/>
  <c r="AI154" i="5"/>
  <c r="L55" i="3" s="1"/>
  <c r="AI155" i="5"/>
  <c r="L56" i="3" s="1"/>
  <c r="AI156" i="5"/>
  <c r="L57" i="3" s="1"/>
  <c r="AI157" i="5"/>
  <c r="L58" i="3" s="1"/>
  <c r="AI158" i="5"/>
  <c r="L59" i="3" s="1"/>
  <c r="AI159" i="5"/>
  <c r="L60" i="3" s="1"/>
  <c r="AI160" i="5"/>
  <c r="L61" i="3" s="1"/>
  <c r="AI161" i="5"/>
  <c r="L62" i="3" s="1"/>
  <c r="AI162" i="5"/>
  <c r="L63" i="3" s="1"/>
  <c r="AI163" i="5"/>
  <c r="L64" i="3" s="1"/>
  <c r="AI164" i="5"/>
  <c r="L65" i="3" s="1"/>
  <c r="AI165" i="5"/>
  <c r="L66" i="3" s="1"/>
  <c r="AI166" i="5"/>
  <c r="L67" i="3" s="1"/>
  <c r="AI167" i="5"/>
  <c r="L68" i="3" s="1"/>
  <c r="AI149" i="6"/>
  <c r="L73" i="3" s="1"/>
  <c r="AI150" i="6"/>
  <c r="L74" i="3" s="1"/>
  <c r="AI151" i="6"/>
  <c r="L75" i="3" s="1"/>
  <c r="AI152" i="6"/>
  <c r="L76" i="3" s="1"/>
  <c r="AI153" i="6"/>
  <c r="L77" i="3" s="1"/>
  <c r="AI154" i="6"/>
  <c r="L78" i="3" s="1"/>
  <c r="AI155" i="6"/>
  <c r="L79" i="3" s="1"/>
  <c r="AI156" i="6"/>
  <c r="L80" i="3" s="1"/>
  <c r="AI157" i="6"/>
  <c r="L81" i="3" s="1"/>
  <c r="AI158" i="6"/>
  <c r="L82" i="3" s="1"/>
  <c r="AI159" i="6"/>
  <c r="L83" i="3" s="1"/>
  <c r="AI160" i="6"/>
  <c r="L84" i="3" s="1"/>
  <c r="AI161" i="6"/>
  <c r="L85" i="3" s="1"/>
  <c r="AI162" i="6"/>
  <c r="L86" i="3" s="1"/>
  <c r="AI163" i="6"/>
  <c r="L87" i="3" s="1"/>
  <c r="AI164" i="6"/>
  <c r="L88" i="3" s="1"/>
  <c r="AI165" i="6"/>
  <c r="L89" i="3" s="1"/>
  <c r="AI166" i="6"/>
  <c r="L90" i="3" s="1"/>
  <c r="AI167" i="6"/>
  <c r="L91" i="3" s="1"/>
  <c r="AI149" i="7"/>
  <c r="L96" i="3" s="1"/>
  <c r="AI150" i="7"/>
  <c r="L97" i="3" s="1"/>
  <c r="AI151" i="7"/>
  <c r="L98" i="3" s="1"/>
  <c r="AI152" i="7"/>
  <c r="L99" i="3" s="1"/>
  <c r="AI153" i="7"/>
  <c r="L100" i="3" s="1"/>
  <c r="AI154" i="7"/>
  <c r="L101" i="3" s="1"/>
  <c r="AI155" i="7"/>
  <c r="L102" i="3" s="1"/>
  <c r="AI156" i="7"/>
  <c r="L103" i="3" s="1"/>
  <c r="AI157" i="7"/>
  <c r="L104" i="3" s="1"/>
  <c r="AI158" i="7"/>
  <c r="L105" i="3" s="1"/>
  <c r="AI159" i="7"/>
  <c r="L106" i="3" s="1"/>
  <c r="AI160" i="7"/>
  <c r="L107" i="3" s="1"/>
  <c r="AI161" i="7"/>
  <c r="L108" i="3" s="1"/>
  <c r="AI162" i="7"/>
  <c r="L109" i="3" s="1"/>
  <c r="AI163" i="7"/>
  <c r="L110" i="3" s="1"/>
  <c r="AI164" i="7"/>
  <c r="L111" i="3" s="1"/>
  <c r="AI165" i="7"/>
  <c r="L112" i="3" s="1"/>
  <c r="AI166" i="7"/>
  <c r="L113" i="3" s="1"/>
  <c r="AI167" i="7"/>
  <c r="L114" i="3" s="1"/>
  <c r="AI149" i="4"/>
  <c r="L4" i="3" s="1"/>
  <c r="AI150" i="4"/>
  <c r="L5" i="3" s="1"/>
  <c r="AI151" i="4"/>
  <c r="L6" i="3" s="1"/>
  <c r="AI152" i="4"/>
  <c r="L7" i="3" s="1"/>
  <c r="AI153" i="4"/>
  <c r="L8" i="3" s="1"/>
  <c r="AI154" i="4"/>
  <c r="L9" i="3" s="1"/>
  <c r="AI155" i="4"/>
  <c r="L10" i="3" s="1"/>
  <c r="AI156" i="4"/>
  <c r="L11" i="3" s="1"/>
  <c r="AI157" i="4"/>
  <c r="L12" i="3" s="1"/>
  <c r="AI158" i="4"/>
  <c r="L13" i="3" s="1"/>
  <c r="AI159" i="4"/>
  <c r="L14" i="3" s="1"/>
  <c r="AI160" i="4"/>
  <c r="L15" i="3" s="1"/>
  <c r="AI161" i="4"/>
  <c r="L16" i="3" s="1"/>
  <c r="AI162" i="4"/>
  <c r="L17" i="3" s="1"/>
  <c r="AI163" i="4"/>
  <c r="L18" i="3" s="1"/>
  <c r="AI164" i="4"/>
  <c r="L19" i="3" s="1"/>
  <c r="AI165" i="4"/>
  <c r="L20" i="3" s="1"/>
  <c r="AI166" i="4"/>
  <c r="L21" i="3" s="1"/>
  <c r="AI167" i="4"/>
  <c r="L22" i="3" s="1"/>
  <c r="AI125" i="2"/>
  <c r="K27" i="3" s="1"/>
  <c r="AI126" i="2"/>
  <c r="K28" i="3" s="1"/>
  <c r="AI127" i="2"/>
  <c r="K29" i="3" s="1"/>
  <c r="AI128" i="2"/>
  <c r="K30" i="3" s="1"/>
  <c r="AI129" i="2"/>
  <c r="K31" i="3" s="1"/>
  <c r="AI130" i="2"/>
  <c r="K32" i="3" s="1"/>
  <c r="AI131" i="2"/>
  <c r="K33" i="3" s="1"/>
  <c r="AI132" i="2"/>
  <c r="K34" i="3" s="1"/>
  <c r="AI133" i="2"/>
  <c r="K35" i="3" s="1"/>
  <c r="AI134" i="2"/>
  <c r="K36" i="3" s="1"/>
  <c r="AI135" i="2"/>
  <c r="K37" i="3" s="1"/>
  <c r="AI136" i="2"/>
  <c r="K38" i="3" s="1"/>
  <c r="AI137" i="2"/>
  <c r="K39" i="3" s="1"/>
  <c r="AI138" i="2"/>
  <c r="K40" i="3" s="1"/>
  <c r="AI139" i="2"/>
  <c r="K41" i="3" s="1"/>
  <c r="AI140" i="2"/>
  <c r="K42" i="3" s="1"/>
  <c r="AI141" i="2"/>
  <c r="K43" i="3" s="1"/>
  <c r="AI142" i="2"/>
  <c r="K44" i="3" s="1"/>
  <c r="AI143" i="2"/>
  <c r="K45" i="3" s="1"/>
  <c r="AI125" i="5"/>
  <c r="K50" i="3" s="1"/>
  <c r="AI126" i="5"/>
  <c r="K51" i="3" s="1"/>
  <c r="AI127" i="5"/>
  <c r="K52" i="3" s="1"/>
  <c r="AI128" i="5"/>
  <c r="K53" i="3" s="1"/>
  <c r="AI129" i="5"/>
  <c r="K54" i="3" s="1"/>
  <c r="AI130" i="5"/>
  <c r="K55" i="3" s="1"/>
  <c r="AI131" i="5"/>
  <c r="K56" i="3" s="1"/>
  <c r="AI132" i="5"/>
  <c r="K57" i="3" s="1"/>
  <c r="AI133" i="5"/>
  <c r="K58" i="3" s="1"/>
  <c r="AI134" i="5"/>
  <c r="K59" i="3" s="1"/>
  <c r="AI135" i="5"/>
  <c r="K60" i="3" s="1"/>
  <c r="AI136" i="5"/>
  <c r="K61" i="3" s="1"/>
  <c r="AI137" i="5"/>
  <c r="K62" i="3" s="1"/>
  <c r="AI138" i="5"/>
  <c r="K63" i="3" s="1"/>
  <c r="AI139" i="5"/>
  <c r="K64" i="3" s="1"/>
  <c r="AI140" i="5"/>
  <c r="K65" i="3" s="1"/>
  <c r="AI141" i="5"/>
  <c r="K66" i="3" s="1"/>
  <c r="AI142" i="5"/>
  <c r="K67" i="3" s="1"/>
  <c r="AI143" i="5"/>
  <c r="K68" i="3" s="1"/>
  <c r="AI125" i="6"/>
  <c r="K73" i="3" s="1"/>
  <c r="AI126" i="6"/>
  <c r="K74" i="3" s="1"/>
  <c r="AI127" i="6"/>
  <c r="K75" i="3" s="1"/>
  <c r="AI128" i="6"/>
  <c r="K76" i="3" s="1"/>
  <c r="AI129" i="6"/>
  <c r="K77" i="3" s="1"/>
  <c r="AI130" i="6"/>
  <c r="K78" i="3" s="1"/>
  <c r="AI131" i="6"/>
  <c r="K79" i="3" s="1"/>
  <c r="AI132" i="6"/>
  <c r="K80" i="3" s="1"/>
  <c r="AI133" i="6"/>
  <c r="K81" i="3" s="1"/>
  <c r="AI134" i="6"/>
  <c r="K82" i="3" s="1"/>
  <c r="AI135" i="6"/>
  <c r="K83" i="3" s="1"/>
  <c r="AI136" i="6"/>
  <c r="K84" i="3" s="1"/>
  <c r="AI137" i="6"/>
  <c r="K85" i="3" s="1"/>
  <c r="AI138" i="6"/>
  <c r="K86" i="3" s="1"/>
  <c r="AI139" i="6"/>
  <c r="K87" i="3" s="1"/>
  <c r="AI140" i="6"/>
  <c r="K88" i="3" s="1"/>
  <c r="AI141" i="6"/>
  <c r="K89" i="3" s="1"/>
  <c r="AI142" i="6"/>
  <c r="K90" i="3" s="1"/>
  <c r="AI143" i="6"/>
  <c r="K91" i="3" s="1"/>
  <c r="AI125" i="7"/>
  <c r="K96" i="3" s="1"/>
  <c r="AI126" i="7"/>
  <c r="K97" i="3" s="1"/>
  <c r="AI127" i="7"/>
  <c r="K98" i="3" s="1"/>
  <c r="AI128" i="7"/>
  <c r="K99" i="3" s="1"/>
  <c r="AI129" i="7"/>
  <c r="K100" i="3" s="1"/>
  <c r="AI130" i="7"/>
  <c r="K101" i="3" s="1"/>
  <c r="AI131" i="7"/>
  <c r="K102" i="3" s="1"/>
  <c r="AI132" i="7"/>
  <c r="K103" i="3" s="1"/>
  <c r="AI133" i="7"/>
  <c r="K104" i="3" s="1"/>
  <c r="AI134" i="7"/>
  <c r="K105" i="3" s="1"/>
  <c r="AI135" i="7"/>
  <c r="K106" i="3" s="1"/>
  <c r="AI136" i="7"/>
  <c r="K107" i="3" s="1"/>
  <c r="AI137" i="7"/>
  <c r="K108" i="3" s="1"/>
  <c r="AI138" i="7"/>
  <c r="K109" i="3" s="1"/>
  <c r="AI139" i="7"/>
  <c r="K110" i="3" s="1"/>
  <c r="AI140" i="7"/>
  <c r="K111" i="3" s="1"/>
  <c r="AI141" i="7"/>
  <c r="K112" i="3" s="1"/>
  <c r="AI142" i="7"/>
  <c r="K113" i="3" s="1"/>
  <c r="AI143" i="7"/>
  <c r="K114" i="3" s="1"/>
  <c r="AI125" i="4"/>
  <c r="K4" i="3" s="1"/>
  <c r="AI126" i="4"/>
  <c r="K5" i="3" s="1"/>
  <c r="AI127" i="4"/>
  <c r="K6" i="3" s="1"/>
  <c r="AI128" i="4"/>
  <c r="K7" i="3" s="1"/>
  <c r="AI129" i="4"/>
  <c r="K8" i="3" s="1"/>
  <c r="AI130" i="4"/>
  <c r="K9" i="3" s="1"/>
  <c r="AI131" i="4"/>
  <c r="K10" i="3" s="1"/>
  <c r="AI132" i="4"/>
  <c r="K11" i="3" s="1"/>
  <c r="AI133" i="4"/>
  <c r="K12" i="3" s="1"/>
  <c r="AI134" i="4"/>
  <c r="K13" i="3" s="1"/>
  <c r="AI135" i="4"/>
  <c r="K14" i="3" s="1"/>
  <c r="AI136" i="4"/>
  <c r="K15" i="3" s="1"/>
  <c r="AI137" i="4"/>
  <c r="K16" i="3" s="1"/>
  <c r="AI138" i="4"/>
  <c r="K17" i="3" s="1"/>
  <c r="AI139" i="4"/>
  <c r="K18" i="3" s="1"/>
  <c r="AI140" i="4"/>
  <c r="K19" i="3" s="1"/>
  <c r="AI141" i="4"/>
  <c r="K20" i="3" s="1"/>
  <c r="AI142" i="4"/>
  <c r="K21" i="3" s="1"/>
  <c r="AI143" i="4"/>
  <c r="K22" i="3" s="1"/>
  <c r="AI101" i="2"/>
  <c r="J27" i="3" s="1"/>
  <c r="AI102" i="2"/>
  <c r="J28" i="3" s="1"/>
  <c r="AI103" i="2"/>
  <c r="J29" i="3" s="1"/>
  <c r="AI104" i="2"/>
  <c r="J30" i="3" s="1"/>
  <c r="AI105" i="2"/>
  <c r="J31" i="3" s="1"/>
  <c r="AI106" i="2"/>
  <c r="J32" i="3" s="1"/>
  <c r="AI107" i="2"/>
  <c r="J33" i="3" s="1"/>
  <c r="AI108" i="2"/>
  <c r="J34" i="3" s="1"/>
  <c r="AI109" i="2"/>
  <c r="J35" i="3" s="1"/>
  <c r="AI110" i="2"/>
  <c r="J36" i="3" s="1"/>
  <c r="AI111" i="2"/>
  <c r="J37" i="3" s="1"/>
  <c r="AI112" i="2"/>
  <c r="J38" i="3" s="1"/>
  <c r="AI113" i="2"/>
  <c r="J39" i="3" s="1"/>
  <c r="AI114" i="2"/>
  <c r="J40" i="3" s="1"/>
  <c r="AI115" i="2"/>
  <c r="J41" i="3" s="1"/>
  <c r="AI116" i="2"/>
  <c r="J42" i="3" s="1"/>
  <c r="AI117" i="2"/>
  <c r="J43" i="3" s="1"/>
  <c r="AI118" i="2"/>
  <c r="J44" i="3" s="1"/>
  <c r="AI119" i="2"/>
  <c r="J45" i="3" s="1"/>
  <c r="AI101" i="5"/>
  <c r="J50" i="3" s="1"/>
  <c r="AI102" i="5"/>
  <c r="J51" i="3" s="1"/>
  <c r="AI103" i="5"/>
  <c r="J52" i="3" s="1"/>
  <c r="AI104" i="5"/>
  <c r="J53" i="3" s="1"/>
  <c r="AI105" i="5"/>
  <c r="J54" i="3" s="1"/>
  <c r="AI106" i="5"/>
  <c r="J55" i="3" s="1"/>
  <c r="AI107" i="5"/>
  <c r="J56" i="3" s="1"/>
  <c r="AI108" i="5"/>
  <c r="J57" i="3" s="1"/>
  <c r="AI109" i="5"/>
  <c r="J58" i="3" s="1"/>
  <c r="AI110" i="5"/>
  <c r="J59" i="3" s="1"/>
  <c r="AI111" i="5"/>
  <c r="J60" i="3" s="1"/>
  <c r="AI112" i="5"/>
  <c r="J61" i="3" s="1"/>
  <c r="AI113" i="5"/>
  <c r="J62" i="3" s="1"/>
  <c r="AI114" i="5"/>
  <c r="J63" i="3" s="1"/>
  <c r="AI115" i="5"/>
  <c r="J64" i="3" s="1"/>
  <c r="AI116" i="5"/>
  <c r="J65" i="3" s="1"/>
  <c r="AI117" i="5"/>
  <c r="J66" i="3" s="1"/>
  <c r="AI118" i="5"/>
  <c r="J67" i="3" s="1"/>
  <c r="AI119" i="5"/>
  <c r="J68" i="3" s="1"/>
  <c r="AI101" i="6"/>
  <c r="J73" i="3" s="1"/>
  <c r="AI102" i="6"/>
  <c r="J74" i="3" s="1"/>
  <c r="AI103" i="6"/>
  <c r="J75" i="3" s="1"/>
  <c r="AI104" i="6"/>
  <c r="J76" i="3" s="1"/>
  <c r="AI105" i="6"/>
  <c r="J77" i="3" s="1"/>
  <c r="AI106" i="6"/>
  <c r="J78" i="3" s="1"/>
  <c r="AI107" i="6"/>
  <c r="J79" i="3" s="1"/>
  <c r="AI108" i="6"/>
  <c r="J80" i="3" s="1"/>
  <c r="AI109" i="6"/>
  <c r="J81" i="3" s="1"/>
  <c r="AI110" i="6"/>
  <c r="J82" i="3" s="1"/>
  <c r="AI111" i="6"/>
  <c r="J83" i="3" s="1"/>
  <c r="AI112" i="6"/>
  <c r="J84" i="3" s="1"/>
  <c r="AI113" i="6"/>
  <c r="J85" i="3" s="1"/>
  <c r="AI114" i="6"/>
  <c r="J86" i="3" s="1"/>
  <c r="AI115" i="6"/>
  <c r="J87" i="3" s="1"/>
  <c r="AI116" i="6"/>
  <c r="J88" i="3" s="1"/>
  <c r="AI117" i="6"/>
  <c r="J89" i="3" s="1"/>
  <c r="AI118" i="6"/>
  <c r="J90" i="3" s="1"/>
  <c r="AI119" i="6"/>
  <c r="J91" i="3" s="1"/>
  <c r="AI101" i="7"/>
  <c r="J96" i="3" s="1"/>
  <c r="AI102" i="7"/>
  <c r="J97" i="3" s="1"/>
  <c r="AI103" i="7"/>
  <c r="J98" i="3" s="1"/>
  <c r="AI104" i="7"/>
  <c r="J99" i="3" s="1"/>
  <c r="AI105" i="7"/>
  <c r="J100" i="3" s="1"/>
  <c r="AI106" i="7"/>
  <c r="J101" i="3" s="1"/>
  <c r="AI107" i="7"/>
  <c r="J102" i="3" s="1"/>
  <c r="AI108" i="7"/>
  <c r="J103" i="3" s="1"/>
  <c r="AI109" i="7"/>
  <c r="J104" i="3" s="1"/>
  <c r="AI110" i="7"/>
  <c r="J105" i="3" s="1"/>
  <c r="AI111" i="7"/>
  <c r="J106" i="3" s="1"/>
  <c r="AI112" i="7"/>
  <c r="J107" i="3" s="1"/>
  <c r="AI113" i="7"/>
  <c r="J108" i="3" s="1"/>
  <c r="AI114" i="7"/>
  <c r="J109" i="3" s="1"/>
  <c r="AI115" i="7"/>
  <c r="J110" i="3" s="1"/>
  <c r="AI116" i="7"/>
  <c r="J111" i="3" s="1"/>
  <c r="AI117" i="7"/>
  <c r="J112" i="3" s="1"/>
  <c r="AI118" i="7"/>
  <c r="J113" i="3" s="1"/>
  <c r="AI119" i="7"/>
  <c r="J114" i="3" s="1"/>
  <c r="AI101" i="4"/>
  <c r="J4" i="3" s="1"/>
  <c r="AI102" i="4"/>
  <c r="J5" i="3" s="1"/>
  <c r="AI103" i="4"/>
  <c r="J6" i="3" s="1"/>
  <c r="AI104" i="4"/>
  <c r="J7" i="3" s="1"/>
  <c r="AI105" i="4"/>
  <c r="J8" i="3" s="1"/>
  <c r="AI106" i="4"/>
  <c r="J9" i="3" s="1"/>
  <c r="AI107" i="4"/>
  <c r="J10" i="3" s="1"/>
  <c r="AI108" i="4"/>
  <c r="J11" i="3" s="1"/>
  <c r="AI109" i="4"/>
  <c r="J12" i="3" s="1"/>
  <c r="AI110" i="4"/>
  <c r="J13" i="3" s="1"/>
  <c r="AI111" i="4"/>
  <c r="J14" i="3" s="1"/>
  <c r="AI112" i="4"/>
  <c r="J15" i="3" s="1"/>
  <c r="AI113" i="4"/>
  <c r="J16" i="3" s="1"/>
  <c r="AI114" i="4"/>
  <c r="J17" i="3" s="1"/>
  <c r="AI115" i="4"/>
  <c r="J18" i="3" s="1"/>
  <c r="AI116" i="4"/>
  <c r="J19" i="3" s="1"/>
  <c r="AI117" i="4"/>
  <c r="J20" i="3" s="1"/>
  <c r="AI118" i="4"/>
  <c r="J21" i="3" s="1"/>
  <c r="AI119" i="4"/>
  <c r="J22" i="3" s="1"/>
  <c r="AI77" i="2"/>
  <c r="I27" i="3" s="1"/>
  <c r="AI78" i="2"/>
  <c r="I28" i="3" s="1"/>
  <c r="AI79" i="2"/>
  <c r="I29" i="3" s="1"/>
  <c r="AI80" i="2"/>
  <c r="I30" i="3" s="1"/>
  <c r="AI81" i="2"/>
  <c r="I31" i="3" s="1"/>
  <c r="AI82" i="2"/>
  <c r="I32" i="3" s="1"/>
  <c r="AI83" i="2"/>
  <c r="I33" i="3" s="1"/>
  <c r="AI84" i="2"/>
  <c r="I34" i="3" s="1"/>
  <c r="AI85" i="2"/>
  <c r="I35" i="3" s="1"/>
  <c r="AI86" i="2"/>
  <c r="I36" i="3" s="1"/>
  <c r="AI87" i="2"/>
  <c r="I37" i="3" s="1"/>
  <c r="AI88" i="2"/>
  <c r="I38" i="3" s="1"/>
  <c r="AI89" i="2"/>
  <c r="I39" i="3" s="1"/>
  <c r="AI90" i="2"/>
  <c r="I40" i="3" s="1"/>
  <c r="AI91" i="2"/>
  <c r="I41" i="3" s="1"/>
  <c r="AI92" i="2"/>
  <c r="I42" i="3" s="1"/>
  <c r="AI93" i="2"/>
  <c r="I43" i="3" s="1"/>
  <c r="AI94" i="2"/>
  <c r="I44" i="3" s="1"/>
  <c r="AI95" i="2"/>
  <c r="I45" i="3" s="1"/>
  <c r="AI77" i="5"/>
  <c r="I50" i="3" s="1"/>
  <c r="AI78" i="5"/>
  <c r="I51" i="3" s="1"/>
  <c r="AI79" i="5"/>
  <c r="I52" i="3" s="1"/>
  <c r="AI80" i="5"/>
  <c r="I53" i="3" s="1"/>
  <c r="AI81" i="5"/>
  <c r="I54" i="3" s="1"/>
  <c r="AI82" i="5"/>
  <c r="I55" i="3" s="1"/>
  <c r="AI83" i="5"/>
  <c r="I56" i="3" s="1"/>
  <c r="AI84" i="5"/>
  <c r="I57" i="3" s="1"/>
  <c r="AI85" i="5"/>
  <c r="I58" i="3" s="1"/>
  <c r="AI86" i="5"/>
  <c r="I59" i="3" s="1"/>
  <c r="AI87" i="5"/>
  <c r="I60" i="3" s="1"/>
  <c r="AI88" i="5"/>
  <c r="I61" i="3" s="1"/>
  <c r="AI89" i="5"/>
  <c r="I62" i="3" s="1"/>
  <c r="AI90" i="5"/>
  <c r="I63" i="3" s="1"/>
  <c r="AI91" i="5"/>
  <c r="I64" i="3" s="1"/>
  <c r="AI92" i="5"/>
  <c r="I65" i="3" s="1"/>
  <c r="AI93" i="5"/>
  <c r="I66" i="3" s="1"/>
  <c r="AI94" i="5"/>
  <c r="I67" i="3" s="1"/>
  <c r="AI95" i="5"/>
  <c r="I68" i="3" s="1"/>
  <c r="AI77" i="6"/>
  <c r="I73" i="3" s="1"/>
  <c r="AI78" i="6"/>
  <c r="I74" i="3" s="1"/>
  <c r="AI79" i="6"/>
  <c r="I75" i="3" s="1"/>
  <c r="AI80" i="6"/>
  <c r="I76" i="3" s="1"/>
  <c r="AI81" i="6"/>
  <c r="I77" i="3" s="1"/>
  <c r="AI82" i="6"/>
  <c r="I78" i="3" s="1"/>
  <c r="AI83" i="6"/>
  <c r="I79" i="3" s="1"/>
  <c r="AI84" i="6"/>
  <c r="I80" i="3" s="1"/>
  <c r="AI85" i="6"/>
  <c r="I81" i="3" s="1"/>
  <c r="AI86" i="6"/>
  <c r="I82" i="3" s="1"/>
  <c r="AI87" i="6"/>
  <c r="I83" i="3" s="1"/>
  <c r="AI88" i="6"/>
  <c r="I84" i="3" s="1"/>
  <c r="AI89" i="6"/>
  <c r="I85" i="3" s="1"/>
  <c r="AI90" i="6"/>
  <c r="I86" i="3" s="1"/>
  <c r="AI91" i="6"/>
  <c r="I87" i="3" s="1"/>
  <c r="AI92" i="6"/>
  <c r="I88" i="3" s="1"/>
  <c r="AI93" i="6"/>
  <c r="I89" i="3" s="1"/>
  <c r="AI94" i="6"/>
  <c r="I90" i="3" s="1"/>
  <c r="AI95" i="6"/>
  <c r="I91" i="3" s="1"/>
  <c r="AI77" i="7"/>
  <c r="AI78" i="7"/>
  <c r="AI79" i="7"/>
  <c r="AI80" i="7"/>
  <c r="AI81" i="7"/>
  <c r="AI82" i="7"/>
  <c r="AI83" i="7"/>
  <c r="AI84" i="7"/>
  <c r="AI85" i="7"/>
  <c r="AI86" i="7"/>
  <c r="I105" i="3" s="1"/>
  <c r="AI87" i="7"/>
  <c r="I106" i="3" s="1"/>
  <c r="AI88" i="7"/>
  <c r="I107" i="3" s="1"/>
  <c r="AI89" i="7"/>
  <c r="I108" i="3" s="1"/>
  <c r="AI90" i="7"/>
  <c r="I109" i="3" s="1"/>
  <c r="AI91" i="7"/>
  <c r="AI92" i="7"/>
  <c r="AI93" i="7"/>
  <c r="AI94" i="7"/>
  <c r="AI95" i="7"/>
  <c r="AI77" i="4"/>
  <c r="I4" i="3" s="1"/>
  <c r="AI78" i="4"/>
  <c r="I5" i="3" s="1"/>
  <c r="AI79" i="4"/>
  <c r="I6" i="3" s="1"/>
  <c r="AI80" i="4"/>
  <c r="I7" i="3" s="1"/>
  <c r="AI81" i="4"/>
  <c r="I8" i="3" s="1"/>
  <c r="AI82" i="4"/>
  <c r="I9" i="3" s="1"/>
  <c r="AI83" i="4"/>
  <c r="I10" i="3" s="1"/>
  <c r="AI84" i="4"/>
  <c r="I11" i="3" s="1"/>
  <c r="AI85" i="4"/>
  <c r="I12" i="3" s="1"/>
  <c r="AI86" i="4"/>
  <c r="I13" i="3" s="1"/>
  <c r="AI87" i="4"/>
  <c r="AI88" i="4"/>
  <c r="I15" i="3" s="1"/>
  <c r="AI89" i="4"/>
  <c r="I16" i="3" s="1"/>
  <c r="AI90" i="4"/>
  <c r="I17" i="3" s="1"/>
  <c r="AI91" i="4"/>
  <c r="I18" i="3" s="1"/>
  <c r="AI92" i="4"/>
  <c r="I19" i="3" s="1"/>
  <c r="AI93" i="4"/>
  <c r="I20" i="3" s="1"/>
  <c r="AI94" i="4"/>
  <c r="I21" i="3" s="1"/>
  <c r="AI95" i="4"/>
  <c r="I22" i="3" s="1"/>
  <c r="AI53" i="2"/>
  <c r="H27" i="3" s="1"/>
  <c r="AI54" i="2"/>
  <c r="H28" i="3" s="1"/>
  <c r="AI55" i="2"/>
  <c r="H29" i="3" s="1"/>
  <c r="AI56" i="2"/>
  <c r="H30" i="3" s="1"/>
  <c r="AI57" i="2"/>
  <c r="H31" i="3" s="1"/>
  <c r="AI58" i="2"/>
  <c r="H32" i="3" s="1"/>
  <c r="AI59" i="2"/>
  <c r="H33" i="3" s="1"/>
  <c r="AI60" i="2"/>
  <c r="H34" i="3" s="1"/>
  <c r="AI61" i="2"/>
  <c r="H35" i="3" s="1"/>
  <c r="AI62" i="2"/>
  <c r="H36" i="3" s="1"/>
  <c r="AI63" i="2"/>
  <c r="H37" i="3" s="1"/>
  <c r="AI64" i="2"/>
  <c r="H38" i="3" s="1"/>
  <c r="AI65" i="2"/>
  <c r="H39" i="3" s="1"/>
  <c r="AI66" i="2"/>
  <c r="H40" i="3" s="1"/>
  <c r="AI67" i="2"/>
  <c r="H41" i="3" s="1"/>
  <c r="AI68" i="2"/>
  <c r="H42" i="3" s="1"/>
  <c r="AI69" i="2"/>
  <c r="H43" i="3" s="1"/>
  <c r="AI70" i="2"/>
  <c r="H44" i="3" s="1"/>
  <c r="AI71" i="2"/>
  <c r="H45" i="3" s="1"/>
  <c r="AI53" i="5"/>
  <c r="H50" i="3" s="1"/>
  <c r="AI54" i="5"/>
  <c r="H51" i="3" s="1"/>
  <c r="AI55" i="5"/>
  <c r="H52" i="3" s="1"/>
  <c r="AI56" i="5"/>
  <c r="H53" i="3" s="1"/>
  <c r="AI57" i="5"/>
  <c r="H54" i="3" s="1"/>
  <c r="AI58" i="5"/>
  <c r="H55" i="3" s="1"/>
  <c r="AI59" i="5"/>
  <c r="H56" i="3" s="1"/>
  <c r="AI60" i="5"/>
  <c r="H57" i="3" s="1"/>
  <c r="AI61" i="5"/>
  <c r="H58" i="3" s="1"/>
  <c r="AI62" i="5"/>
  <c r="H59" i="3" s="1"/>
  <c r="AI63" i="5"/>
  <c r="H60" i="3" s="1"/>
  <c r="AI64" i="5"/>
  <c r="H61" i="3" s="1"/>
  <c r="AI65" i="5"/>
  <c r="H62" i="3" s="1"/>
  <c r="AI66" i="5"/>
  <c r="H63" i="3" s="1"/>
  <c r="AI67" i="5"/>
  <c r="H64" i="3" s="1"/>
  <c r="AI68" i="5"/>
  <c r="H65" i="3" s="1"/>
  <c r="AI69" i="5"/>
  <c r="H66" i="3" s="1"/>
  <c r="AI70" i="5"/>
  <c r="H67" i="3" s="1"/>
  <c r="AI71" i="5"/>
  <c r="H68" i="3" s="1"/>
  <c r="AI53" i="6"/>
  <c r="H73" i="3" s="1"/>
  <c r="AI54" i="6"/>
  <c r="H74" i="3" s="1"/>
  <c r="AI55" i="6"/>
  <c r="H75" i="3" s="1"/>
  <c r="AI56" i="6"/>
  <c r="H76" i="3" s="1"/>
  <c r="AI57" i="6"/>
  <c r="H77" i="3" s="1"/>
  <c r="AI58" i="6"/>
  <c r="H78" i="3" s="1"/>
  <c r="AI59" i="6"/>
  <c r="H79" i="3" s="1"/>
  <c r="AI60" i="6"/>
  <c r="AI61" i="6"/>
  <c r="H81" i="3" s="1"/>
  <c r="AI62" i="6"/>
  <c r="H82" i="3" s="1"/>
  <c r="AI63" i="6"/>
  <c r="H83" i="3" s="1"/>
  <c r="AI64" i="6"/>
  <c r="H84" i="3" s="1"/>
  <c r="AI65" i="6"/>
  <c r="H85" i="3" s="1"/>
  <c r="AI66" i="6"/>
  <c r="H86" i="3" s="1"/>
  <c r="AI67" i="6"/>
  <c r="H87" i="3" s="1"/>
  <c r="AI68" i="6"/>
  <c r="H88" i="3" s="1"/>
  <c r="AI69" i="6"/>
  <c r="H89" i="3" s="1"/>
  <c r="AI70" i="6"/>
  <c r="H90" i="3" s="1"/>
  <c r="AI71" i="6"/>
  <c r="H91" i="3" s="1"/>
  <c r="AI53" i="7"/>
  <c r="H96" i="3" s="1"/>
  <c r="AI54" i="7"/>
  <c r="H97" i="3" s="1"/>
  <c r="AI55" i="7"/>
  <c r="H98" i="3" s="1"/>
  <c r="AI56" i="7"/>
  <c r="H99" i="3" s="1"/>
  <c r="AI57" i="7"/>
  <c r="H100" i="3" s="1"/>
  <c r="AI58" i="7"/>
  <c r="H101" i="3" s="1"/>
  <c r="AI59" i="7"/>
  <c r="H102" i="3" s="1"/>
  <c r="AI60" i="7"/>
  <c r="H103" i="3" s="1"/>
  <c r="AI61" i="7"/>
  <c r="H104" i="3" s="1"/>
  <c r="AI62" i="7"/>
  <c r="H105" i="3" s="1"/>
  <c r="AI63" i="7"/>
  <c r="H106" i="3" s="1"/>
  <c r="AI64" i="7"/>
  <c r="H107" i="3" s="1"/>
  <c r="AI65" i="7"/>
  <c r="H108" i="3" s="1"/>
  <c r="AI66" i="7"/>
  <c r="H109" i="3" s="1"/>
  <c r="AI67" i="7"/>
  <c r="AI68" i="7"/>
  <c r="AI69" i="7"/>
  <c r="AI70" i="7"/>
  <c r="H113" i="3" s="1"/>
  <c r="AI71" i="7"/>
  <c r="H114" i="3" s="1"/>
  <c r="AI53" i="4"/>
  <c r="H4" i="3" s="1"/>
  <c r="AI54" i="4"/>
  <c r="H5" i="3" s="1"/>
  <c r="AI55" i="4"/>
  <c r="H6" i="3" s="1"/>
  <c r="AI56" i="4"/>
  <c r="H7" i="3" s="1"/>
  <c r="AI57" i="4"/>
  <c r="H8" i="3" s="1"/>
  <c r="AI58" i="4"/>
  <c r="H9" i="3" s="1"/>
  <c r="AI59" i="4"/>
  <c r="H10" i="3" s="1"/>
  <c r="AI60" i="4"/>
  <c r="H11" i="3" s="1"/>
  <c r="AI61" i="4"/>
  <c r="H12" i="3" s="1"/>
  <c r="AI62" i="4"/>
  <c r="H13" i="3" s="1"/>
  <c r="AI63" i="4"/>
  <c r="H14" i="3" s="1"/>
  <c r="AI64" i="4"/>
  <c r="H15" i="3" s="1"/>
  <c r="AI65" i="4"/>
  <c r="H16" i="3" s="1"/>
  <c r="AI66" i="4"/>
  <c r="H17" i="3" s="1"/>
  <c r="AI67" i="4"/>
  <c r="H18" i="3" s="1"/>
  <c r="AI68" i="4"/>
  <c r="H19" i="3" s="1"/>
  <c r="AI69" i="4"/>
  <c r="H20" i="3" s="1"/>
  <c r="AI70" i="4"/>
  <c r="H21" i="3" s="1"/>
  <c r="AI71" i="4"/>
  <c r="H22" i="3" s="1"/>
  <c r="AI29" i="2"/>
  <c r="G27" i="3" s="1"/>
  <c r="AI30" i="2"/>
  <c r="G28" i="3" s="1"/>
  <c r="AI31" i="2"/>
  <c r="G29" i="3" s="1"/>
  <c r="AI32" i="2"/>
  <c r="G30" i="3" s="1"/>
  <c r="AI33" i="2"/>
  <c r="G31" i="3" s="1"/>
  <c r="AI34" i="2"/>
  <c r="G32" i="3" s="1"/>
  <c r="AI35" i="2"/>
  <c r="G33" i="3" s="1"/>
  <c r="AI36" i="2"/>
  <c r="G34" i="3" s="1"/>
  <c r="AI37" i="2"/>
  <c r="G35" i="3" s="1"/>
  <c r="AI38" i="2"/>
  <c r="G36" i="3" s="1"/>
  <c r="AI39" i="2"/>
  <c r="G37" i="3" s="1"/>
  <c r="AI40" i="2"/>
  <c r="G38" i="3" s="1"/>
  <c r="AI41" i="2"/>
  <c r="G39" i="3" s="1"/>
  <c r="AI42" i="2"/>
  <c r="G40" i="3" s="1"/>
  <c r="AI43" i="2"/>
  <c r="G41" i="3" s="1"/>
  <c r="AI44" i="2"/>
  <c r="G42" i="3" s="1"/>
  <c r="AI45" i="2"/>
  <c r="G43" i="3" s="1"/>
  <c r="AI46" i="2"/>
  <c r="G44" i="3" s="1"/>
  <c r="AI47" i="2"/>
  <c r="G45" i="3" s="1"/>
  <c r="AI29" i="5"/>
  <c r="G50" i="3" s="1"/>
  <c r="AI30" i="5"/>
  <c r="G51" i="3" s="1"/>
  <c r="AI31" i="5"/>
  <c r="G52" i="3" s="1"/>
  <c r="AI32" i="5"/>
  <c r="G53" i="3" s="1"/>
  <c r="AI33" i="5"/>
  <c r="G54" i="3" s="1"/>
  <c r="AI34" i="5"/>
  <c r="G55" i="3" s="1"/>
  <c r="AI35" i="5"/>
  <c r="G56" i="3" s="1"/>
  <c r="AI36" i="5"/>
  <c r="G57" i="3" s="1"/>
  <c r="AI37" i="5"/>
  <c r="G58" i="3" s="1"/>
  <c r="AI38" i="5"/>
  <c r="G59" i="3" s="1"/>
  <c r="AI39" i="5"/>
  <c r="G60" i="3" s="1"/>
  <c r="AI40" i="5"/>
  <c r="G61" i="3" s="1"/>
  <c r="AI41" i="5"/>
  <c r="G62" i="3" s="1"/>
  <c r="AI42" i="5"/>
  <c r="G63" i="3" s="1"/>
  <c r="AI43" i="5"/>
  <c r="G64" i="3" s="1"/>
  <c r="AI44" i="5"/>
  <c r="G65" i="3" s="1"/>
  <c r="AI45" i="5"/>
  <c r="G66" i="3" s="1"/>
  <c r="AI46" i="5"/>
  <c r="G67" i="3" s="1"/>
  <c r="AI47" i="5"/>
  <c r="G68" i="3" s="1"/>
  <c r="AI29" i="6"/>
  <c r="G73" i="3" s="1"/>
  <c r="AI30" i="6"/>
  <c r="G74" i="3" s="1"/>
  <c r="AI31" i="6"/>
  <c r="G75" i="3" s="1"/>
  <c r="AI32" i="6"/>
  <c r="G76" i="3" s="1"/>
  <c r="AI33" i="6"/>
  <c r="G77" i="3" s="1"/>
  <c r="AI34" i="6"/>
  <c r="G78" i="3" s="1"/>
  <c r="AI35" i="6"/>
  <c r="G79" i="3" s="1"/>
  <c r="AI36" i="6"/>
  <c r="G80" i="3" s="1"/>
  <c r="AI37" i="6"/>
  <c r="G81" i="3" s="1"/>
  <c r="AI38" i="6"/>
  <c r="G82" i="3" s="1"/>
  <c r="AI39" i="6"/>
  <c r="G83" i="3" s="1"/>
  <c r="AI40" i="6"/>
  <c r="G84" i="3" s="1"/>
  <c r="AI41" i="6"/>
  <c r="G85" i="3" s="1"/>
  <c r="AI42" i="6"/>
  <c r="G86" i="3" s="1"/>
  <c r="AI43" i="6"/>
  <c r="G87" i="3" s="1"/>
  <c r="AI44" i="6"/>
  <c r="G88" i="3" s="1"/>
  <c r="AI45" i="6"/>
  <c r="G89" i="3" s="1"/>
  <c r="AI46" i="6"/>
  <c r="G90" i="3" s="1"/>
  <c r="AI47" i="6"/>
  <c r="G91" i="3" s="1"/>
  <c r="AI29" i="7"/>
  <c r="G96" i="3" s="1"/>
  <c r="AI30" i="7"/>
  <c r="G97" i="3" s="1"/>
  <c r="AI31" i="7"/>
  <c r="G98" i="3" s="1"/>
  <c r="AI32" i="7"/>
  <c r="G99" i="3" s="1"/>
  <c r="AI33" i="7"/>
  <c r="G100" i="3" s="1"/>
  <c r="AI34" i="7"/>
  <c r="G101" i="3" s="1"/>
  <c r="AI35" i="7"/>
  <c r="G102" i="3" s="1"/>
  <c r="AI36" i="7"/>
  <c r="G103" i="3" s="1"/>
  <c r="AI37" i="7"/>
  <c r="G104" i="3" s="1"/>
  <c r="AI38" i="7"/>
  <c r="G105" i="3" s="1"/>
  <c r="AI39" i="7"/>
  <c r="G106" i="3" s="1"/>
  <c r="AI40" i="7"/>
  <c r="G107" i="3" s="1"/>
  <c r="AI41" i="7"/>
  <c r="G108" i="3" s="1"/>
  <c r="AI42" i="7"/>
  <c r="G109" i="3" s="1"/>
  <c r="AI43" i="7"/>
  <c r="G110" i="3" s="1"/>
  <c r="AI44" i="7"/>
  <c r="G111" i="3" s="1"/>
  <c r="AI45" i="7"/>
  <c r="G112" i="3" s="1"/>
  <c r="AI46" i="7"/>
  <c r="G113" i="3" s="1"/>
  <c r="AI47" i="7"/>
  <c r="G114" i="3" s="1"/>
  <c r="AI29" i="4"/>
  <c r="G4" i="3" s="1"/>
  <c r="AI30" i="4"/>
  <c r="G5" i="3" s="1"/>
  <c r="AI31" i="4"/>
  <c r="G6" i="3" s="1"/>
  <c r="AI32" i="4"/>
  <c r="G7" i="3" s="1"/>
  <c r="AI33" i="4"/>
  <c r="G8" i="3" s="1"/>
  <c r="AI34" i="4"/>
  <c r="G9" i="3" s="1"/>
  <c r="AI35" i="4"/>
  <c r="G10" i="3" s="1"/>
  <c r="AI36" i="4"/>
  <c r="G11" i="3" s="1"/>
  <c r="AI37" i="4"/>
  <c r="G12" i="3" s="1"/>
  <c r="AI38" i="4"/>
  <c r="G13" i="3" s="1"/>
  <c r="AI39" i="4"/>
  <c r="G14" i="3" s="1"/>
  <c r="AI40" i="4"/>
  <c r="G15" i="3" s="1"/>
  <c r="AI41" i="4"/>
  <c r="G16" i="3" s="1"/>
  <c r="AI42" i="4"/>
  <c r="G17" i="3" s="1"/>
  <c r="AI43" i="4"/>
  <c r="G18" i="3" s="1"/>
  <c r="AI44" i="4"/>
  <c r="G19" i="3" s="1"/>
  <c r="AI45" i="4"/>
  <c r="G20" i="3" s="1"/>
  <c r="AI46" i="4"/>
  <c r="G21" i="3" s="1"/>
  <c r="AI47" i="4"/>
  <c r="G22" i="3" s="1"/>
  <c r="AI5" i="2"/>
  <c r="F27" i="3" s="1"/>
  <c r="AI6" i="2"/>
  <c r="F28" i="3" s="1"/>
  <c r="AI7" i="2"/>
  <c r="F29" i="3" s="1"/>
  <c r="AI8" i="2"/>
  <c r="F30" i="3" s="1"/>
  <c r="AI9" i="2"/>
  <c r="F31" i="3" s="1"/>
  <c r="AI10" i="2"/>
  <c r="F32" i="3" s="1"/>
  <c r="AI11" i="2"/>
  <c r="F33" i="3" s="1"/>
  <c r="AI12" i="2"/>
  <c r="F34" i="3" s="1"/>
  <c r="AI13" i="2"/>
  <c r="F35" i="3" s="1"/>
  <c r="AI14" i="2"/>
  <c r="F36" i="3" s="1"/>
  <c r="AI15" i="2"/>
  <c r="F37" i="3" s="1"/>
  <c r="AI16" i="2"/>
  <c r="F38" i="3" s="1"/>
  <c r="AI17" i="2"/>
  <c r="F39" i="3" s="1"/>
  <c r="AI18" i="2"/>
  <c r="F40" i="3" s="1"/>
  <c r="AI19" i="2"/>
  <c r="F41" i="3" s="1"/>
  <c r="AI20" i="2"/>
  <c r="F42" i="3" s="1"/>
  <c r="AI21" i="2"/>
  <c r="F43" i="3" s="1"/>
  <c r="AI22" i="2"/>
  <c r="F44" i="3" s="1"/>
  <c r="AI23" i="2"/>
  <c r="F45" i="3" s="1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5" i="6"/>
  <c r="F73" i="3" s="1"/>
  <c r="AI6" i="6"/>
  <c r="F74" i="3" s="1"/>
  <c r="AI7" i="6"/>
  <c r="F75" i="3" s="1"/>
  <c r="AI8" i="6"/>
  <c r="F76" i="3" s="1"/>
  <c r="AI9" i="6"/>
  <c r="F77" i="3" s="1"/>
  <c r="AI10" i="6"/>
  <c r="F78" i="3" s="1"/>
  <c r="AI11" i="6"/>
  <c r="F79" i="3" s="1"/>
  <c r="AI12" i="6"/>
  <c r="F80" i="3" s="1"/>
  <c r="AI13" i="6"/>
  <c r="F81" i="3" s="1"/>
  <c r="AI14" i="6"/>
  <c r="F82" i="3" s="1"/>
  <c r="AI15" i="6"/>
  <c r="F83" i="3" s="1"/>
  <c r="AI16" i="6"/>
  <c r="F84" i="3" s="1"/>
  <c r="AI17" i="6"/>
  <c r="F85" i="3" s="1"/>
  <c r="AI18" i="6"/>
  <c r="F86" i="3" s="1"/>
  <c r="AI19" i="6"/>
  <c r="F87" i="3" s="1"/>
  <c r="AI20" i="6"/>
  <c r="F88" i="3" s="1"/>
  <c r="AI21" i="6"/>
  <c r="F89" i="3" s="1"/>
  <c r="AI22" i="6"/>
  <c r="F90" i="3" s="1"/>
  <c r="AI23" i="6"/>
  <c r="F91" i="3" s="1"/>
  <c r="AI5" i="7"/>
  <c r="F96" i="3" s="1"/>
  <c r="AI6" i="7"/>
  <c r="F97" i="3" s="1"/>
  <c r="AI7" i="7"/>
  <c r="F98" i="3" s="1"/>
  <c r="AI8" i="7"/>
  <c r="F99" i="3" s="1"/>
  <c r="AI9" i="7"/>
  <c r="F100" i="3" s="1"/>
  <c r="AI10" i="7"/>
  <c r="F101" i="3" s="1"/>
  <c r="AH11" i="7"/>
  <c r="AI11" i="7"/>
  <c r="F102" i="3" s="1"/>
  <c r="AI12" i="7"/>
  <c r="F103" i="3" s="1"/>
  <c r="AI13" i="7"/>
  <c r="F104" i="3" s="1"/>
  <c r="AI14" i="7"/>
  <c r="F105" i="3" s="1"/>
  <c r="AI15" i="7"/>
  <c r="F106" i="3" s="1"/>
  <c r="AI16" i="7"/>
  <c r="F107" i="3" s="1"/>
  <c r="AI17" i="7"/>
  <c r="F108" i="3" s="1"/>
  <c r="AI18" i="7"/>
  <c r="F109" i="3" s="1"/>
  <c r="AI19" i="7"/>
  <c r="F110" i="3" s="1"/>
  <c r="AI20" i="7"/>
  <c r="F111" i="3" s="1"/>
  <c r="AI21" i="7"/>
  <c r="F112" i="3" s="1"/>
  <c r="AI22" i="7"/>
  <c r="F113" i="3" s="1"/>
  <c r="AI23" i="7"/>
  <c r="F114" i="3" s="1"/>
  <c r="AI5" i="4"/>
  <c r="F4" i="3" s="1"/>
  <c r="AI6" i="4"/>
  <c r="F5" i="3" s="1"/>
  <c r="AI7" i="4"/>
  <c r="F6" i="3" s="1"/>
  <c r="AI8" i="4"/>
  <c r="F7" i="3" s="1"/>
  <c r="AI9" i="4"/>
  <c r="F8" i="3" s="1"/>
  <c r="AI10" i="4"/>
  <c r="F9" i="3" s="1"/>
  <c r="AI11" i="4"/>
  <c r="F10" i="3" s="1"/>
  <c r="AI12" i="4"/>
  <c r="F11" i="3" s="1"/>
  <c r="AI13" i="4"/>
  <c r="F12" i="3" s="1"/>
  <c r="AI14" i="4"/>
  <c r="F13" i="3" s="1"/>
  <c r="AI15" i="4"/>
  <c r="F14" i="3" s="1"/>
  <c r="AI16" i="4"/>
  <c r="F15" i="3" s="1"/>
  <c r="AI17" i="4"/>
  <c r="F16" i="3" s="1"/>
  <c r="AI18" i="4"/>
  <c r="F17" i="3" s="1"/>
  <c r="AI19" i="4"/>
  <c r="F18" i="3" s="1"/>
  <c r="AI20" i="4"/>
  <c r="F19" i="3" s="1"/>
  <c r="AI21" i="4"/>
  <c r="F20" i="3" s="1"/>
  <c r="AI22" i="4"/>
  <c r="F21" i="3" s="1"/>
  <c r="AI23" i="4"/>
  <c r="F22" i="3" s="1"/>
  <c r="N55" i="3"/>
  <c r="L34" i="3"/>
  <c r="L36" i="3"/>
  <c r="A287" i="7"/>
  <c r="AH287" i="7" s="1"/>
  <c r="A286" i="7"/>
  <c r="AH286" i="7" s="1"/>
  <c r="A285" i="7"/>
  <c r="AH285" i="7" s="1"/>
  <c r="A284" i="7"/>
  <c r="AH284" i="7" s="1"/>
  <c r="A283" i="7"/>
  <c r="AH283" i="7" s="1"/>
  <c r="A282" i="7"/>
  <c r="AH282" i="7" s="1"/>
  <c r="A281" i="7"/>
  <c r="AH281" i="7" s="1"/>
  <c r="A280" i="7"/>
  <c r="AH280" i="7" s="1"/>
  <c r="A279" i="7"/>
  <c r="AH279" i="7" s="1"/>
  <c r="A278" i="7"/>
  <c r="AH278" i="7" s="1"/>
  <c r="A277" i="7"/>
  <c r="AH277" i="7" s="1"/>
  <c r="A276" i="7"/>
  <c r="AH276" i="7" s="1"/>
  <c r="A275" i="7"/>
  <c r="AH275" i="7" s="1"/>
  <c r="A274" i="7"/>
  <c r="AH274" i="7" s="1"/>
  <c r="A273" i="7"/>
  <c r="AH273" i="7" s="1"/>
  <c r="A272" i="7"/>
  <c r="AH272" i="7" s="1"/>
  <c r="A271" i="7"/>
  <c r="AH271" i="7" s="1"/>
  <c r="A270" i="7"/>
  <c r="AH270" i="7" s="1"/>
  <c r="A269" i="7"/>
  <c r="AH269" i="7" s="1"/>
  <c r="A268" i="7"/>
  <c r="A263" i="7"/>
  <c r="AH263" i="7" s="1"/>
  <c r="A262" i="7"/>
  <c r="AH262" i="7" s="1"/>
  <c r="A261" i="7"/>
  <c r="AH261" i="7" s="1"/>
  <c r="A260" i="7"/>
  <c r="AH260" i="7" s="1"/>
  <c r="A259" i="7"/>
  <c r="AH259" i="7" s="1"/>
  <c r="A258" i="7"/>
  <c r="AH258" i="7" s="1"/>
  <c r="A257" i="7"/>
  <c r="AH257" i="7" s="1"/>
  <c r="A256" i="7"/>
  <c r="AH256" i="7" s="1"/>
  <c r="A255" i="7"/>
  <c r="AH255" i="7" s="1"/>
  <c r="A254" i="7"/>
  <c r="AH254" i="7" s="1"/>
  <c r="A253" i="7"/>
  <c r="AH253" i="7" s="1"/>
  <c r="A252" i="7"/>
  <c r="AH252" i="7" s="1"/>
  <c r="A251" i="7"/>
  <c r="AH251" i="7" s="1"/>
  <c r="A250" i="7"/>
  <c r="AH250" i="7" s="1"/>
  <c r="A249" i="7"/>
  <c r="AH249" i="7" s="1"/>
  <c r="A248" i="7"/>
  <c r="AH248" i="7" s="1"/>
  <c r="A247" i="7"/>
  <c r="AH247" i="7" s="1"/>
  <c r="A246" i="7"/>
  <c r="AH246" i="7" s="1"/>
  <c r="A245" i="7"/>
  <c r="AH245" i="7" s="1"/>
  <c r="A244" i="7"/>
  <c r="A239" i="7"/>
  <c r="AH239" i="7" s="1"/>
  <c r="A238" i="7"/>
  <c r="AH238" i="7" s="1"/>
  <c r="A237" i="7"/>
  <c r="AH237" i="7" s="1"/>
  <c r="A236" i="7"/>
  <c r="AH236" i="7" s="1"/>
  <c r="A235" i="7"/>
  <c r="AH235" i="7" s="1"/>
  <c r="A234" i="7"/>
  <c r="AH234" i="7" s="1"/>
  <c r="A233" i="7"/>
  <c r="AH233" i="7" s="1"/>
  <c r="A232" i="7"/>
  <c r="AH232" i="7" s="1"/>
  <c r="A231" i="7"/>
  <c r="AH231" i="7" s="1"/>
  <c r="A230" i="7"/>
  <c r="AH230" i="7" s="1"/>
  <c r="A229" i="7"/>
  <c r="AH229" i="7" s="1"/>
  <c r="A228" i="7"/>
  <c r="AH228" i="7" s="1"/>
  <c r="A227" i="7"/>
  <c r="AH227" i="7" s="1"/>
  <c r="A226" i="7"/>
  <c r="AH226" i="7" s="1"/>
  <c r="A225" i="7"/>
  <c r="AH225" i="7" s="1"/>
  <c r="A224" i="7"/>
  <c r="AH224" i="7" s="1"/>
  <c r="A223" i="7"/>
  <c r="AH223" i="7" s="1"/>
  <c r="A222" i="7"/>
  <c r="AH222" i="7" s="1"/>
  <c r="A221" i="7"/>
  <c r="AH221" i="7" s="1"/>
  <c r="A220" i="7"/>
  <c r="A215" i="7"/>
  <c r="AH215" i="7" s="1"/>
  <c r="A214" i="7"/>
  <c r="AH214" i="7" s="1"/>
  <c r="A213" i="7"/>
  <c r="AH213" i="7" s="1"/>
  <c r="A212" i="7"/>
  <c r="AH212" i="7" s="1"/>
  <c r="A211" i="7"/>
  <c r="AH211" i="7" s="1"/>
  <c r="A210" i="7"/>
  <c r="AH210" i="7" s="1"/>
  <c r="A209" i="7"/>
  <c r="AH209" i="7" s="1"/>
  <c r="A208" i="7"/>
  <c r="AH208" i="7" s="1"/>
  <c r="A207" i="7"/>
  <c r="AH207" i="7" s="1"/>
  <c r="A206" i="7"/>
  <c r="AH206" i="7" s="1"/>
  <c r="A205" i="7"/>
  <c r="AH205" i="7" s="1"/>
  <c r="A204" i="7"/>
  <c r="AH204" i="7" s="1"/>
  <c r="A203" i="7"/>
  <c r="AH203" i="7" s="1"/>
  <c r="A202" i="7"/>
  <c r="AH202" i="7" s="1"/>
  <c r="A201" i="7"/>
  <c r="AH201" i="7" s="1"/>
  <c r="A200" i="7"/>
  <c r="AH200" i="7" s="1"/>
  <c r="A199" i="7"/>
  <c r="AH199" i="7" s="1"/>
  <c r="A198" i="7"/>
  <c r="AH198" i="7" s="1"/>
  <c r="A197" i="7"/>
  <c r="AH197" i="7" s="1"/>
  <c r="A196" i="7"/>
  <c r="A191" i="7"/>
  <c r="AH191" i="7" s="1"/>
  <c r="A190" i="7"/>
  <c r="AH190" i="7" s="1"/>
  <c r="A189" i="7"/>
  <c r="AH189" i="7" s="1"/>
  <c r="A188" i="7"/>
  <c r="AH188" i="7" s="1"/>
  <c r="A187" i="7"/>
  <c r="AH187" i="7" s="1"/>
  <c r="A186" i="7"/>
  <c r="AH186" i="7" s="1"/>
  <c r="A185" i="7"/>
  <c r="AH185" i="7" s="1"/>
  <c r="A184" i="7"/>
  <c r="AH184" i="7" s="1"/>
  <c r="A183" i="7"/>
  <c r="AH183" i="7" s="1"/>
  <c r="A182" i="7"/>
  <c r="AH182" i="7" s="1"/>
  <c r="A181" i="7"/>
  <c r="AH181" i="7" s="1"/>
  <c r="A180" i="7"/>
  <c r="AH180" i="7" s="1"/>
  <c r="A179" i="7"/>
  <c r="AH179" i="7" s="1"/>
  <c r="A178" i="7"/>
  <c r="AH178" i="7" s="1"/>
  <c r="A177" i="7"/>
  <c r="AH177" i="7" s="1"/>
  <c r="A176" i="7"/>
  <c r="AH176" i="7" s="1"/>
  <c r="A175" i="7"/>
  <c r="AH175" i="7" s="1"/>
  <c r="A174" i="7"/>
  <c r="AH174" i="7" s="1"/>
  <c r="A173" i="7"/>
  <c r="AH173" i="7" s="1"/>
  <c r="A172" i="7"/>
  <c r="A167" i="7"/>
  <c r="AH167" i="7" s="1"/>
  <c r="A166" i="7"/>
  <c r="AH166" i="7" s="1"/>
  <c r="A165" i="7"/>
  <c r="AH165" i="7" s="1"/>
  <c r="A164" i="7"/>
  <c r="AH164" i="7" s="1"/>
  <c r="A163" i="7"/>
  <c r="AH163" i="7" s="1"/>
  <c r="A162" i="7"/>
  <c r="AH162" i="7" s="1"/>
  <c r="A161" i="7"/>
  <c r="AH161" i="7" s="1"/>
  <c r="A160" i="7"/>
  <c r="AH160" i="7" s="1"/>
  <c r="A159" i="7"/>
  <c r="AH159" i="7" s="1"/>
  <c r="A158" i="7"/>
  <c r="AH158" i="7" s="1"/>
  <c r="A157" i="7"/>
  <c r="AH157" i="7" s="1"/>
  <c r="A156" i="7"/>
  <c r="AH156" i="7" s="1"/>
  <c r="A155" i="7"/>
  <c r="AH155" i="7" s="1"/>
  <c r="A154" i="7"/>
  <c r="AH154" i="7" s="1"/>
  <c r="A153" i="7"/>
  <c r="AH153" i="7" s="1"/>
  <c r="A152" i="7"/>
  <c r="AH152" i="7" s="1"/>
  <c r="A151" i="7"/>
  <c r="AH151" i="7" s="1"/>
  <c r="A150" i="7"/>
  <c r="AH150" i="7" s="1"/>
  <c r="A149" i="7"/>
  <c r="AH149" i="7" s="1"/>
  <c r="A148" i="7"/>
  <c r="A143" i="7"/>
  <c r="AH143" i="7" s="1"/>
  <c r="A142" i="7"/>
  <c r="AH142" i="7" s="1"/>
  <c r="A141" i="7"/>
  <c r="AH141" i="7" s="1"/>
  <c r="A140" i="7"/>
  <c r="AH140" i="7" s="1"/>
  <c r="A139" i="7"/>
  <c r="AH139" i="7" s="1"/>
  <c r="A138" i="7"/>
  <c r="AH138" i="7" s="1"/>
  <c r="A137" i="7"/>
  <c r="AH137" i="7" s="1"/>
  <c r="A136" i="7"/>
  <c r="AH136" i="7" s="1"/>
  <c r="A135" i="7"/>
  <c r="AH135" i="7" s="1"/>
  <c r="A134" i="7"/>
  <c r="AH134" i="7" s="1"/>
  <c r="A133" i="7"/>
  <c r="AH133" i="7" s="1"/>
  <c r="A132" i="7"/>
  <c r="AH132" i="7" s="1"/>
  <c r="A131" i="7"/>
  <c r="AH131" i="7" s="1"/>
  <c r="A130" i="7"/>
  <c r="AH130" i="7" s="1"/>
  <c r="A129" i="7"/>
  <c r="AH129" i="7" s="1"/>
  <c r="A128" i="7"/>
  <c r="AH128" i="7" s="1"/>
  <c r="A127" i="7"/>
  <c r="AH127" i="7" s="1"/>
  <c r="A126" i="7"/>
  <c r="AH126" i="7" s="1"/>
  <c r="A125" i="7"/>
  <c r="AH125" i="7" s="1"/>
  <c r="A124" i="7"/>
  <c r="A119" i="7"/>
  <c r="AH119" i="7" s="1"/>
  <c r="A118" i="7"/>
  <c r="AH118" i="7" s="1"/>
  <c r="A117" i="7"/>
  <c r="AH117" i="7" s="1"/>
  <c r="A116" i="7"/>
  <c r="AH116" i="7" s="1"/>
  <c r="A115" i="7"/>
  <c r="AH115" i="7" s="1"/>
  <c r="A114" i="7"/>
  <c r="AH114" i="7" s="1"/>
  <c r="A113" i="7"/>
  <c r="AH113" i="7" s="1"/>
  <c r="A112" i="7"/>
  <c r="AH112" i="7" s="1"/>
  <c r="A111" i="7"/>
  <c r="AH111" i="7" s="1"/>
  <c r="A110" i="7"/>
  <c r="AH110" i="7" s="1"/>
  <c r="A109" i="7"/>
  <c r="AH109" i="7" s="1"/>
  <c r="A108" i="7"/>
  <c r="AH108" i="7" s="1"/>
  <c r="A107" i="7"/>
  <c r="AH107" i="7" s="1"/>
  <c r="A106" i="7"/>
  <c r="AH106" i="7" s="1"/>
  <c r="A105" i="7"/>
  <c r="AH105" i="7" s="1"/>
  <c r="A104" i="7"/>
  <c r="AH104" i="7" s="1"/>
  <c r="A103" i="7"/>
  <c r="AH103" i="7" s="1"/>
  <c r="A102" i="7"/>
  <c r="AH102" i="7" s="1"/>
  <c r="A101" i="7"/>
  <c r="AH101" i="7" s="1"/>
  <c r="A100" i="7"/>
  <c r="A95" i="7"/>
  <c r="AH95" i="7" s="1"/>
  <c r="A94" i="7"/>
  <c r="AH94" i="7" s="1"/>
  <c r="A93" i="7"/>
  <c r="AH93" i="7" s="1"/>
  <c r="A92" i="7"/>
  <c r="AH92" i="7" s="1"/>
  <c r="A91" i="7"/>
  <c r="AH91" i="7" s="1"/>
  <c r="A90" i="7"/>
  <c r="AH90" i="7" s="1"/>
  <c r="A89" i="7"/>
  <c r="AH89" i="7" s="1"/>
  <c r="A88" i="7"/>
  <c r="AH88" i="7" s="1"/>
  <c r="A87" i="7"/>
  <c r="AH87" i="7" s="1"/>
  <c r="A86" i="7"/>
  <c r="AH86" i="7" s="1"/>
  <c r="A85" i="7"/>
  <c r="AH85" i="7" s="1"/>
  <c r="A84" i="7"/>
  <c r="AH84" i="7" s="1"/>
  <c r="A83" i="7"/>
  <c r="AH83" i="7" s="1"/>
  <c r="A82" i="7"/>
  <c r="AH82" i="7" s="1"/>
  <c r="A81" i="7"/>
  <c r="AH81" i="7" s="1"/>
  <c r="A80" i="7"/>
  <c r="AH80" i="7" s="1"/>
  <c r="A79" i="7"/>
  <c r="AH79" i="7" s="1"/>
  <c r="A78" i="7"/>
  <c r="AH78" i="7" s="1"/>
  <c r="A77" i="7"/>
  <c r="AH77" i="7" s="1"/>
  <c r="A76" i="7"/>
  <c r="A71" i="7"/>
  <c r="AH71" i="7" s="1"/>
  <c r="A70" i="7"/>
  <c r="AH70" i="7" s="1"/>
  <c r="A69" i="7"/>
  <c r="AH69" i="7" s="1"/>
  <c r="A68" i="7"/>
  <c r="AH68" i="7" s="1"/>
  <c r="A67" i="7"/>
  <c r="AH67" i="7" s="1"/>
  <c r="A66" i="7"/>
  <c r="AH66" i="7" s="1"/>
  <c r="A65" i="7"/>
  <c r="AH65" i="7" s="1"/>
  <c r="A64" i="7"/>
  <c r="AH64" i="7" s="1"/>
  <c r="A63" i="7"/>
  <c r="AH63" i="7" s="1"/>
  <c r="A62" i="7"/>
  <c r="AH62" i="7" s="1"/>
  <c r="A61" i="7"/>
  <c r="AH61" i="7" s="1"/>
  <c r="A60" i="7"/>
  <c r="AH60" i="7" s="1"/>
  <c r="A59" i="7"/>
  <c r="AH59" i="7" s="1"/>
  <c r="A58" i="7"/>
  <c r="AH58" i="7" s="1"/>
  <c r="A57" i="7"/>
  <c r="AH57" i="7" s="1"/>
  <c r="A56" i="7"/>
  <c r="AH56" i="7" s="1"/>
  <c r="A55" i="7"/>
  <c r="AH55" i="7" s="1"/>
  <c r="A54" i="7"/>
  <c r="AH54" i="7" s="1"/>
  <c r="A53" i="7"/>
  <c r="AH53" i="7" s="1"/>
  <c r="A52" i="7"/>
  <c r="A47" i="7"/>
  <c r="AH47" i="7" s="1"/>
  <c r="A46" i="7"/>
  <c r="AH46" i="7" s="1"/>
  <c r="A45" i="7"/>
  <c r="AH45" i="7" s="1"/>
  <c r="A44" i="7"/>
  <c r="AH44" i="7" s="1"/>
  <c r="A43" i="7"/>
  <c r="AH43" i="7" s="1"/>
  <c r="A42" i="7"/>
  <c r="AH42" i="7" s="1"/>
  <c r="A41" i="7"/>
  <c r="AH41" i="7" s="1"/>
  <c r="A40" i="7"/>
  <c r="AH40" i="7" s="1"/>
  <c r="A39" i="7"/>
  <c r="AH39" i="7" s="1"/>
  <c r="A38" i="7"/>
  <c r="AH38" i="7" s="1"/>
  <c r="A37" i="7"/>
  <c r="AH37" i="7" s="1"/>
  <c r="A36" i="7"/>
  <c r="AH36" i="7" s="1"/>
  <c r="A35" i="7"/>
  <c r="AH35" i="7" s="1"/>
  <c r="A34" i="7"/>
  <c r="AH34" i="7" s="1"/>
  <c r="A33" i="7"/>
  <c r="AH33" i="7" s="1"/>
  <c r="A32" i="7"/>
  <c r="AH32" i="7" s="1"/>
  <c r="A31" i="7"/>
  <c r="AH31" i="7" s="1"/>
  <c r="A30" i="7"/>
  <c r="AH30" i="7" s="1"/>
  <c r="A29" i="7"/>
  <c r="AH29" i="7" s="1"/>
  <c r="A28" i="7"/>
  <c r="A23" i="7"/>
  <c r="AH23" i="7" s="1"/>
  <c r="A22" i="7"/>
  <c r="AH22" i="7" s="1"/>
  <c r="A21" i="7"/>
  <c r="AH21" i="7" s="1"/>
  <c r="A20" i="7"/>
  <c r="AH20" i="7" s="1"/>
  <c r="A19" i="7"/>
  <c r="AH19" i="7" s="1"/>
  <c r="A18" i="7"/>
  <c r="AH18" i="7" s="1"/>
  <c r="A17" i="7"/>
  <c r="AH17" i="7" s="1"/>
  <c r="A16" i="7"/>
  <c r="AH16" i="7" s="1"/>
  <c r="A15" i="7"/>
  <c r="AH15" i="7" s="1"/>
  <c r="A14" i="7"/>
  <c r="AH14" i="7" s="1"/>
  <c r="A13" i="7"/>
  <c r="AH13" i="7" s="1"/>
  <c r="A12" i="7"/>
  <c r="AH12" i="7" s="1"/>
  <c r="A10" i="7"/>
  <c r="AH10" i="7" s="1"/>
  <c r="A9" i="7"/>
  <c r="AH9" i="7" s="1"/>
  <c r="A8" i="7"/>
  <c r="AH8" i="7" s="1"/>
  <c r="A7" i="7"/>
  <c r="AH7" i="7" s="1"/>
  <c r="A6" i="7"/>
  <c r="AH6" i="7" s="1"/>
  <c r="A5" i="7"/>
  <c r="AH5" i="7" s="1"/>
  <c r="A4" i="7"/>
  <c r="A287" i="6"/>
  <c r="AH287" i="6" s="1"/>
  <c r="A286" i="6"/>
  <c r="AH286" i="6" s="1"/>
  <c r="A285" i="6"/>
  <c r="AH285" i="6" s="1"/>
  <c r="A284" i="6"/>
  <c r="AH284" i="6" s="1"/>
  <c r="A283" i="6"/>
  <c r="AH283" i="6" s="1"/>
  <c r="A282" i="6"/>
  <c r="AH282" i="6" s="1"/>
  <c r="AF86" i="3" s="1"/>
  <c r="A281" i="6"/>
  <c r="AH281" i="6" s="1"/>
  <c r="AF85" i="3" s="1"/>
  <c r="A280" i="6"/>
  <c r="AH280" i="6" s="1"/>
  <c r="AF84" i="3" s="1"/>
  <c r="A279" i="6"/>
  <c r="AH279" i="6" s="1"/>
  <c r="AF83" i="3" s="1"/>
  <c r="A278" i="6"/>
  <c r="AH278" i="6" s="1"/>
  <c r="AF82" i="3" s="1"/>
  <c r="A277" i="6"/>
  <c r="AH277" i="6" s="1"/>
  <c r="A276" i="6"/>
  <c r="AH276" i="6" s="1"/>
  <c r="A275" i="6"/>
  <c r="AH275" i="6" s="1"/>
  <c r="A274" i="6"/>
  <c r="AH274" i="6" s="1"/>
  <c r="A273" i="6"/>
  <c r="AH273" i="6" s="1"/>
  <c r="A272" i="6"/>
  <c r="AH272" i="6" s="1"/>
  <c r="A271" i="6"/>
  <c r="AH271" i="6" s="1"/>
  <c r="A270" i="6"/>
  <c r="AH270" i="6" s="1"/>
  <c r="A269" i="6"/>
  <c r="AH269" i="6" s="1"/>
  <c r="A268" i="6"/>
  <c r="A263" i="6"/>
  <c r="AH263" i="6" s="1"/>
  <c r="A262" i="6"/>
  <c r="AH262" i="6" s="1"/>
  <c r="A261" i="6"/>
  <c r="AH261" i="6" s="1"/>
  <c r="A260" i="6"/>
  <c r="AH260" i="6" s="1"/>
  <c r="A259" i="6"/>
  <c r="AH259" i="6" s="1"/>
  <c r="A258" i="6"/>
  <c r="AH258" i="6" s="1"/>
  <c r="AE86" i="3" s="1"/>
  <c r="A257" i="6"/>
  <c r="AH257" i="6" s="1"/>
  <c r="AE85" i="3" s="1"/>
  <c r="A256" i="6"/>
  <c r="AH256" i="6" s="1"/>
  <c r="AE84" i="3" s="1"/>
  <c r="A255" i="6"/>
  <c r="AH255" i="6" s="1"/>
  <c r="AE83" i="3" s="1"/>
  <c r="A254" i="6"/>
  <c r="AH254" i="6" s="1"/>
  <c r="AE82" i="3" s="1"/>
  <c r="A253" i="6"/>
  <c r="AH253" i="6" s="1"/>
  <c r="A252" i="6"/>
  <c r="AH252" i="6" s="1"/>
  <c r="A251" i="6"/>
  <c r="AH251" i="6" s="1"/>
  <c r="A250" i="6"/>
  <c r="AH250" i="6" s="1"/>
  <c r="A249" i="6"/>
  <c r="AH249" i="6" s="1"/>
  <c r="A248" i="6"/>
  <c r="AH248" i="6" s="1"/>
  <c r="A247" i="6"/>
  <c r="AH247" i="6" s="1"/>
  <c r="A246" i="6"/>
  <c r="AH246" i="6" s="1"/>
  <c r="A245" i="6"/>
  <c r="AH245" i="6" s="1"/>
  <c r="A244" i="6"/>
  <c r="A239" i="6"/>
  <c r="AH239" i="6" s="1"/>
  <c r="A238" i="6"/>
  <c r="AH238" i="6" s="1"/>
  <c r="A237" i="6"/>
  <c r="AH237" i="6" s="1"/>
  <c r="A236" i="6"/>
  <c r="AH236" i="6" s="1"/>
  <c r="A235" i="6"/>
  <c r="AH235" i="6" s="1"/>
  <c r="A234" i="6"/>
  <c r="AH234" i="6" s="1"/>
  <c r="AD86" i="3" s="1"/>
  <c r="A233" i="6"/>
  <c r="AH233" i="6" s="1"/>
  <c r="AD85" i="3" s="1"/>
  <c r="A232" i="6"/>
  <c r="AH232" i="6" s="1"/>
  <c r="AD84" i="3" s="1"/>
  <c r="A231" i="6"/>
  <c r="AH231" i="6" s="1"/>
  <c r="AD83" i="3" s="1"/>
  <c r="A230" i="6"/>
  <c r="AH230" i="6" s="1"/>
  <c r="AD82" i="3" s="1"/>
  <c r="A229" i="6"/>
  <c r="AH229" i="6" s="1"/>
  <c r="A228" i="6"/>
  <c r="AH228" i="6" s="1"/>
  <c r="A227" i="6"/>
  <c r="AH227" i="6" s="1"/>
  <c r="A226" i="6"/>
  <c r="AH226" i="6" s="1"/>
  <c r="A225" i="6"/>
  <c r="AH225" i="6" s="1"/>
  <c r="A224" i="6"/>
  <c r="AH224" i="6" s="1"/>
  <c r="A223" i="6"/>
  <c r="AH223" i="6" s="1"/>
  <c r="A222" i="6"/>
  <c r="AH222" i="6" s="1"/>
  <c r="A221" i="6"/>
  <c r="AH221" i="6" s="1"/>
  <c r="A220" i="6"/>
  <c r="A215" i="6"/>
  <c r="AH215" i="6" s="1"/>
  <c r="A214" i="6"/>
  <c r="AH214" i="6" s="1"/>
  <c r="A213" i="6"/>
  <c r="AH213" i="6" s="1"/>
  <c r="A212" i="6"/>
  <c r="AH212" i="6" s="1"/>
  <c r="A211" i="6"/>
  <c r="AH211" i="6" s="1"/>
  <c r="A210" i="6"/>
  <c r="AH210" i="6" s="1"/>
  <c r="AC86" i="3" s="1"/>
  <c r="A209" i="6"/>
  <c r="AH209" i="6" s="1"/>
  <c r="AC85" i="3" s="1"/>
  <c r="A208" i="6"/>
  <c r="AH208" i="6" s="1"/>
  <c r="AC84" i="3" s="1"/>
  <c r="A207" i="6"/>
  <c r="AH207" i="6" s="1"/>
  <c r="AC83" i="3" s="1"/>
  <c r="A206" i="6"/>
  <c r="AH206" i="6" s="1"/>
  <c r="AC82" i="3" s="1"/>
  <c r="A205" i="6"/>
  <c r="AH205" i="6" s="1"/>
  <c r="A204" i="6"/>
  <c r="AH204" i="6" s="1"/>
  <c r="A203" i="6"/>
  <c r="AH203" i="6" s="1"/>
  <c r="A202" i="6"/>
  <c r="AH202" i="6" s="1"/>
  <c r="A201" i="6"/>
  <c r="AH201" i="6" s="1"/>
  <c r="A200" i="6"/>
  <c r="AH200" i="6" s="1"/>
  <c r="A199" i="6"/>
  <c r="AH199" i="6" s="1"/>
  <c r="A198" i="6"/>
  <c r="AH198" i="6" s="1"/>
  <c r="A197" i="6"/>
  <c r="AH197" i="6" s="1"/>
  <c r="A196" i="6"/>
  <c r="A191" i="6"/>
  <c r="AH191" i="6" s="1"/>
  <c r="A190" i="6"/>
  <c r="AH190" i="6" s="1"/>
  <c r="A189" i="6"/>
  <c r="AH189" i="6" s="1"/>
  <c r="A188" i="6"/>
  <c r="AH188" i="6" s="1"/>
  <c r="A187" i="6"/>
  <c r="AH187" i="6" s="1"/>
  <c r="A186" i="6"/>
  <c r="AH186" i="6" s="1"/>
  <c r="AB86" i="3" s="1"/>
  <c r="A185" i="6"/>
  <c r="AH185" i="6" s="1"/>
  <c r="AB85" i="3" s="1"/>
  <c r="A184" i="6"/>
  <c r="AH184" i="6" s="1"/>
  <c r="AB84" i="3" s="1"/>
  <c r="A183" i="6"/>
  <c r="AH183" i="6" s="1"/>
  <c r="AB83" i="3" s="1"/>
  <c r="A182" i="6"/>
  <c r="AH182" i="6" s="1"/>
  <c r="AB82" i="3" s="1"/>
  <c r="A181" i="6"/>
  <c r="AH181" i="6" s="1"/>
  <c r="A180" i="6"/>
  <c r="AH180" i="6" s="1"/>
  <c r="A179" i="6"/>
  <c r="AH179" i="6" s="1"/>
  <c r="A178" i="6"/>
  <c r="AH178" i="6" s="1"/>
  <c r="A177" i="6"/>
  <c r="AH177" i="6" s="1"/>
  <c r="A176" i="6"/>
  <c r="AH176" i="6" s="1"/>
  <c r="A175" i="6"/>
  <c r="AH175" i="6" s="1"/>
  <c r="A174" i="6"/>
  <c r="AH174" i="6" s="1"/>
  <c r="A173" i="6"/>
  <c r="AH173" i="6" s="1"/>
  <c r="A172" i="6"/>
  <c r="A167" i="6"/>
  <c r="AH167" i="6" s="1"/>
  <c r="A166" i="6"/>
  <c r="AH166" i="6" s="1"/>
  <c r="A165" i="6"/>
  <c r="AH165" i="6" s="1"/>
  <c r="A164" i="6"/>
  <c r="AH164" i="6" s="1"/>
  <c r="A163" i="6"/>
  <c r="AH163" i="6" s="1"/>
  <c r="A162" i="6"/>
  <c r="AH162" i="6" s="1"/>
  <c r="AA86" i="3" s="1"/>
  <c r="A161" i="6"/>
  <c r="AH161" i="6" s="1"/>
  <c r="AA85" i="3" s="1"/>
  <c r="A160" i="6"/>
  <c r="AH160" i="6" s="1"/>
  <c r="AA84" i="3" s="1"/>
  <c r="A159" i="6"/>
  <c r="AH159" i="6" s="1"/>
  <c r="AA83" i="3" s="1"/>
  <c r="A158" i="6"/>
  <c r="AH158" i="6" s="1"/>
  <c r="AA82" i="3" s="1"/>
  <c r="A157" i="6"/>
  <c r="AH157" i="6" s="1"/>
  <c r="A156" i="6"/>
  <c r="AH156" i="6" s="1"/>
  <c r="A155" i="6"/>
  <c r="AH155" i="6" s="1"/>
  <c r="A154" i="6"/>
  <c r="AH154" i="6" s="1"/>
  <c r="A153" i="6"/>
  <c r="AH153" i="6" s="1"/>
  <c r="A152" i="6"/>
  <c r="AH152" i="6" s="1"/>
  <c r="A151" i="6"/>
  <c r="AH151" i="6" s="1"/>
  <c r="A150" i="6"/>
  <c r="AH150" i="6" s="1"/>
  <c r="A149" i="6"/>
  <c r="AH149" i="6" s="1"/>
  <c r="A148" i="6"/>
  <c r="A143" i="6"/>
  <c r="AH143" i="6" s="1"/>
  <c r="A142" i="6"/>
  <c r="AH142" i="6" s="1"/>
  <c r="A141" i="6"/>
  <c r="AH141" i="6" s="1"/>
  <c r="A140" i="6"/>
  <c r="AH140" i="6" s="1"/>
  <c r="A139" i="6"/>
  <c r="AH139" i="6" s="1"/>
  <c r="A138" i="6"/>
  <c r="AH138" i="6" s="1"/>
  <c r="Z86" i="3" s="1"/>
  <c r="A137" i="6"/>
  <c r="AH137" i="6" s="1"/>
  <c r="Z85" i="3" s="1"/>
  <c r="A136" i="6"/>
  <c r="AH136" i="6" s="1"/>
  <c r="Z84" i="3" s="1"/>
  <c r="A135" i="6"/>
  <c r="AH135" i="6" s="1"/>
  <c r="Z83" i="3" s="1"/>
  <c r="A134" i="6"/>
  <c r="AH134" i="6" s="1"/>
  <c r="Z82" i="3" s="1"/>
  <c r="A133" i="6"/>
  <c r="AH133" i="6" s="1"/>
  <c r="A132" i="6"/>
  <c r="AH132" i="6" s="1"/>
  <c r="A131" i="6"/>
  <c r="AH131" i="6" s="1"/>
  <c r="A130" i="6"/>
  <c r="AH130" i="6" s="1"/>
  <c r="A129" i="6"/>
  <c r="AH129" i="6" s="1"/>
  <c r="A128" i="6"/>
  <c r="AH128" i="6" s="1"/>
  <c r="A127" i="6"/>
  <c r="AH127" i="6" s="1"/>
  <c r="A126" i="6"/>
  <c r="AH126" i="6" s="1"/>
  <c r="A125" i="6"/>
  <c r="AH125" i="6" s="1"/>
  <c r="A124" i="6"/>
  <c r="A119" i="6"/>
  <c r="AH119" i="6" s="1"/>
  <c r="A118" i="6"/>
  <c r="AH118" i="6" s="1"/>
  <c r="A117" i="6"/>
  <c r="AH117" i="6" s="1"/>
  <c r="A116" i="6"/>
  <c r="AH116" i="6" s="1"/>
  <c r="A115" i="6"/>
  <c r="AH115" i="6" s="1"/>
  <c r="A114" i="6"/>
  <c r="AH114" i="6" s="1"/>
  <c r="Y86" i="3" s="1"/>
  <c r="A113" i="6"/>
  <c r="AH113" i="6" s="1"/>
  <c r="Y85" i="3" s="1"/>
  <c r="A112" i="6"/>
  <c r="AH112" i="6" s="1"/>
  <c r="Y84" i="3" s="1"/>
  <c r="A111" i="6"/>
  <c r="AH111" i="6" s="1"/>
  <c r="Y83" i="3" s="1"/>
  <c r="A110" i="6"/>
  <c r="AH110" i="6" s="1"/>
  <c r="Y82" i="3" s="1"/>
  <c r="A109" i="6"/>
  <c r="AH109" i="6" s="1"/>
  <c r="A108" i="6"/>
  <c r="AH108" i="6" s="1"/>
  <c r="A107" i="6"/>
  <c r="AH107" i="6" s="1"/>
  <c r="A106" i="6"/>
  <c r="AH106" i="6" s="1"/>
  <c r="A105" i="6"/>
  <c r="AH105" i="6" s="1"/>
  <c r="A104" i="6"/>
  <c r="AH104" i="6" s="1"/>
  <c r="A103" i="6"/>
  <c r="AH103" i="6" s="1"/>
  <c r="A102" i="6"/>
  <c r="AH102" i="6" s="1"/>
  <c r="A101" i="6"/>
  <c r="AH101" i="6" s="1"/>
  <c r="A100" i="6"/>
  <c r="A95" i="6"/>
  <c r="AH95" i="6" s="1"/>
  <c r="A94" i="6"/>
  <c r="AH94" i="6" s="1"/>
  <c r="A93" i="6"/>
  <c r="AH93" i="6" s="1"/>
  <c r="A92" i="6"/>
  <c r="AH92" i="6" s="1"/>
  <c r="A91" i="6"/>
  <c r="AH91" i="6" s="1"/>
  <c r="A90" i="6"/>
  <c r="AH90" i="6" s="1"/>
  <c r="X86" i="3" s="1"/>
  <c r="A89" i="6"/>
  <c r="AH89" i="6" s="1"/>
  <c r="X85" i="3" s="1"/>
  <c r="A88" i="6"/>
  <c r="AH88" i="6" s="1"/>
  <c r="X84" i="3" s="1"/>
  <c r="A87" i="6"/>
  <c r="AH87" i="6" s="1"/>
  <c r="X83" i="3" s="1"/>
  <c r="A86" i="6"/>
  <c r="AH86" i="6" s="1"/>
  <c r="X82" i="3" s="1"/>
  <c r="A85" i="6"/>
  <c r="AH85" i="6" s="1"/>
  <c r="A84" i="6"/>
  <c r="AH84" i="6" s="1"/>
  <c r="A83" i="6"/>
  <c r="AH83" i="6" s="1"/>
  <c r="A82" i="6"/>
  <c r="AH82" i="6" s="1"/>
  <c r="A81" i="6"/>
  <c r="AH81" i="6" s="1"/>
  <c r="A80" i="6"/>
  <c r="AH80" i="6" s="1"/>
  <c r="A79" i="6"/>
  <c r="AH79" i="6" s="1"/>
  <c r="A78" i="6"/>
  <c r="AH78" i="6" s="1"/>
  <c r="A77" i="6"/>
  <c r="AH77" i="6" s="1"/>
  <c r="A76" i="6"/>
  <c r="A71" i="6"/>
  <c r="AH71" i="6" s="1"/>
  <c r="A70" i="6"/>
  <c r="AH70" i="6" s="1"/>
  <c r="A69" i="6"/>
  <c r="AH69" i="6" s="1"/>
  <c r="A68" i="6"/>
  <c r="AH68" i="6" s="1"/>
  <c r="A67" i="6"/>
  <c r="AH67" i="6" s="1"/>
  <c r="A66" i="6"/>
  <c r="AH66" i="6" s="1"/>
  <c r="W86" i="3" s="1"/>
  <c r="A65" i="6"/>
  <c r="AH65" i="6" s="1"/>
  <c r="W85" i="3" s="1"/>
  <c r="A64" i="6"/>
  <c r="AH64" i="6" s="1"/>
  <c r="W84" i="3" s="1"/>
  <c r="A63" i="6"/>
  <c r="AH63" i="6" s="1"/>
  <c r="W83" i="3" s="1"/>
  <c r="A62" i="6"/>
  <c r="AH62" i="6" s="1"/>
  <c r="W82" i="3" s="1"/>
  <c r="A61" i="6"/>
  <c r="AH61" i="6" s="1"/>
  <c r="A60" i="6"/>
  <c r="AH60" i="6" s="1"/>
  <c r="A59" i="6"/>
  <c r="AH59" i="6" s="1"/>
  <c r="A58" i="6"/>
  <c r="AH58" i="6" s="1"/>
  <c r="A57" i="6"/>
  <c r="AH57" i="6" s="1"/>
  <c r="A56" i="6"/>
  <c r="AH56" i="6" s="1"/>
  <c r="A55" i="6"/>
  <c r="AH55" i="6" s="1"/>
  <c r="A54" i="6"/>
  <c r="AH54" i="6" s="1"/>
  <c r="A53" i="6"/>
  <c r="AH53" i="6" s="1"/>
  <c r="A52" i="6"/>
  <c r="A47" i="6"/>
  <c r="AH47" i="6" s="1"/>
  <c r="A46" i="6"/>
  <c r="AH46" i="6" s="1"/>
  <c r="A45" i="6"/>
  <c r="AH45" i="6" s="1"/>
  <c r="A44" i="6"/>
  <c r="AH44" i="6" s="1"/>
  <c r="A43" i="6"/>
  <c r="AH43" i="6" s="1"/>
  <c r="A42" i="6"/>
  <c r="AH42" i="6" s="1"/>
  <c r="V86" i="3" s="1"/>
  <c r="A41" i="6"/>
  <c r="AH41" i="6" s="1"/>
  <c r="V85" i="3" s="1"/>
  <c r="A40" i="6"/>
  <c r="AH40" i="6" s="1"/>
  <c r="V84" i="3" s="1"/>
  <c r="A39" i="6"/>
  <c r="AH39" i="6" s="1"/>
  <c r="V83" i="3" s="1"/>
  <c r="A38" i="6"/>
  <c r="AH38" i="6" s="1"/>
  <c r="V82" i="3" s="1"/>
  <c r="A37" i="6"/>
  <c r="AH37" i="6" s="1"/>
  <c r="A36" i="6"/>
  <c r="AH36" i="6" s="1"/>
  <c r="A35" i="6"/>
  <c r="AH35" i="6" s="1"/>
  <c r="A34" i="6"/>
  <c r="AH34" i="6" s="1"/>
  <c r="A33" i="6"/>
  <c r="AH33" i="6" s="1"/>
  <c r="A32" i="6"/>
  <c r="AH32" i="6" s="1"/>
  <c r="A31" i="6"/>
  <c r="AH31" i="6" s="1"/>
  <c r="A30" i="6"/>
  <c r="AH30" i="6" s="1"/>
  <c r="A29" i="6"/>
  <c r="AH29" i="6" s="1"/>
  <c r="A28" i="6"/>
  <c r="A23" i="6"/>
  <c r="AH23" i="6" s="1"/>
  <c r="U91" i="3" s="1"/>
  <c r="A22" i="6"/>
  <c r="AH22" i="6" s="1"/>
  <c r="U90" i="3" s="1"/>
  <c r="A21" i="6"/>
  <c r="AH21" i="6" s="1"/>
  <c r="U89" i="3" s="1"/>
  <c r="A20" i="6"/>
  <c r="AH20" i="6" s="1"/>
  <c r="U88" i="3" s="1"/>
  <c r="A19" i="6"/>
  <c r="AH19" i="6" s="1"/>
  <c r="U87" i="3" s="1"/>
  <c r="A18" i="6"/>
  <c r="AH18" i="6" s="1"/>
  <c r="A17" i="6"/>
  <c r="AH17" i="6" s="1"/>
  <c r="A16" i="6"/>
  <c r="AH16" i="6" s="1"/>
  <c r="A15" i="6"/>
  <c r="AH15" i="6" s="1"/>
  <c r="A14" i="6"/>
  <c r="AH14" i="6" s="1"/>
  <c r="A287" i="5"/>
  <c r="AH287" i="5" s="1"/>
  <c r="A286" i="5"/>
  <c r="AH286" i="5" s="1"/>
  <c r="A285" i="5"/>
  <c r="AH285" i="5" s="1"/>
  <c r="A284" i="5"/>
  <c r="AH284" i="5" s="1"/>
  <c r="A283" i="5"/>
  <c r="AH283" i="5" s="1"/>
  <c r="A282" i="5"/>
  <c r="AH282" i="5" s="1"/>
  <c r="AF63" i="3" s="1"/>
  <c r="A281" i="5"/>
  <c r="AH281" i="5" s="1"/>
  <c r="AF62" i="3" s="1"/>
  <c r="A280" i="5"/>
  <c r="AH280" i="5" s="1"/>
  <c r="AF61" i="3" s="1"/>
  <c r="A279" i="5"/>
  <c r="AH279" i="5" s="1"/>
  <c r="AF60" i="3" s="1"/>
  <c r="A278" i="5"/>
  <c r="AH278" i="5" s="1"/>
  <c r="AF59" i="3" s="1"/>
  <c r="A277" i="5"/>
  <c r="AH277" i="5" s="1"/>
  <c r="A276" i="5"/>
  <c r="AH276" i="5" s="1"/>
  <c r="A275" i="5"/>
  <c r="AH275" i="5" s="1"/>
  <c r="A274" i="5"/>
  <c r="AH274" i="5" s="1"/>
  <c r="A273" i="5"/>
  <c r="AH273" i="5" s="1"/>
  <c r="A272" i="5"/>
  <c r="AH272" i="5" s="1"/>
  <c r="A271" i="5"/>
  <c r="AH271" i="5" s="1"/>
  <c r="A270" i="5"/>
  <c r="AH270" i="5" s="1"/>
  <c r="A269" i="5"/>
  <c r="AH269" i="5" s="1"/>
  <c r="A268" i="5"/>
  <c r="A263" i="5"/>
  <c r="AH263" i="5" s="1"/>
  <c r="A262" i="5"/>
  <c r="AH262" i="5" s="1"/>
  <c r="A261" i="5"/>
  <c r="AH261" i="5" s="1"/>
  <c r="A260" i="5"/>
  <c r="AH260" i="5" s="1"/>
  <c r="A259" i="5"/>
  <c r="AH259" i="5" s="1"/>
  <c r="A258" i="5"/>
  <c r="AH258" i="5" s="1"/>
  <c r="AE63" i="3" s="1"/>
  <c r="A257" i="5"/>
  <c r="AH257" i="5" s="1"/>
  <c r="AE62" i="3" s="1"/>
  <c r="A256" i="5"/>
  <c r="AH256" i="5" s="1"/>
  <c r="AE61" i="3" s="1"/>
  <c r="A255" i="5"/>
  <c r="AH255" i="5" s="1"/>
  <c r="AE60" i="3" s="1"/>
  <c r="A254" i="5"/>
  <c r="AH254" i="5" s="1"/>
  <c r="AE59" i="3" s="1"/>
  <c r="A253" i="5"/>
  <c r="AH253" i="5" s="1"/>
  <c r="A252" i="5"/>
  <c r="AH252" i="5" s="1"/>
  <c r="A251" i="5"/>
  <c r="AH251" i="5" s="1"/>
  <c r="A250" i="5"/>
  <c r="AH250" i="5" s="1"/>
  <c r="A249" i="5"/>
  <c r="AH249" i="5" s="1"/>
  <c r="A248" i="5"/>
  <c r="AH248" i="5" s="1"/>
  <c r="A247" i="5"/>
  <c r="AH247" i="5" s="1"/>
  <c r="A246" i="5"/>
  <c r="AH246" i="5" s="1"/>
  <c r="A245" i="5"/>
  <c r="AH245" i="5" s="1"/>
  <c r="A244" i="5"/>
  <c r="A239" i="5"/>
  <c r="AH239" i="5" s="1"/>
  <c r="A238" i="5"/>
  <c r="AH238" i="5" s="1"/>
  <c r="A237" i="5"/>
  <c r="AH237" i="5" s="1"/>
  <c r="A236" i="5"/>
  <c r="AH236" i="5" s="1"/>
  <c r="A235" i="5"/>
  <c r="AH235" i="5" s="1"/>
  <c r="A234" i="5"/>
  <c r="AH234" i="5" s="1"/>
  <c r="AD63" i="3" s="1"/>
  <c r="A233" i="5"/>
  <c r="AH233" i="5" s="1"/>
  <c r="AD62" i="3" s="1"/>
  <c r="A232" i="5"/>
  <c r="AH232" i="5" s="1"/>
  <c r="AD61" i="3" s="1"/>
  <c r="A231" i="5"/>
  <c r="AH231" i="5" s="1"/>
  <c r="AD60" i="3" s="1"/>
  <c r="A230" i="5"/>
  <c r="AH230" i="5" s="1"/>
  <c r="AD59" i="3" s="1"/>
  <c r="A229" i="5"/>
  <c r="AH229" i="5" s="1"/>
  <c r="A228" i="5"/>
  <c r="AH228" i="5" s="1"/>
  <c r="A227" i="5"/>
  <c r="AH227" i="5" s="1"/>
  <c r="A226" i="5"/>
  <c r="AH226" i="5" s="1"/>
  <c r="A225" i="5"/>
  <c r="AH225" i="5" s="1"/>
  <c r="A224" i="5"/>
  <c r="AH224" i="5" s="1"/>
  <c r="A223" i="5"/>
  <c r="AH223" i="5" s="1"/>
  <c r="A222" i="5"/>
  <c r="AH222" i="5" s="1"/>
  <c r="A221" i="5"/>
  <c r="AH221" i="5" s="1"/>
  <c r="A220" i="5"/>
  <c r="A215" i="5"/>
  <c r="AH215" i="5" s="1"/>
  <c r="A214" i="5"/>
  <c r="AH214" i="5" s="1"/>
  <c r="A213" i="5"/>
  <c r="AH213" i="5" s="1"/>
  <c r="A212" i="5"/>
  <c r="AH212" i="5" s="1"/>
  <c r="A211" i="5"/>
  <c r="AH211" i="5" s="1"/>
  <c r="A210" i="5"/>
  <c r="AH210" i="5" s="1"/>
  <c r="AC63" i="3" s="1"/>
  <c r="A209" i="5"/>
  <c r="AH209" i="5" s="1"/>
  <c r="AC62" i="3" s="1"/>
  <c r="A208" i="5"/>
  <c r="AH208" i="5" s="1"/>
  <c r="AC61" i="3" s="1"/>
  <c r="A207" i="5"/>
  <c r="AH207" i="5" s="1"/>
  <c r="AC60" i="3" s="1"/>
  <c r="A206" i="5"/>
  <c r="AH206" i="5" s="1"/>
  <c r="AC59" i="3" s="1"/>
  <c r="A205" i="5"/>
  <c r="AH205" i="5" s="1"/>
  <c r="A204" i="5"/>
  <c r="AH204" i="5" s="1"/>
  <c r="A203" i="5"/>
  <c r="AH203" i="5" s="1"/>
  <c r="A202" i="5"/>
  <c r="AH202" i="5" s="1"/>
  <c r="A201" i="5"/>
  <c r="AH201" i="5" s="1"/>
  <c r="A200" i="5"/>
  <c r="AH200" i="5" s="1"/>
  <c r="A199" i="5"/>
  <c r="AH199" i="5" s="1"/>
  <c r="A198" i="5"/>
  <c r="AH198" i="5" s="1"/>
  <c r="A197" i="5"/>
  <c r="AH197" i="5" s="1"/>
  <c r="A196" i="5"/>
  <c r="A191" i="5"/>
  <c r="AH191" i="5" s="1"/>
  <c r="A190" i="5"/>
  <c r="AH190" i="5" s="1"/>
  <c r="A189" i="5"/>
  <c r="AH189" i="5" s="1"/>
  <c r="A188" i="5"/>
  <c r="AH188" i="5" s="1"/>
  <c r="A187" i="5"/>
  <c r="AH187" i="5" s="1"/>
  <c r="A186" i="5"/>
  <c r="AH186" i="5" s="1"/>
  <c r="AB63" i="3" s="1"/>
  <c r="A185" i="5"/>
  <c r="AH185" i="5" s="1"/>
  <c r="AB62" i="3" s="1"/>
  <c r="A184" i="5"/>
  <c r="AH184" i="5" s="1"/>
  <c r="AB61" i="3" s="1"/>
  <c r="A183" i="5"/>
  <c r="AH183" i="5" s="1"/>
  <c r="AB60" i="3" s="1"/>
  <c r="A182" i="5"/>
  <c r="AH182" i="5" s="1"/>
  <c r="AB59" i="3" s="1"/>
  <c r="A181" i="5"/>
  <c r="AH181" i="5" s="1"/>
  <c r="A180" i="5"/>
  <c r="AH180" i="5" s="1"/>
  <c r="A179" i="5"/>
  <c r="AH179" i="5" s="1"/>
  <c r="A178" i="5"/>
  <c r="AH178" i="5" s="1"/>
  <c r="A177" i="5"/>
  <c r="AH177" i="5" s="1"/>
  <c r="A176" i="5"/>
  <c r="AH176" i="5" s="1"/>
  <c r="A175" i="5"/>
  <c r="AH175" i="5" s="1"/>
  <c r="A174" i="5"/>
  <c r="AH174" i="5" s="1"/>
  <c r="A173" i="5"/>
  <c r="AH173" i="5" s="1"/>
  <c r="A172" i="5"/>
  <c r="A167" i="5"/>
  <c r="AH167" i="5" s="1"/>
  <c r="A166" i="5"/>
  <c r="AH166" i="5" s="1"/>
  <c r="A165" i="5"/>
  <c r="AH165" i="5" s="1"/>
  <c r="A164" i="5"/>
  <c r="AH164" i="5" s="1"/>
  <c r="A163" i="5"/>
  <c r="AH163" i="5" s="1"/>
  <c r="A162" i="5"/>
  <c r="AH162" i="5" s="1"/>
  <c r="AA63" i="3" s="1"/>
  <c r="A161" i="5"/>
  <c r="AH161" i="5" s="1"/>
  <c r="AA62" i="3" s="1"/>
  <c r="A160" i="5"/>
  <c r="AH160" i="5" s="1"/>
  <c r="AA61" i="3" s="1"/>
  <c r="A159" i="5"/>
  <c r="AH159" i="5" s="1"/>
  <c r="AA60" i="3" s="1"/>
  <c r="A158" i="5"/>
  <c r="AH158" i="5" s="1"/>
  <c r="AA59" i="3" s="1"/>
  <c r="A157" i="5"/>
  <c r="AH157" i="5" s="1"/>
  <c r="A156" i="5"/>
  <c r="AH156" i="5" s="1"/>
  <c r="A155" i="5"/>
  <c r="AH155" i="5" s="1"/>
  <c r="A154" i="5"/>
  <c r="AH154" i="5" s="1"/>
  <c r="A153" i="5"/>
  <c r="AH153" i="5" s="1"/>
  <c r="A152" i="5"/>
  <c r="AH152" i="5" s="1"/>
  <c r="A151" i="5"/>
  <c r="AH151" i="5" s="1"/>
  <c r="A150" i="5"/>
  <c r="AH150" i="5" s="1"/>
  <c r="A149" i="5"/>
  <c r="AH149" i="5" s="1"/>
  <c r="A148" i="5"/>
  <c r="A143" i="5"/>
  <c r="AH143" i="5" s="1"/>
  <c r="A142" i="5"/>
  <c r="AH142" i="5" s="1"/>
  <c r="A141" i="5"/>
  <c r="AH141" i="5" s="1"/>
  <c r="A140" i="5"/>
  <c r="AH140" i="5" s="1"/>
  <c r="A139" i="5"/>
  <c r="AH139" i="5" s="1"/>
  <c r="A138" i="5"/>
  <c r="AH138" i="5" s="1"/>
  <c r="Z63" i="3" s="1"/>
  <c r="A137" i="5"/>
  <c r="AH137" i="5" s="1"/>
  <c r="Z62" i="3" s="1"/>
  <c r="A136" i="5"/>
  <c r="AH136" i="5" s="1"/>
  <c r="Z61" i="3" s="1"/>
  <c r="A135" i="5"/>
  <c r="AH135" i="5" s="1"/>
  <c r="Z60" i="3" s="1"/>
  <c r="A134" i="5"/>
  <c r="AH134" i="5" s="1"/>
  <c r="Z59" i="3" s="1"/>
  <c r="A133" i="5"/>
  <c r="AH133" i="5" s="1"/>
  <c r="A132" i="5"/>
  <c r="AH132" i="5" s="1"/>
  <c r="A131" i="5"/>
  <c r="AH131" i="5" s="1"/>
  <c r="A130" i="5"/>
  <c r="AH130" i="5" s="1"/>
  <c r="A129" i="5"/>
  <c r="AH129" i="5" s="1"/>
  <c r="A128" i="5"/>
  <c r="AH128" i="5" s="1"/>
  <c r="A127" i="5"/>
  <c r="AH127" i="5" s="1"/>
  <c r="A126" i="5"/>
  <c r="AH126" i="5" s="1"/>
  <c r="A125" i="5"/>
  <c r="AH125" i="5" s="1"/>
  <c r="A124" i="5"/>
  <c r="A119" i="5"/>
  <c r="AH119" i="5" s="1"/>
  <c r="A118" i="5"/>
  <c r="AH118" i="5" s="1"/>
  <c r="A117" i="5"/>
  <c r="AH117" i="5" s="1"/>
  <c r="A116" i="5"/>
  <c r="AH116" i="5" s="1"/>
  <c r="A115" i="5"/>
  <c r="AH115" i="5" s="1"/>
  <c r="A114" i="5"/>
  <c r="AH114" i="5" s="1"/>
  <c r="Y63" i="3" s="1"/>
  <c r="A113" i="5"/>
  <c r="AH113" i="5" s="1"/>
  <c r="Y62" i="3" s="1"/>
  <c r="A112" i="5"/>
  <c r="AH112" i="5" s="1"/>
  <c r="Y61" i="3" s="1"/>
  <c r="A111" i="5"/>
  <c r="AH111" i="5" s="1"/>
  <c r="Y60" i="3" s="1"/>
  <c r="A110" i="5"/>
  <c r="AH110" i="5" s="1"/>
  <c r="Y59" i="3" s="1"/>
  <c r="A109" i="5"/>
  <c r="AH109" i="5" s="1"/>
  <c r="A108" i="5"/>
  <c r="AH108" i="5" s="1"/>
  <c r="A107" i="5"/>
  <c r="AH107" i="5" s="1"/>
  <c r="A106" i="5"/>
  <c r="AH106" i="5" s="1"/>
  <c r="A105" i="5"/>
  <c r="AH105" i="5" s="1"/>
  <c r="A104" i="5"/>
  <c r="AH104" i="5" s="1"/>
  <c r="A103" i="5"/>
  <c r="AH103" i="5" s="1"/>
  <c r="A102" i="5"/>
  <c r="AH102" i="5" s="1"/>
  <c r="A101" i="5"/>
  <c r="AH101" i="5" s="1"/>
  <c r="A100" i="5"/>
  <c r="A95" i="5"/>
  <c r="AH95" i="5" s="1"/>
  <c r="A94" i="5"/>
  <c r="AH94" i="5" s="1"/>
  <c r="A93" i="5"/>
  <c r="AH93" i="5" s="1"/>
  <c r="A92" i="5"/>
  <c r="AH92" i="5" s="1"/>
  <c r="A91" i="5"/>
  <c r="AH91" i="5" s="1"/>
  <c r="A90" i="5"/>
  <c r="AH90" i="5" s="1"/>
  <c r="X63" i="3" s="1"/>
  <c r="A89" i="5"/>
  <c r="AH89" i="5" s="1"/>
  <c r="X62" i="3" s="1"/>
  <c r="A88" i="5"/>
  <c r="AH88" i="5" s="1"/>
  <c r="X61" i="3" s="1"/>
  <c r="A87" i="5"/>
  <c r="AH87" i="5" s="1"/>
  <c r="X60" i="3" s="1"/>
  <c r="A86" i="5"/>
  <c r="AH86" i="5" s="1"/>
  <c r="X59" i="3" s="1"/>
  <c r="A85" i="5"/>
  <c r="AH85" i="5" s="1"/>
  <c r="A84" i="5"/>
  <c r="AH84" i="5" s="1"/>
  <c r="A83" i="5"/>
  <c r="AH83" i="5" s="1"/>
  <c r="A82" i="5"/>
  <c r="AH82" i="5" s="1"/>
  <c r="A81" i="5"/>
  <c r="AH81" i="5" s="1"/>
  <c r="A80" i="5"/>
  <c r="AH80" i="5" s="1"/>
  <c r="A79" i="5"/>
  <c r="AH79" i="5" s="1"/>
  <c r="A78" i="5"/>
  <c r="AH78" i="5" s="1"/>
  <c r="A77" i="5"/>
  <c r="AH77" i="5" s="1"/>
  <c r="A76" i="5"/>
  <c r="A71" i="5"/>
  <c r="AH71" i="5" s="1"/>
  <c r="A70" i="5"/>
  <c r="AH70" i="5" s="1"/>
  <c r="A69" i="5"/>
  <c r="AH69" i="5" s="1"/>
  <c r="A68" i="5"/>
  <c r="AH68" i="5" s="1"/>
  <c r="A67" i="5"/>
  <c r="AH67" i="5" s="1"/>
  <c r="A66" i="5"/>
  <c r="AH66" i="5" s="1"/>
  <c r="W63" i="3" s="1"/>
  <c r="A65" i="5"/>
  <c r="AH65" i="5" s="1"/>
  <c r="W62" i="3" s="1"/>
  <c r="A64" i="5"/>
  <c r="AH64" i="5" s="1"/>
  <c r="W61" i="3" s="1"/>
  <c r="A63" i="5"/>
  <c r="AH63" i="5" s="1"/>
  <c r="W60" i="3" s="1"/>
  <c r="A62" i="5"/>
  <c r="AH62" i="5" s="1"/>
  <c r="W59" i="3" s="1"/>
  <c r="A61" i="5"/>
  <c r="AH61" i="5" s="1"/>
  <c r="A60" i="5"/>
  <c r="AH60" i="5" s="1"/>
  <c r="A59" i="5"/>
  <c r="AH59" i="5" s="1"/>
  <c r="A58" i="5"/>
  <c r="AH58" i="5" s="1"/>
  <c r="A57" i="5"/>
  <c r="AH57" i="5" s="1"/>
  <c r="A56" i="5"/>
  <c r="AH56" i="5" s="1"/>
  <c r="A55" i="5"/>
  <c r="AH55" i="5" s="1"/>
  <c r="A54" i="5"/>
  <c r="AH54" i="5" s="1"/>
  <c r="A53" i="5"/>
  <c r="AH53" i="5" s="1"/>
  <c r="A52" i="5"/>
  <c r="A47" i="5"/>
  <c r="AH47" i="5" s="1"/>
  <c r="A46" i="5"/>
  <c r="AH46" i="5" s="1"/>
  <c r="A45" i="5"/>
  <c r="AH45" i="5" s="1"/>
  <c r="A44" i="5"/>
  <c r="AH44" i="5" s="1"/>
  <c r="A43" i="5"/>
  <c r="AH43" i="5" s="1"/>
  <c r="A42" i="5"/>
  <c r="AH42" i="5" s="1"/>
  <c r="V63" i="3" s="1"/>
  <c r="A41" i="5"/>
  <c r="AH41" i="5" s="1"/>
  <c r="V62" i="3" s="1"/>
  <c r="A40" i="5"/>
  <c r="AH40" i="5" s="1"/>
  <c r="V61" i="3" s="1"/>
  <c r="A39" i="5"/>
  <c r="AH39" i="5" s="1"/>
  <c r="V60" i="3" s="1"/>
  <c r="A38" i="5"/>
  <c r="AH38" i="5" s="1"/>
  <c r="V59" i="3" s="1"/>
  <c r="A37" i="5"/>
  <c r="AH37" i="5" s="1"/>
  <c r="A36" i="5"/>
  <c r="AH36" i="5" s="1"/>
  <c r="A35" i="5"/>
  <c r="AH35" i="5" s="1"/>
  <c r="A34" i="5"/>
  <c r="AH34" i="5" s="1"/>
  <c r="A33" i="5"/>
  <c r="AH33" i="5" s="1"/>
  <c r="A32" i="5"/>
  <c r="AH32" i="5" s="1"/>
  <c r="A31" i="5"/>
  <c r="AH31" i="5" s="1"/>
  <c r="A30" i="5"/>
  <c r="AH30" i="5" s="1"/>
  <c r="A29" i="5"/>
  <c r="AH29" i="5" s="1"/>
  <c r="A28" i="5"/>
  <c r="A23" i="5"/>
  <c r="AH23" i="5" s="1"/>
  <c r="U68" i="3" s="1"/>
  <c r="A22" i="5"/>
  <c r="AH22" i="5" s="1"/>
  <c r="U67" i="3" s="1"/>
  <c r="A21" i="5"/>
  <c r="AH21" i="5" s="1"/>
  <c r="U66" i="3" s="1"/>
  <c r="A20" i="5"/>
  <c r="AH20" i="5" s="1"/>
  <c r="U65" i="3" s="1"/>
  <c r="A19" i="5"/>
  <c r="AH19" i="5" s="1"/>
  <c r="U64" i="3" s="1"/>
  <c r="A18" i="5"/>
  <c r="AH18" i="5" s="1"/>
  <c r="A17" i="5"/>
  <c r="AH17" i="5" s="1"/>
  <c r="A16" i="5"/>
  <c r="AH16" i="5" s="1"/>
  <c r="A15" i="5"/>
  <c r="AH15" i="5" s="1"/>
  <c r="A14" i="5"/>
  <c r="AH14" i="5" s="1"/>
  <c r="A287" i="2"/>
  <c r="AH287" i="2" s="1"/>
  <c r="A286" i="2"/>
  <c r="AH286" i="2" s="1"/>
  <c r="A285" i="2"/>
  <c r="AH285" i="2" s="1"/>
  <c r="A284" i="2"/>
  <c r="AH284" i="2" s="1"/>
  <c r="A283" i="2"/>
  <c r="AH283" i="2" s="1"/>
  <c r="A282" i="2"/>
  <c r="AH282" i="2" s="1"/>
  <c r="AF40" i="3" s="1"/>
  <c r="A281" i="2"/>
  <c r="AH281" i="2" s="1"/>
  <c r="AF39" i="3" s="1"/>
  <c r="A280" i="2"/>
  <c r="AH280" i="2" s="1"/>
  <c r="AF38" i="3" s="1"/>
  <c r="A279" i="2"/>
  <c r="AH279" i="2" s="1"/>
  <c r="AF37" i="3" s="1"/>
  <c r="A278" i="2"/>
  <c r="AH278" i="2" s="1"/>
  <c r="AF36" i="3" s="1"/>
  <c r="A277" i="2"/>
  <c r="AH277" i="2" s="1"/>
  <c r="A276" i="2"/>
  <c r="AH276" i="2" s="1"/>
  <c r="A275" i="2"/>
  <c r="AH275" i="2" s="1"/>
  <c r="A274" i="2"/>
  <c r="AH274" i="2" s="1"/>
  <c r="A273" i="2"/>
  <c r="AH273" i="2" s="1"/>
  <c r="A272" i="2"/>
  <c r="AH272" i="2" s="1"/>
  <c r="A271" i="2"/>
  <c r="AH271" i="2" s="1"/>
  <c r="A270" i="2"/>
  <c r="AH270" i="2" s="1"/>
  <c r="A269" i="2"/>
  <c r="AH269" i="2" s="1"/>
  <c r="A268" i="2"/>
  <c r="A263" i="2"/>
  <c r="AH263" i="2" s="1"/>
  <c r="A262" i="2"/>
  <c r="AH262" i="2" s="1"/>
  <c r="A261" i="2"/>
  <c r="AH261" i="2" s="1"/>
  <c r="A260" i="2"/>
  <c r="AH260" i="2" s="1"/>
  <c r="A259" i="2"/>
  <c r="AH259" i="2" s="1"/>
  <c r="A258" i="2"/>
  <c r="AH258" i="2" s="1"/>
  <c r="AE40" i="3" s="1"/>
  <c r="A257" i="2"/>
  <c r="AH257" i="2" s="1"/>
  <c r="AE39" i="3" s="1"/>
  <c r="A256" i="2"/>
  <c r="AH256" i="2" s="1"/>
  <c r="AE38" i="3" s="1"/>
  <c r="A255" i="2"/>
  <c r="AH255" i="2" s="1"/>
  <c r="AE37" i="3" s="1"/>
  <c r="A254" i="2"/>
  <c r="AH254" i="2" s="1"/>
  <c r="AE36" i="3" s="1"/>
  <c r="A253" i="2"/>
  <c r="AH253" i="2" s="1"/>
  <c r="A252" i="2"/>
  <c r="AH252" i="2" s="1"/>
  <c r="A251" i="2"/>
  <c r="AH251" i="2" s="1"/>
  <c r="A250" i="2"/>
  <c r="AH250" i="2" s="1"/>
  <c r="A249" i="2"/>
  <c r="AH249" i="2" s="1"/>
  <c r="A248" i="2"/>
  <c r="AH248" i="2" s="1"/>
  <c r="A247" i="2"/>
  <c r="AH247" i="2" s="1"/>
  <c r="A246" i="2"/>
  <c r="AH246" i="2" s="1"/>
  <c r="A245" i="2"/>
  <c r="AH245" i="2" s="1"/>
  <c r="A244" i="2"/>
  <c r="A239" i="2"/>
  <c r="AH239" i="2" s="1"/>
  <c r="A238" i="2"/>
  <c r="AH238" i="2" s="1"/>
  <c r="A237" i="2"/>
  <c r="AH237" i="2" s="1"/>
  <c r="A236" i="2"/>
  <c r="AH236" i="2" s="1"/>
  <c r="A235" i="2"/>
  <c r="AH235" i="2" s="1"/>
  <c r="A234" i="2"/>
  <c r="AH234" i="2" s="1"/>
  <c r="AD40" i="3" s="1"/>
  <c r="A233" i="2"/>
  <c r="AH233" i="2" s="1"/>
  <c r="AD39" i="3" s="1"/>
  <c r="A232" i="2"/>
  <c r="AH232" i="2" s="1"/>
  <c r="AD38" i="3" s="1"/>
  <c r="A231" i="2"/>
  <c r="AH231" i="2" s="1"/>
  <c r="AD37" i="3" s="1"/>
  <c r="A230" i="2"/>
  <c r="AH230" i="2" s="1"/>
  <c r="AD36" i="3" s="1"/>
  <c r="A229" i="2"/>
  <c r="AH229" i="2" s="1"/>
  <c r="A228" i="2"/>
  <c r="AH228" i="2" s="1"/>
  <c r="A227" i="2"/>
  <c r="AH227" i="2" s="1"/>
  <c r="A226" i="2"/>
  <c r="AH226" i="2" s="1"/>
  <c r="A225" i="2"/>
  <c r="AH225" i="2" s="1"/>
  <c r="A224" i="2"/>
  <c r="AH224" i="2" s="1"/>
  <c r="A223" i="2"/>
  <c r="AH223" i="2" s="1"/>
  <c r="A222" i="2"/>
  <c r="AH222" i="2" s="1"/>
  <c r="A221" i="2"/>
  <c r="AH221" i="2" s="1"/>
  <c r="A220" i="2"/>
  <c r="A215" i="2"/>
  <c r="AH215" i="2" s="1"/>
  <c r="A214" i="2"/>
  <c r="AH214" i="2" s="1"/>
  <c r="A213" i="2"/>
  <c r="AH213" i="2" s="1"/>
  <c r="A212" i="2"/>
  <c r="AH212" i="2" s="1"/>
  <c r="A211" i="2"/>
  <c r="AH211" i="2" s="1"/>
  <c r="A210" i="2"/>
  <c r="AH210" i="2" s="1"/>
  <c r="AC40" i="3" s="1"/>
  <c r="A209" i="2"/>
  <c r="AH209" i="2" s="1"/>
  <c r="AC39" i="3" s="1"/>
  <c r="A208" i="2"/>
  <c r="AH208" i="2" s="1"/>
  <c r="AC38" i="3" s="1"/>
  <c r="A207" i="2"/>
  <c r="AH207" i="2" s="1"/>
  <c r="AC37" i="3" s="1"/>
  <c r="A206" i="2"/>
  <c r="AH206" i="2" s="1"/>
  <c r="AC36" i="3" s="1"/>
  <c r="A205" i="2"/>
  <c r="AH205" i="2" s="1"/>
  <c r="A204" i="2"/>
  <c r="AH204" i="2" s="1"/>
  <c r="A203" i="2"/>
  <c r="AH203" i="2" s="1"/>
  <c r="A202" i="2"/>
  <c r="AH202" i="2" s="1"/>
  <c r="A201" i="2"/>
  <c r="AH201" i="2" s="1"/>
  <c r="A200" i="2"/>
  <c r="AH200" i="2" s="1"/>
  <c r="A199" i="2"/>
  <c r="AH199" i="2" s="1"/>
  <c r="A198" i="2"/>
  <c r="AH198" i="2" s="1"/>
  <c r="A197" i="2"/>
  <c r="AH197" i="2" s="1"/>
  <c r="A196" i="2"/>
  <c r="A191" i="2"/>
  <c r="AH191" i="2" s="1"/>
  <c r="A190" i="2"/>
  <c r="AH190" i="2" s="1"/>
  <c r="A189" i="2"/>
  <c r="AH189" i="2" s="1"/>
  <c r="A188" i="2"/>
  <c r="AH188" i="2" s="1"/>
  <c r="A187" i="2"/>
  <c r="AH187" i="2" s="1"/>
  <c r="A186" i="2"/>
  <c r="AH186" i="2" s="1"/>
  <c r="AB40" i="3" s="1"/>
  <c r="A185" i="2"/>
  <c r="AH185" i="2" s="1"/>
  <c r="AB39" i="3" s="1"/>
  <c r="A184" i="2"/>
  <c r="AH184" i="2" s="1"/>
  <c r="AB38" i="3" s="1"/>
  <c r="A183" i="2"/>
  <c r="AH183" i="2" s="1"/>
  <c r="AB37" i="3" s="1"/>
  <c r="A182" i="2"/>
  <c r="AH182" i="2" s="1"/>
  <c r="AB36" i="3" s="1"/>
  <c r="A181" i="2"/>
  <c r="AH181" i="2" s="1"/>
  <c r="A180" i="2"/>
  <c r="AH180" i="2" s="1"/>
  <c r="A179" i="2"/>
  <c r="AH179" i="2" s="1"/>
  <c r="A178" i="2"/>
  <c r="AH178" i="2" s="1"/>
  <c r="A177" i="2"/>
  <c r="AH177" i="2" s="1"/>
  <c r="A176" i="2"/>
  <c r="AH176" i="2" s="1"/>
  <c r="A175" i="2"/>
  <c r="AH175" i="2" s="1"/>
  <c r="A174" i="2"/>
  <c r="AH174" i="2" s="1"/>
  <c r="A173" i="2"/>
  <c r="AH173" i="2" s="1"/>
  <c r="A172" i="2"/>
  <c r="A167" i="2"/>
  <c r="AH167" i="2" s="1"/>
  <c r="A166" i="2"/>
  <c r="AH166" i="2" s="1"/>
  <c r="A165" i="2"/>
  <c r="AH165" i="2" s="1"/>
  <c r="A164" i="2"/>
  <c r="AH164" i="2" s="1"/>
  <c r="A163" i="2"/>
  <c r="AH163" i="2" s="1"/>
  <c r="A162" i="2"/>
  <c r="AH162" i="2" s="1"/>
  <c r="AA40" i="3" s="1"/>
  <c r="A161" i="2"/>
  <c r="AH161" i="2" s="1"/>
  <c r="AA39" i="3" s="1"/>
  <c r="A160" i="2"/>
  <c r="AH160" i="2" s="1"/>
  <c r="AA38" i="3" s="1"/>
  <c r="A159" i="2"/>
  <c r="AH159" i="2" s="1"/>
  <c r="AA37" i="3" s="1"/>
  <c r="A158" i="2"/>
  <c r="AH158" i="2" s="1"/>
  <c r="AA36" i="3" s="1"/>
  <c r="A157" i="2"/>
  <c r="AH157" i="2" s="1"/>
  <c r="A156" i="2"/>
  <c r="AH156" i="2" s="1"/>
  <c r="A155" i="2"/>
  <c r="AH155" i="2" s="1"/>
  <c r="A154" i="2"/>
  <c r="AH154" i="2" s="1"/>
  <c r="A153" i="2"/>
  <c r="AH153" i="2" s="1"/>
  <c r="A152" i="2"/>
  <c r="AH152" i="2" s="1"/>
  <c r="A151" i="2"/>
  <c r="AH151" i="2" s="1"/>
  <c r="A150" i="2"/>
  <c r="AH150" i="2" s="1"/>
  <c r="A149" i="2"/>
  <c r="AH149" i="2" s="1"/>
  <c r="A148" i="2"/>
  <c r="A143" i="2"/>
  <c r="AH143" i="2" s="1"/>
  <c r="A142" i="2"/>
  <c r="AH142" i="2" s="1"/>
  <c r="A141" i="2"/>
  <c r="AH141" i="2" s="1"/>
  <c r="A140" i="2"/>
  <c r="AH140" i="2" s="1"/>
  <c r="A139" i="2"/>
  <c r="AH139" i="2" s="1"/>
  <c r="A138" i="2"/>
  <c r="AH138" i="2" s="1"/>
  <c r="Z40" i="3" s="1"/>
  <c r="A137" i="2"/>
  <c r="AH137" i="2" s="1"/>
  <c r="Z39" i="3" s="1"/>
  <c r="A136" i="2"/>
  <c r="AH136" i="2" s="1"/>
  <c r="Z38" i="3" s="1"/>
  <c r="A135" i="2"/>
  <c r="AH135" i="2" s="1"/>
  <c r="Z37" i="3" s="1"/>
  <c r="A134" i="2"/>
  <c r="AH134" i="2" s="1"/>
  <c r="Z36" i="3" s="1"/>
  <c r="A133" i="2"/>
  <c r="AH133" i="2" s="1"/>
  <c r="A132" i="2"/>
  <c r="AH132" i="2" s="1"/>
  <c r="A131" i="2"/>
  <c r="AH131" i="2" s="1"/>
  <c r="A130" i="2"/>
  <c r="AH130" i="2" s="1"/>
  <c r="A129" i="2"/>
  <c r="AH129" i="2" s="1"/>
  <c r="A128" i="2"/>
  <c r="AH128" i="2" s="1"/>
  <c r="A127" i="2"/>
  <c r="AH127" i="2" s="1"/>
  <c r="A126" i="2"/>
  <c r="AH126" i="2" s="1"/>
  <c r="A125" i="2"/>
  <c r="AH125" i="2" s="1"/>
  <c r="A124" i="2"/>
  <c r="A119" i="2"/>
  <c r="AH119" i="2" s="1"/>
  <c r="A118" i="2"/>
  <c r="AH118" i="2" s="1"/>
  <c r="A117" i="2"/>
  <c r="AH117" i="2" s="1"/>
  <c r="A116" i="2"/>
  <c r="AH116" i="2" s="1"/>
  <c r="A115" i="2"/>
  <c r="AH115" i="2" s="1"/>
  <c r="A114" i="2"/>
  <c r="AH114" i="2" s="1"/>
  <c r="Y40" i="3" s="1"/>
  <c r="A113" i="2"/>
  <c r="AH113" i="2" s="1"/>
  <c r="Y39" i="3" s="1"/>
  <c r="A112" i="2"/>
  <c r="AH112" i="2" s="1"/>
  <c r="Y38" i="3" s="1"/>
  <c r="A111" i="2"/>
  <c r="AH111" i="2" s="1"/>
  <c r="Y37" i="3" s="1"/>
  <c r="A110" i="2"/>
  <c r="AH110" i="2" s="1"/>
  <c r="Y36" i="3" s="1"/>
  <c r="A109" i="2"/>
  <c r="AH109" i="2" s="1"/>
  <c r="A108" i="2"/>
  <c r="AH108" i="2" s="1"/>
  <c r="A107" i="2"/>
  <c r="AH107" i="2" s="1"/>
  <c r="A106" i="2"/>
  <c r="AH106" i="2" s="1"/>
  <c r="A105" i="2"/>
  <c r="AH105" i="2" s="1"/>
  <c r="A104" i="2"/>
  <c r="AH104" i="2" s="1"/>
  <c r="A103" i="2"/>
  <c r="AH103" i="2" s="1"/>
  <c r="A102" i="2"/>
  <c r="AH102" i="2" s="1"/>
  <c r="A101" i="2"/>
  <c r="AH101" i="2" s="1"/>
  <c r="A100" i="2"/>
  <c r="A95" i="2"/>
  <c r="AH95" i="2" s="1"/>
  <c r="A94" i="2"/>
  <c r="AH94" i="2" s="1"/>
  <c r="A93" i="2"/>
  <c r="AH93" i="2" s="1"/>
  <c r="A92" i="2"/>
  <c r="AH92" i="2" s="1"/>
  <c r="A91" i="2"/>
  <c r="AH91" i="2" s="1"/>
  <c r="A90" i="2"/>
  <c r="AH90" i="2" s="1"/>
  <c r="X40" i="3" s="1"/>
  <c r="A89" i="2"/>
  <c r="AH89" i="2" s="1"/>
  <c r="X39" i="3" s="1"/>
  <c r="A88" i="2"/>
  <c r="AH88" i="2" s="1"/>
  <c r="X38" i="3" s="1"/>
  <c r="A87" i="2"/>
  <c r="AH87" i="2" s="1"/>
  <c r="X37" i="3" s="1"/>
  <c r="A86" i="2"/>
  <c r="AH86" i="2" s="1"/>
  <c r="X36" i="3" s="1"/>
  <c r="A85" i="2"/>
  <c r="AH85" i="2" s="1"/>
  <c r="A84" i="2"/>
  <c r="AH84" i="2" s="1"/>
  <c r="A83" i="2"/>
  <c r="AH83" i="2" s="1"/>
  <c r="A82" i="2"/>
  <c r="AH82" i="2" s="1"/>
  <c r="A81" i="2"/>
  <c r="AH81" i="2" s="1"/>
  <c r="A80" i="2"/>
  <c r="AH80" i="2" s="1"/>
  <c r="A79" i="2"/>
  <c r="AH79" i="2" s="1"/>
  <c r="A78" i="2"/>
  <c r="AH78" i="2" s="1"/>
  <c r="A77" i="2"/>
  <c r="AH77" i="2" s="1"/>
  <c r="A76" i="2"/>
  <c r="A71" i="2"/>
  <c r="AH71" i="2" s="1"/>
  <c r="A70" i="2"/>
  <c r="AH70" i="2" s="1"/>
  <c r="A69" i="2"/>
  <c r="AH69" i="2" s="1"/>
  <c r="A68" i="2"/>
  <c r="AH68" i="2" s="1"/>
  <c r="A67" i="2"/>
  <c r="AH67" i="2" s="1"/>
  <c r="A66" i="2"/>
  <c r="AH66" i="2" s="1"/>
  <c r="W40" i="3" s="1"/>
  <c r="A65" i="2"/>
  <c r="AH65" i="2" s="1"/>
  <c r="W39" i="3" s="1"/>
  <c r="A64" i="2"/>
  <c r="AH64" i="2" s="1"/>
  <c r="W38" i="3" s="1"/>
  <c r="A63" i="2"/>
  <c r="AH63" i="2" s="1"/>
  <c r="W37" i="3" s="1"/>
  <c r="A62" i="2"/>
  <c r="AH62" i="2" s="1"/>
  <c r="W36" i="3" s="1"/>
  <c r="A61" i="2"/>
  <c r="AH61" i="2" s="1"/>
  <c r="A60" i="2"/>
  <c r="AH60" i="2" s="1"/>
  <c r="A59" i="2"/>
  <c r="AH59" i="2" s="1"/>
  <c r="A58" i="2"/>
  <c r="AH58" i="2" s="1"/>
  <c r="A57" i="2"/>
  <c r="AH57" i="2" s="1"/>
  <c r="A56" i="2"/>
  <c r="AH56" i="2" s="1"/>
  <c r="A55" i="2"/>
  <c r="AH55" i="2" s="1"/>
  <c r="A54" i="2"/>
  <c r="AH54" i="2" s="1"/>
  <c r="A53" i="2"/>
  <c r="AH53" i="2" s="1"/>
  <c r="A52" i="2"/>
  <c r="A47" i="2"/>
  <c r="AH47" i="2" s="1"/>
  <c r="A46" i="2"/>
  <c r="AH46" i="2" s="1"/>
  <c r="A45" i="2"/>
  <c r="AH45" i="2" s="1"/>
  <c r="A44" i="2"/>
  <c r="AH44" i="2" s="1"/>
  <c r="A43" i="2"/>
  <c r="AH43" i="2" s="1"/>
  <c r="A42" i="2"/>
  <c r="AH42" i="2" s="1"/>
  <c r="V40" i="3" s="1"/>
  <c r="A41" i="2"/>
  <c r="AH41" i="2" s="1"/>
  <c r="V39" i="3" s="1"/>
  <c r="A40" i="2"/>
  <c r="AH40" i="2" s="1"/>
  <c r="V38" i="3" s="1"/>
  <c r="A39" i="2"/>
  <c r="AH39" i="2" s="1"/>
  <c r="V37" i="3" s="1"/>
  <c r="A38" i="2"/>
  <c r="AH38" i="2" s="1"/>
  <c r="V36" i="3" s="1"/>
  <c r="A37" i="2"/>
  <c r="AH37" i="2" s="1"/>
  <c r="A36" i="2"/>
  <c r="AH36" i="2" s="1"/>
  <c r="A35" i="2"/>
  <c r="AH35" i="2" s="1"/>
  <c r="A34" i="2"/>
  <c r="AH34" i="2" s="1"/>
  <c r="A33" i="2"/>
  <c r="AH33" i="2" s="1"/>
  <c r="A32" i="2"/>
  <c r="AH32" i="2" s="1"/>
  <c r="A31" i="2"/>
  <c r="AH31" i="2" s="1"/>
  <c r="A30" i="2"/>
  <c r="AH30" i="2" s="1"/>
  <c r="A29" i="2"/>
  <c r="AH29" i="2" s="1"/>
  <c r="A28" i="2"/>
  <c r="A23" i="2"/>
  <c r="AH23" i="2" s="1"/>
  <c r="U45" i="3" s="1"/>
  <c r="A22" i="2"/>
  <c r="AH22" i="2" s="1"/>
  <c r="U44" i="3" s="1"/>
  <c r="A21" i="2"/>
  <c r="AH21" i="2" s="1"/>
  <c r="U43" i="3" s="1"/>
  <c r="A20" i="2"/>
  <c r="AH20" i="2" s="1"/>
  <c r="U42" i="3" s="1"/>
  <c r="A19" i="2"/>
  <c r="AH19" i="2" s="1"/>
  <c r="U41" i="3" s="1"/>
  <c r="A18" i="2"/>
  <c r="AH18" i="2" s="1"/>
  <c r="A17" i="2"/>
  <c r="AH17" i="2" s="1"/>
  <c r="A16" i="2"/>
  <c r="AH16" i="2" s="1"/>
  <c r="A15" i="2"/>
  <c r="AH15" i="2" s="1"/>
  <c r="A14" i="2"/>
  <c r="AH14" i="2" s="1"/>
  <c r="A286" i="4"/>
  <c r="AH286" i="4" s="1"/>
  <c r="A285" i="4"/>
  <c r="AH285" i="4" s="1"/>
  <c r="A284" i="4"/>
  <c r="AH284" i="4" s="1"/>
  <c r="A283" i="4"/>
  <c r="AH283" i="4" s="1"/>
  <c r="A282" i="4"/>
  <c r="AH282" i="4" s="1"/>
  <c r="AF17" i="3" s="1"/>
  <c r="A281" i="4"/>
  <c r="AH281" i="4" s="1"/>
  <c r="AF16" i="3" s="1"/>
  <c r="A280" i="4"/>
  <c r="AH280" i="4" s="1"/>
  <c r="AF15" i="3" s="1"/>
  <c r="A279" i="4"/>
  <c r="AH279" i="4" s="1"/>
  <c r="AF14" i="3" s="1"/>
  <c r="A278" i="4"/>
  <c r="AH278" i="4" s="1"/>
  <c r="AF13" i="3" s="1"/>
  <c r="A277" i="4"/>
  <c r="AH277" i="4" s="1"/>
  <c r="A276" i="4"/>
  <c r="AH276" i="4" s="1"/>
  <c r="A275" i="4"/>
  <c r="AH275" i="4" s="1"/>
  <c r="A274" i="4"/>
  <c r="AH274" i="4" s="1"/>
  <c r="A273" i="4"/>
  <c r="AH273" i="4" s="1"/>
  <c r="A272" i="4"/>
  <c r="AH272" i="4" s="1"/>
  <c r="A271" i="4"/>
  <c r="AH271" i="4" s="1"/>
  <c r="A270" i="4"/>
  <c r="AH270" i="4" s="1"/>
  <c r="A269" i="4"/>
  <c r="AH269" i="4" s="1"/>
  <c r="A268" i="4"/>
  <c r="A262" i="4"/>
  <c r="AH262" i="4" s="1"/>
  <c r="A261" i="4"/>
  <c r="AH261" i="4" s="1"/>
  <c r="A260" i="4"/>
  <c r="AH260" i="4" s="1"/>
  <c r="A259" i="4"/>
  <c r="AH259" i="4" s="1"/>
  <c r="A258" i="4"/>
  <c r="AH258" i="4" s="1"/>
  <c r="AE17" i="3" s="1"/>
  <c r="A257" i="4"/>
  <c r="AH257" i="4" s="1"/>
  <c r="AE16" i="3" s="1"/>
  <c r="A256" i="4"/>
  <c r="AH256" i="4" s="1"/>
  <c r="AE15" i="3" s="1"/>
  <c r="A255" i="4"/>
  <c r="AH255" i="4" s="1"/>
  <c r="AE14" i="3" s="1"/>
  <c r="A254" i="4"/>
  <c r="AH254" i="4" s="1"/>
  <c r="AE13" i="3" s="1"/>
  <c r="A253" i="4"/>
  <c r="AH253" i="4" s="1"/>
  <c r="A252" i="4"/>
  <c r="AH252" i="4" s="1"/>
  <c r="A251" i="4"/>
  <c r="AH251" i="4" s="1"/>
  <c r="A250" i="4"/>
  <c r="AH250" i="4" s="1"/>
  <c r="A249" i="4"/>
  <c r="AH249" i="4" s="1"/>
  <c r="A248" i="4"/>
  <c r="AH248" i="4" s="1"/>
  <c r="A247" i="4"/>
  <c r="AH247" i="4" s="1"/>
  <c r="A246" i="4"/>
  <c r="AH246" i="4" s="1"/>
  <c r="A245" i="4"/>
  <c r="AH245" i="4" s="1"/>
  <c r="A244" i="4"/>
  <c r="A238" i="4"/>
  <c r="AH238" i="4" s="1"/>
  <c r="A237" i="4"/>
  <c r="AH237" i="4" s="1"/>
  <c r="A236" i="4"/>
  <c r="AH236" i="4" s="1"/>
  <c r="A235" i="4"/>
  <c r="AH235" i="4" s="1"/>
  <c r="A234" i="4"/>
  <c r="AH234" i="4" s="1"/>
  <c r="AD17" i="3" s="1"/>
  <c r="A233" i="4"/>
  <c r="AH233" i="4" s="1"/>
  <c r="AD16" i="3" s="1"/>
  <c r="A232" i="4"/>
  <c r="AH232" i="4" s="1"/>
  <c r="AD15" i="3" s="1"/>
  <c r="A231" i="4"/>
  <c r="AH231" i="4" s="1"/>
  <c r="AD14" i="3" s="1"/>
  <c r="A230" i="4"/>
  <c r="AH230" i="4" s="1"/>
  <c r="AD13" i="3" s="1"/>
  <c r="A229" i="4"/>
  <c r="AH229" i="4" s="1"/>
  <c r="A228" i="4"/>
  <c r="AH228" i="4" s="1"/>
  <c r="A227" i="4"/>
  <c r="AH227" i="4" s="1"/>
  <c r="A226" i="4"/>
  <c r="AH226" i="4" s="1"/>
  <c r="A225" i="4"/>
  <c r="AH225" i="4" s="1"/>
  <c r="A224" i="4"/>
  <c r="AH224" i="4" s="1"/>
  <c r="A223" i="4"/>
  <c r="AH223" i="4" s="1"/>
  <c r="A222" i="4"/>
  <c r="AH222" i="4" s="1"/>
  <c r="A221" i="4"/>
  <c r="AH221" i="4" s="1"/>
  <c r="A220" i="4"/>
  <c r="A214" i="4"/>
  <c r="AH214" i="4" s="1"/>
  <c r="A213" i="4"/>
  <c r="AH213" i="4" s="1"/>
  <c r="A212" i="4"/>
  <c r="AH212" i="4" s="1"/>
  <c r="A211" i="4"/>
  <c r="AH211" i="4" s="1"/>
  <c r="A210" i="4"/>
  <c r="AH210" i="4" s="1"/>
  <c r="AC17" i="3" s="1"/>
  <c r="A209" i="4"/>
  <c r="AH209" i="4" s="1"/>
  <c r="AC16" i="3" s="1"/>
  <c r="A208" i="4"/>
  <c r="AH208" i="4" s="1"/>
  <c r="AC15" i="3" s="1"/>
  <c r="A207" i="4"/>
  <c r="AH207" i="4" s="1"/>
  <c r="AC14" i="3" s="1"/>
  <c r="A206" i="4"/>
  <c r="AH206" i="4" s="1"/>
  <c r="AC13" i="3" s="1"/>
  <c r="A205" i="4"/>
  <c r="AH205" i="4" s="1"/>
  <c r="A204" i="4"/>
  <c r="AH204" i="4" s="1"/>
  <c r="A203" i="4"/>
  <c r="AH203" i="4" s="1"/>
  <c r="A202" i="4"/>
  <c r="AH202" i="4" s="1"/>
  <c r="A201" i="4"/>
  <c r="AH201" i="4" s="1"/>
  <c r="A200" i="4"/>
  <c r="AH200" i="4" s="1"/>
  <c r="A199" i="4"/>
  <c r="AH199" i="4" s="1"/>
  <c r="A198" i="4"/>
  <c r="AH198" i="4" s="1"/>
  <c r="A197" i="4"/>
  <c r="AH197" i="4" s="1"/>
  <c r="A196" i="4"/>
  <c r="A190" i="4"/>
  <c r="AH190" i="4" s="1"/>
  <c r="A189" i="4"/>
  <c r="AH189" i="4" s="1"/>
  <c r="A188" i="4"/>
  <c r="AH188" i="4" s="1"/>
  <c r="A187" i="4"/>
  <c r="AH187" i="4" s="1"/>
  <c r="A186" i="4"/>
  <c r="AH186" i="4" s="1"/>
  <c r="AB17" i="3" s="1"/>
  <c r="A185" i="4"/>
  <c r="AH185" i="4" s="1"/>
  <c r="AB16" i="3" s="1"/>
  <c r="A184" i="4"/>
  <c r="AH184" i="4" s="1"/>
  <c r="AB15" i="3" s="1"/>
  <c r="A183" i="4"/>
  <c r="AH183" i="4" s="1"/>
  <c r="AB14" i="3" s="1"/>
  <c r="A182" i="4"/>
  <c r="AH182" i="4" s="1"/>
  <c r="AB13" i="3" s="1"/>
  <c r="A181" i="4"/>
  <c r="AH181" i="4" s="1"/>
  <c r="A180" i="4"/>
  <c r="AH180" i="4" s="1"/>
  <c r="A179" i="4"/>
  <c r="AH179" i="4" s="1"/>
  <c r="A178" i="4"/>
  <c r="AH178" i="4" s="1"/>
  <c r="A177" i="4"/>
  <c r="AH177" i="4" s="1"/>
  <c r="A176" i="4"/>
  <c r="AH176" i="4" s="1"/>
  <c r="A175" i="4"/>
  <c r="AH175" i="4" s="1"/>
  <c r="A174" i="4"/>
  <c r="AH174" i="4" s="1"/>
  <c r="A173" i="4"/>
  <c r="AH173" i="4" s="1"/>
  <c r="A172" i="4"/>
  <c r="A166" i="4"/>
  <c r="AH166" i="4" s="1"/>
  <c r="A165" i="4"/>
  <c r="AH165" i="4" s="1"/>
  <c r="A164" i="4"/>
  <c r="AH164" i="4" s="1"/>
  <c r="A163" i="4"/>
  <c r="AH163" i="4" s="1"/>
  <c r="A162" i="4"/>
  <c r="AH162" i="4" s="1"/>
  <c r="AA17" i="3" s="1"/>
  <c r="A161" i="4"/>
  <c r="AH161" i="4" s="1"/>
  <c r="AA16" i="3" s="1"/>
  <c r="A160" i="4"/>
  <c r="AH160" i="4" s="1"/>
  <c r="AA15" i="3" s="1"/>
  <c r="A159" i="4"/>
  <c r="AH159" i="4" s="1"/>
  <c r="AA14" i="3" s="1"/>
  <c r="A158" i="4"/>
  <c r="AH158" i="4" s="1"/>
  <c r="AA13" i="3" s="1"/>
  <c r="A157" i="4"/>
  <c r="AH157" i="4" s="1"/>
  <c r="A156" i="4"/>
  <c r="AH156" i="4" s="1"/>
  <c r="A155" i="4"/>
  <c r="AH155" i="4" s="1"/>
  <c r="A154" i="4"/>
  <c r="AH154" i="4" s="1"/>
  <c r="A153" i="4"/>
  <c r="AH153" i="4" s="1"/>
  <c r="A152" i="4"/>
  <c r="AH152" i="4" s="1"/>
  <c r="A151" i="4"/>
  <c r="AH151" i="4" s="1"/>
  <c r="A150" i="4"/>
  <c r="AH150" i="4" s="1"/>
  <c r="A149" i="4"/>
  <c r="AH149" i="4" s="1"/>
  <c r="A148" i="4"/>
  <c r="A142" i="4"/>
  <c r="AH142" i="4" s="1"/>
  <c r="A141" i="4"/>
  <c r="AH141" i="4" s="1"/>
  <c r="A140" i="4"/>
  <c r="AH140" i="4" s="1"/>
  <c r="A139" i="4"/>
  <c r="AH139" i="4" s="1"/>
  <c r="A138" i="4"/>
  <c r="AH138" i="4" s="1"/>
  <c r="Z17" i="3" s="1"/>
  <c r="A137" i="4"/>
  <c r="AH137" i="4" s="1"/>
  <c r="Z16" i="3" s="1"/>
  <c r="A136" i="4"/>
  <c r="AH136" i="4" s="1"/>
  <c r="Z15" i="3" s="1"/>
  <c r="A135" i="4"/>
  <c r="AH135" i="4" s="1"/>
  <c r="Z14" i="3" s="1"/>
  <c r="A134" i="4"/>
  <c r="AH134" i="4" s="1"/>
  <c r="Z13" i="3" s="1"/>
  <c r="A133" i="4"/>
  <c r="AH133" i="4" s="1"/>
  <c r="A132" i="4"/>
  <c r="AH132" i="4" s="1"/>
  <c r="A131" i="4"/>
  <c r="AH131" i="4" s="1"/>
  <c r="A130" i="4"/>
  <c r="AH130" i="4" s="1"/>
  <c r="A129" i="4"/>
  <c r="AH129" i="4" s="1"/>
  <c r="A128" i="4"/>
  <c r="AH128" i="4" s="1"/>
  <c r="A127" i="4"/>
  <c r="AH127" i="4" s="1"/>
  <c r="A126" i="4"/>
  <c r="AH126" i="4" s="1"/>
  <c r="A125" i="4"/>
  <c r="AH125" i="4" s="1"/>
  <c r="A124" i="4"/>
  <c r="A118" i="4"/>
  <c r="AH118" i="4" s="1"/>
  <c r="A117" i="4"/>
  <c r="AH117" i="4" s="1"/>
  <c r="A116" i="4"/>
  <c r="AH116" i="4" s="1"/>
  <c r="A115" i="4"/>
  <c r="AH115" i="4" s="1"/>
  <c r="A114" i="4"/>
  <c r="AH114" i="4" s="1"/>
  <c r="Y17" i="3" s="1"/>
  <c r="A113" i="4"/>
  <c r="AH113" i="4" s="1"/>
  <c r="Y16" i="3" s="1"/>
  <c r="A112" i="4"/>
  <c r="AH112" i="4" s="1"/>
  <c r="Y15" i="3" s="1"/>
  <c r="A111" i="4"/>
  <c r="AH111" i="4" s="1"/>
  <c r="Y14" i="3" s="1"/>
  <c r="A110" i="4"/>
  <c r="AH110" i="4" s="1"/>
  <c r="Y13" i="3" s="1"/>
  <c r="A109" i="4"/>
  <c r="AH109" i="4" s="1"/>
  <c r="A108" i="4"/>
  <c r="AH108" i="4" s="1"/>
  <c r="A107" i="4"/>
  <c r="AH107" i="4" s="1"/>
  <c r="A106" i="4"/>
  <c r="AH106" i="4" s="1"/>
  <c r="A105" i="4"/>
  <c r="AH105" i="4" s="1"/>
  <c r="A104" i="4"/>
  <c r="AH104" i="4" s="1"/>
  <c r="A103" i="4"/>
  <c r="AH103" i="4" s="1"/>
  <c r="A102" i="4"/>
  <c r="AH102" i="4" s="1"/>
  <c r="A101" i="4"/>
  <c r="AH101" i="4" s="1"/>
  <c r="A100" i="4"/>
  <c r="A94" i="4"/>
  <c r="AH94" i="4" s="1"/>
  <c r="A93" i="4"/>
  <c r="AH93" i="4" s="1"/>
  <c r="A92" i="4"/>
  <c r="AH92" i="4" s="1"/>
  <c r="A91" i="4"/>
  <c r="AH91" i="4" s="1"/>
  <c r="A90" i="4"/>
  <c r="AH90" i="4" s="1"/>
  <c r="X17" i="3" s="1"/>
  <c r="A89" i="4"/>
  <c r="AH89" i="4" s="1"/>
  <c r="X16" i="3" s="1"/>
  <c r="A88" i="4"/>
  <c r="AH88" i="4" s="1"/>
  <c r="X15" i="3" s="1"/>
  <c r="A87" i="4"/>
  <c r="AH87" i="4" s="1"/>
  <c r="X14" i="3" s="1"/>
  <c r="A86" i="4"/>
  <c r="AH86" i="4" s="1"/>
  <c r="X13" i="3" s="1"/>
  <c r="A85" i="4"/>
  <c r="AH85" i="4" s="1"/>
  <c r="A84" i="4"/>
  <c r="AH84" i="4" s="1"/>
  <c r="A83" i="4"/>
  <c r="AH83" i="4" s="1"/>
  <c r="A82" i="4"/>
  <c r="AH82" i="4" s="1"/>
  <c r="A81" i="4"/>
  <c r="AH81" i="4" s="1"/>
  <c r="A80" i="4"/>
  <c r="AH80" i="4" s="1"/>
  <c r="A79" i="4"/>
  <c r="AH79" i="4" s="1"/>
  <c r="A78" i="4"/>
  <c r="AH78" i="4" s="1"/>
  <c r="A77" i="4"/>
  <c r="AH77" i="4" s="1"/>
  <c r="A76" i="4"/>
  <c r="A70" i="4"/>
  <c r="AH70" i="4" s="1"/>
  <c r="A69" i="4"/>
  <c r="AH69" i="4" s="1"/>
  <c r="A68" i="4"/>
  <c r="AH68" i="4" s="1"/>
  <c r="A67" i="4"/>
  <c r="AH67" i="4" s="1"/>
  <c r="A66" i="4"/>
  <c r="AH66" i="4" s="1"/>
  <c r="W17" i="3" s="1"/>
  <c r="A65" i="4"/>
  <c r="AH65" i="4" s="1"/>
  <c r="W16" i="3" s="1"/>
  <c r="A64" i="4"/>
  <c r="AH64" i="4" s="1"/>
  <c r="W15" i="3" s="1"/>
  <c r="A63" i="4"/>
  <c r="AH63" i="4" s="1"/>
  <c r="W14" i="3" s="1"/>
  <c r="A62" i="4"/>
  <c r="AH62" i="4" s="1"/>
  <c r="W13" i="3" s="1"/>
  <c r="A61" i="4"/>
  <c r="AH61" i="4" s="1"/>
  <c r="A60" i="4"/>
  <c r="AH60" i="4" s="1"/>
  <c r="A59" i="4"/>
  <c r="AH59" i="4" s="1"/>
  <c r="A58" i="4"/>
  <c r="AH58" i="4" s="1"/>
  <c r="A57" i="4"/>
  <c r="AH57" i="4" s="1"/>
  <c r="A56" i="4"/>
  <c r="AH56" i="4" s="1"/>
  <c r="A55" i="4"/>
  <c r="AH55" i="4" s="1"/>
  <c r="A54" i="4"/>
  <c r="AH54" i="4" s="1"/>
  <c r="A53" i="4"/>
  <c r="AH53" i="4" s="1"/>
  <c r="A52" i="4"/>
  <c r="A46" i="4"/>
  <c r="AH46" i="4" s="1"/>
  <c r="A45" i="4"/>
  <c r="AH45" i="4" s="1"/>
  <c r="A44" i="4"/>
  <c r="AH44" i="4" s="1"/>
  <c r="A43" i="4"/>
  <c r="AH43" i="4" s="1"/>
  <c r="A42" i="4"/>
  <c r="AH42" i="4" s="1"/>
  <c r="V17" i="3" s="1"/>
  <c r="A41" i="4"/>
  <c r="AH41" i="4" s="1"/>
  <c r="V16" i="3" s="1"/>
  <c r="A40" i="4"/>
  <c r="AH40" i="4" s="1"/>
  <c r="V15" i="3" s="1"/>
  <c r="A39" i="4"/>
  <c r="AH39" i="4" s="1"/>
  <c r="V14" i="3" s="1"/>
  <c r="A38" i="4"/>
  <c r="AH38" i="4" s="1"/>
  <c r="V13" i="3" s="1"/>
  <c r="A37" i="4"/>
  <c r="AH37" i="4" s="1"/>
  <c r="A36" i="4"/>
  <c r="AH36" i="4" s="1"/>
  <c r="A35" i="4"/>
  <c r="AH35" i="4" s="1"/>
  <c r="A34" i="4"/>
  <c r="AH34" i="4" s="1"/>
  <c r="A33" i="4"/>
  <c r="AH33" i="4" s="1"/>
  <c r="A32" i="4"/>
  <c r="AH32" i="4" s="1"/>
  <c r="A31" i="4"/>
  <c r="AH31" i="4" s="1"/>
  <c r="A30" i="4"/>
  <c r="AH30" i="4" s="1"/>
  <c r="A29" i="4"/>
  <c r="AH29" i="4" s="1"/>
  <c r="A28" i="4"/>
  <c r="A23" i="4"/>
  <c r="AH23" i="4" s="1"/>
  <c r="U22" i="3" s="1"/>
  <c r="A22" i="4"/>
  <c r="AH22" i="4" s="1"/>
  <c r="U21" i="3" s="1"/>
  <c r="A21" i="4"/>
  <c r="AH21" i="4" s="1"/>
  <c r="U20" i="3" s="1"/>
  <c r="A20" i="4"/>
  <c r="AH20" i="4" s="1"/>
  <c r="U19" i="3" s="1"/>
  <c r="A19" i="4"/>
  <c r="AH19" i="4" s="1"/>
  <c r="U18" i="3" s="1"/>
  <c r="A18" i="4"/>
  <c r="AH18" i="4" s="1"/>
  <c r="E82" i="3"/>
  <c r="E83" i="3"/>
  <c r="E84" i="3"/>
  <c r="E85" i="3"/>
  <c r="E86" i="3"/>
  <c r="E87" i="3"/>
  <c r="E59" i="3"/>
  <c r="E60" i="3"/>
  <c r="E61" i="3"/>
  <c r="E62" i="3"/>
  <c r="E63" i="3"/>
  <c r="E64" i="3"/>
  <c r="E36" i="3"/>
  <c r="E37" i="3"/>
  <c r="E38" i="3"/>
  <c r="E39" i="3"/>
  <c r="E40" i="3"/>
  <c r="E96" i="3"/>
  <c r="P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H80" i="3"/>
  <c r="P84" i="3"/>
  <c r="P88" i="3"/>
  <c r="P36" i="3"/>
  <c r="M4" i="3"/>
  <c r="Q7" i="3"/>
  <c r="P10" i="3"/>
  <c r="I14" i="3"/>
  <c r="E18" i="3"/>
  <c r="E19" i="3"/>
  <c r="E20" i="3"/>
  <c r="E21" i="3"/>
  <c r="E22" i="3"/>
  <c r="R8" i="3" l="1"/>
  <c r="R6" i="3"/>
  <c r="R12" i="3"/>
  <c r="R4" i="3"/>
  <c r="R29" i="3"/>
  <c r="R11" i="3"/>
  <c r="R9" i="3"/>
  <c r="R7" i="3"/>
  <c r="R5" i="3"/>
  <c r="R10" i="3"/>
  <c r="R33" i="3"/>
  <c r="R81" i="3"/>
  <c r="R77" i="3"/>
  <c r="R32" i="3"/>
  <c r="R28" i="3"/>
  <c r="R80" i="3"/>
  <c r="R76" i="3"/>
  <c r="R35" i="3"/>
  <c r="R31" i="3"/>
  <c r="R27" i="3"/>
  <c r="R79" i="3"/>
  <c r="R75" i="3"/>
  <c r="R73" i="3"/>
  <c r="R34" i="3"/>
  <c r="R30" i="3"/>
  <c r="R78" i="3"/>
  <c r="R74" i="3"/>
  <c r="R15" i="3"/>
  <c r="R90" i="3"/>
  <c r="R105" i="3"/>
  <c r="S105" i="3" s="1"/>
  <c r="R84" i="3"/>
  <c r="S84" i="3" s="1"/>
  <c r="R82" i="3"/>
  <c r="S82" i="3" s="1"/>
  <c r="R14" i="3"/>
  <c r="R13" i="3"/>
  <c r="R40" i="3"/>
  <c r="S40" i="3" s="1"/>
  <c r="R38" i="3"/>
  <c r="S38" i="3" s="1"/>
  <c r="R17" i="3"/>
  <c r="R36" i="3"/>
  <c r="S36" i="3" s="1"/>
  <c r="R107" i="3"/>
  <c r="S107" i="3" s="1"/>
  <c r="R42" i="3"/>
  <c r="R106" i="3"/>
  <c r="S106" i="3" s="1"/>
  <c r="R16" i="3"/>
  <c r="R108" i="3"/>
  <c r="S108" i="3" s="1"/>
  <c r="R62" i="3"/>
  <c r="S62" i="3" s="1"/>
  <c r="R60" i="3"/>
  <c r="S60" i="3" s="1"/>
  <c r="R39" i="3"/>
  <c r="S39" i="3" s="1"/>
  <c r="R37" i="3"/>
  <c r="S37" i="3" s="1"/>
  <c r="R63" i="3"/>
  <c r="S63" i="3" s="1"/>
  <c r="R59" i="3"/>
  <c r="S59" i="3" s="1"/>
  <c r="R22" i="3"/>
  <c r="S22" i="3" s="1"/>
  <c r="R83" i="3"/>
  <c r="S83" i="3" s="1"/>
  <c r="R21" i="3"/>
  <c r="S21" i="3" s="1"/>
  <c r="R20" i="3"/>
  <c r="S20" i="3" s="1"/>
  <c r="R18" i="3"/>
  <c r="S18" i="3" s="1"/>
  <c r="R61" i="3"/>
  <c r="S61" i="3" s="1"/>
  <c r="R85" i="3"/>
  <c r="S85" i="3" s="1"/>
  <c r="R109" i="3"/>
  <c r="S109" i="3" s="1"/>
  <c r="R19" i="3"/>
  <c r="S19" i="3" s="1"/>
  <c r="R91" i="3"/>
  <c r="R87" i="3"/>
  <c r="S87" i="3" s="1"/>
  <c r="R45" i="3"/>
  <c r="R41" i="3"/>
  <c r="R89" i="3"/>
  <c r="R43" i="3"/>
  <c r="R44" i="3"/>
  <c r="R88" i="3"/>
  <c r="R86" i="3"/>
  <c r="S86" i="3" s="1"/>
  <c r="C3" i="4" l="1"/>
  <c r="D3" i="4"/>
  <c r="AI268" i="7" l="1"/>
  <c r="Q95" i="3" s="1"/>
  <c r="AH268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AI244" i="7"/>
  <c r="P95" i="3" s="1"/>
  <c r="AH244" i="7"/>
  <c r="AE242" i="7"/>
  <c r="AD242" i="7"/>
  <c r="AC242" i="7"/>
  <c r="AB242" i="7"/>
  <c r="AA242" i="7"/>
  <c r="Z242" i="7"/>
  <c r="Y242" i="7"/>
  <c r="X242" i="7"/>
  <c r="W242" i="7"/>
  <c r="V242" i="7"/>
  <c r="U242" i="7"/>
  <c r="T242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B242" i="7"/>
  <c r="O110" i="3"/>
  <c r="AI220" i="7"/>
  <c r="O95" i="3" s="1"/>
  <c r="AH220" i="7"/>
  <c r="AF218" i="7"/>
  <c r="AE218" i="7"/>
  <c r="AD218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B218" i="7"/>
  <c r="AI196" i="7"/>
  <c r="N95" i="3" s="1"/>
  <c r="AH196" i="7"/>
  <c r="AE194" i="7"/>
  <c r="AD194" i="7"/>
  <c r="AC194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B194" i="7"/>
  <c r="AI172" i="7"/>
  <c r="M95" i="3" s="1"/>
  <c r="AH172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B170" i="7"/>
  <c r="AI148" i="7"/>
  <c r="L95" i="3" s="1"/>
  <c r="AH148" i="7"/>
  <c r="AF146" i="7"/>
  <c r="AE146" i="7"/>
  <c r="AD146" i="7"/>
  <c r="AC146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B146" i="7"/>
  <c r="AI124" i="7"/>
  <c r="K95" i="3" s="1"/>
  <c r="AH124" i="7"/>
  <c r="AE122" i="7"/>
  <c r="AD122" i="7"/>
  <c r="AC122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B122" i="7"/>
  <c r="AI100" i="7"/>
  <c r="J95" i="3" s="1"/>
  <c r="AH100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I114" i="3"/>
  <c r="R114" i="3" s="1"/>
  <c r="S114" i="3" s="1"/>
  <c r="I113" i="3"/>
  <c r="R113" i="3" s="1"/>
  <c r="S113" i="3" s="1"/>
  <c r="I112" i="3"/>
  <c r="I111" i="3"/>
  <c r="I110" i="3"/>
  <c r="I104" i="3"/>
  <c r="R104" i="3" s="1"/>
  <c r="S104" i="3" s="1"/>
  <c r="I103" i="3"/>
  <c r="R103" i="3" s="1"/>
  <c r="S103" i="3" s="1"/>
  <c r="I102" i="3"/>
  <c r="R102" i="3" s="1"/>
  <c r="S102" i="3" s="1"/>
  <c r="I101" i="3"/>
  <c r="R101" i="3" s="1"/>
  <c r="S101" i="3" s="1"/>
  <c r="I100" i="3"/>
  <c r="R100" i="3" s="1"/>
  <c r="S100" i="3" s="1"/>
  <c r="I99" i="3"/>
  <c r="R99" i="3" s="1"/>
  <c r="S99" i="3" s="1"/>
  <c r="I98" i="3"/>
  <c r="R98" i="3" s="1"/>
  <c r="S98" i="3" s="1"/>
  <c r="I97" i="3"/>
  <c r="R97" i="3" s="1"/>
  <c r="S97" i="3" s="1"/>
  <c r="I96" i="3"/>
  <c r="R96" i="3" s="1"/>
  <c r="S96" i="3" s="1"/>
  <c r="AI76" i="7"/>
  <c r="I95" i="3" s="1"/>
  <c r="AH76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H112" i="3"/>
  <c r="H111" i="3"/>
  <c r="H110" i="3"/>
  <c r="AI52" i="7"/>
  <c r="H95" i="3" s="1"/>
  <c r="AH52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I28" i="7"/>
  <c r="G95" i="3" s="1"/>
  <c r="AH28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I4" i="7"/>
  <c r="F95" i="3" s="1"/>
  <c r="AH4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R111" i="3" l="1"/>
  <c r="S111" i="3" s="1"/>
  <c r="R112" i="3"/>
  <c r="S112" i="3" s="1"/>
  <c r="R110" i="3"/>
  <c r="S110" i="3" s="1"/>
  <c r="R95" i="3"/>
  <c r="E95" i="3"/>
  <c r="S95" i="3" l="1"/>
  <c r="Y54" i="3"/>
  <c r="A10" i="4" l="1"/>
  <c r="AH10" i="4" s="1"/>
  <c r="U27" i="3" s="1"/>
  <c r="V9" i="3"/>
  <c r="W9" i="3"/>
  <c r="X9" i="3"/>
  <c r="Y9" i="3"/>
  <c r="Z9" i="3"/>
  <c r="AA9" i="3"/>
  <c r="AB9" i="3"/>
  <c r="AC9" i="3"/>
  <c r="AD9" i="3"/>
  <c r="AE9" i="3"/>
  <c r="AF9" i="3"/>
  <c r="AF91" i="3"/>
  <c r="AF90" i="3"/>
  <c r="AF89" i="3"/>
  <c r="AF88" i="3"/>
  <c r="AF87" i="3"/>
  <c r="AF81" i="3"/>
  <c r="AF80" i="3"/>
  <c r="AF79" i="3"/>
  <c r="AF78" i="3"/>
  <c r="AF77" i="3"/>
  <c r="AF76" i="3"/>
  <c r="AF75" i="3"/>
  <c r="AF74" i="3"/>
  <c r="AF73" i="3"/>
  <c r="AH268" i="6"/>
  <c r="AE91" i="3"/>
  <c r="AE90" i="3"/>
  <c r="AE89" i="3"/>
  <c r="AE88" i="3"/>
  <c r="AE87" i="3"/>
  <c r="AE81" i="3"/>
  <c r="AE80" i="3"/>
  <c r="AE79" i="3"/>
  <c r="AE78" i="3"/>
  <c r="AE77" i="3"/>
  <c r="AE76" i="3"/>
  <c r="AE75" i="3"/>
  <c r="AE74" i="3"/>
  <c r="AE73" i="3"/>
  <c r="AH244" i="6"/>
  <c r="AD91" i="3"/>
  <c r="AD90" i="3"/>
  <c r="AD89" i="3"/>
  <c r="AD88" i="3"/>
  <c r="AD87" i="3"/>
  <c r="AD81" i="3"/>
  <c r="AD80" i="3"/>
  <c r="AD79" i="3"/>
  <c r="AD78" i="3"/>
  <c r="AD77" i="3"/>
  <c r="AD76" i="3"/>
  <c r="AD75" i="3"/>
  <c r="AD74" i="3"/>
  <c r="AD73" i="3"/>
  <c r="AH220" i="6"/>
  <c r="AC91" i="3"/>
  <c r="AC90" i="3"/>
  <c r="AC89" i="3"/>
  <c r="AC88" i="3"/>
  <c r="AC87" i="3"/>
  <c r="AC81" i="3"/>
  <c r="AC80" i="3"/>
  <c r="AC79" i="3"/>
  <c r="AC78" i="3"/>
  <c r="AC77" i="3"/>
  <c r="AC76" i="3"/>
  <c r="AC75" i="3"/>
  <c r="AC74" i="3"/>
  <c r="AC73" i="3"/>
  <c r="AH196" i="6"/>
  <c r="AB91" i="3"/>
  <c r="AB90" i="3"/>
  <c r="AB89" i="3"/>
  <c r="AB88" i="3"/>
  <c r="AB87" i="3"/>
  <c r="AB81" i="3"/>
  <c r="AB80" i="3"/>
  <c r="AB79" i="3"/>
  <c r="AB78" i="3"/>
  <c r="AB77" i="3"/>
  <c r="AB76" i="3"/>
  <c r="AB75" i="3"/>
  <c r="AB74" i="3"/>
  <c r="AB73" i="3"/>
  <c r="AH172" i="6"/>
  <c r="AA91" i="3"/>
  <c r="AA90" i="3"/>
  <c r="AA89" i="3"/>
  <c r="AA88" i="3"/>
  <c r="AA87" i="3"/>
  <c r="AA81" i="3"/>
  <c r="AA80" i="3"/>
  <c r="AA79" i="3"/>
  <c r="AA78" i="3"/>
  <c r="AA77" i="3"/>
  <c r="AA76" i="3"/>
  <c r="AA75" i="3"/>
  <c r="AA74" i="3"/>
  <c r="AA73" i="3"/>
  <c r="AH148" i="6"/>
  <c r="Z91" i="3"/>
  <c r="Z90" i="3"/>
  <c r="Z89" i="3"/>
  <c r="Z88" i="3"/>
  <c r="Z87" i="3"/>
  <c r="Z81" i="3"/>
  <c r="Z80" i="3"/>
  <c r="Z79" i="3"/>
  <c r="Z78" i="3"/>
  <c r="Z77" i="3"/>
  <c r="Z76" i="3"/>
  <c r="Z75" i="3"/>
  <c r="Z74" i="3"/>
  <c r="Z73" i="3"/>
  <c r="AH124" i="6"/>
  <c r="Y91" i="3"/>
  <c r="Y90" i="3"/>
  <c r="Y89" i="3"/>
  <c r="Y88" i="3"/>
  <c r="Y87" i="3"/>
  <c r="Y81" i="3"/>
  <c r="Y80" i="3"/>
  <c r="Y79" i="3"/>
  <c r="Y78" i="3"/>
  <c r="Y77" i="3"/>
  <c r="Y76" i="3"/>
  <c r="Y75" i="3"/>
  <c r="Y74" i="3"/>
  <c r="Y73" i="3"/>
  <c r="AH100" i="6"/>
  <c r="X91" i="3"/>
  <c r="X90" i="3"/>
  <c r="X89" i="3"/>
  <c r="X88" i="3"/>
  <c r="X87" i="3"/>
  <c r="X81" i="3"/>
  <c r="X80" i="3"/>
  <c r="X79" i="3"/>
  <c r="X77" i="3"/>
  <c r="X76" i="3"/>
  <c r="X75" i="3"/>
  <c r="X74" i="3"/>
  <c r="X73" i="3"/>
  <c r="AH76" i="6"/>
  <c r="W91" i="3"/>
  <c r="W90" i="3"/>
  <c r="W89" i="3"/>
  <c r="W88" i="3"/>
  <c r="W87" i="3"/>
  <c r="W81" i="3"/>
  <c r="W80" i="3"/>
  <c r="W79" i="3"/>
  <c r="W78" i="3"/>
  <c r="W76" i="3"/>
  <c r="W75" i="3"/>
  <c r="W74" i="3"/>
  <c r="W73" i="3"/>
  <c r="AH52" i="6"/>
  <c r="V91" i="3"/>
  <c r="V90" i="3"/>
  <c r="V89" i="3"/>
  <c r="V88" i="3"/>
  <c r="V87" i="3"/>
  <c r="V81" i="3"/>
  <c r="V80" i="3"/>
  <c r="V79" i="3"/>
  <c r="V78" i="3"/>
  <c r="V77" i="3"/>
  <c r="V76" i="3"/>
  <c r="V75" i="3"/>
  <c r="V74" i="3"/>
  <c r="V73" i="3"/>
  <c r="AH28" i="6"/>
  <c r="U86" i="3"/>
  <c r="AG86" i="3" s="1"/>
  <c r="AH86" i="3" s="1"/>
  <c r="U85" i="3"/>
  <c r="AG85" i="3" s="1"/>
  <c r="AH85" i="3" s="1"/>
  <c r="U84" i="3"/>
  <c r="AG84" i="3" s="1"/>
  <c r="AH84" i="3" s="1"/>
  <c r="U83" i="3"/>
  <c r="AG83" i="3" s="1"/>
  <c r="AH83" i="3" s="1"/>
  <c r="U82" i="3"/>
  <c r="AG82" i="3" s="1"/>
  <c r="AH82" i="3" s="1"/>
  <c r="A13" i="6"/>
  <c r="AH13" i="6" s="1"/>
  <c r="U81" i="3" s="1"/>
  <c r="A12" i="6"/>
  <c r="AH12" i="6" s="1"/>
  <c r="U80" i="3" s="1"/>
  <c r="AF68" i="3"/>
  <c r="AF67" i="3"/>
  <c r="AF66" i="3"/>
  <c r="AF65" i="3"/>
  <c r="AF64" i="3"/>
  <c r="AF58" i="3"/>
  <c r="AF57" i="3"/>
  <c r="AF56" i="3"/>
  <c r="AF55" i="3"/>
  <c r="AF54" i="3"/>
  <c r="AF53" i="3"/>
  <c r="AF52" i="3"/>
  <c r="AF51" i="3"/>
  <c r="AF50" i="3"/>
  <c r="AH268" i="5"/>
  <c r="AF49" i="3" s="1"/>
  <c r="AE68" i="3"/>
  <c r="AE67" i="3"/>
  <c r="AE66" i="3"/>
  <c r="AE65" i="3"/>
  <c r="AE64" i="3"/>
  <c r="AE58" i="3"/>
  <c r="AE57" i="3"/>
  <c r="AE56" i="3"/>
  <c r="AE55" i="3"/>
  <c r="AE54" i="3"/>
  <c r="AE53" i="3"/>
  <c r="AE52" i="3"/>
  <c r="AE51" i="3"/>
  <c r="AE50" i="3"/>
  <c r="AH244" i="5"/>
  <c r="AE49" i="3" s="1"/>
  <c r="AD68" i="3"/>
  <c r="AD67" i="3"/>
  <c r="AD66" i="3"/>
  <c r="AD65" i="3"/>
  <c r="AD64" i="3"/>
  <c r="AD58" i="3"/>
  <c r="AD57" i="3"/>
  <c r="AD56" i="3"/>
  <c r="AD55" i="3"/>
  <c r="AD54" i="3"/>
  <c r="AD53" i="3"/>
  <c r="AD52" i="3"/>
  <c r="AD51" i="3"/>
  <c r="AD50" i="3"/>
  <c r="AH220" i="5"/>
  <c r="AD49" i="3" s="1"/>
  <c r="AC68" i="3"/>
  <c r="AC67" i="3"/>
  <c r="AC66" i="3"/>
  <c r="AC65" i="3"/>
  <c r="AC64" i="3"/>
  <c r="AC58" i="3"/>
  <c r="AC57" i="3"/>
  <c r="AC56" i="3"/>
  <c r="AC55" i="3"/>
  <c r="AC54" i="3"/>
  <c r="AC53" i="3"/>
  <c r="AC52" i="3"/>
  <c r="AC51" i="3"/>
  <c r="AC50" i="3"/>
  <c r="AH196" i="5"/>
  <c r="AC49" i="3" s="1"/>
  <c r="AB68" i="3"/>
  <c r="AB67" i="3"/>
  <c r="AB66" i="3"/>
  <c r="AB65" i="3"/>
  <c r="AB64" i="3"/>
  <c r="AB58" i="3"/>
  <c r="AB57" i="3"/>
  <c r="AB56" i="3"/>
  <c r="AB55" i="3"/>
  <c r="AB54" i="3"/>
  <c r="AB53" i="3"/>
  <c r="AB52" i="3"/>
  <c r="AB51" i="3"/>
  <c r="AB50" i="3"/>
  <c r="AH172" i="5"/>
  <c r="AB49" i="3" s="1"/>
  <c r="AA68" i="3"/>
  <c r="AA67" i="3"/>
  <c r="AA66" i="3"/>
  <c r="AA65" i="3"/>
  <c r="AA64" i="3"/>
  <c r="AA58" i="3"/>
  <c r="AA57" i="3"/>
  <c r="AA56" i="3"/>
  <c r="AA55" i="3"/>
  <c r="AA54" i="3"/>
  <c r="AA53" i="3"/>
  <c r="AA52" i="3"/>
  <c r="AA51" i="3"/>
  <c r="AA50" i="3"/>
  <c r="AH148" i="5"/>
  <c r="AA49" i="3" s="1"/>
  <c r="Z68" i="3"/>
  <c r="Z67" i="3"/>
  <c r="Z66" i="3"/>
  <c r="Z65" i="3"/>
  <c r="Z64" i="3"/>
  <c r="Z58" i="3"/>
  <c r="Z57" i="3"/>
  <c r="Z56" i="3"/>
  <c r="Z55" i="3"/>
  <c r="Z54" i="3"/>
  <c r="Z53" i="3"/>
  <c r="Z52" i="3"/>
  <c r="Z51" i="3"/>
  <c r="Z50" i="3"/>
  <c r="AH124" i="5"/>
  <c r="Z49" i="3" s="1"/>
  <c r="Y68" i="3"/>
  <c r="Y67" i="3"/>
  <c r="Y66" i="3"/>
  <c r="Y65" i="3"/>
  <c r="Y64" i="3"/>
  <c r="Y58" i="3"/>
  <c r="Y57" i="3"/>
  <c r="Y56" i="3"/>
  <c r="Y55" i="3"/>
  <c r="Y53" i="3"/>
  <c r="Y52" i="3"/>
  <c r="Y51" i="3"/>
  <c r="Y50" i="3"/>
  <c r="AH100" i="5"/>
  <c r="Y49" i="3" s="1"/>
  <c r="X68" i="3"/>
  <c r="X67" i="3"/>
  <c r="X66" i="3"/>
  <c r="X65" i="3"/>
  <c r="X64" i="3"/>
  <c r="X58" i="3"/>
  <c r="X57" i="3"/>
  <c r="X56" i="3"/>
  <c r="X55" i="3"/>
  <c r="X54" i="3"/>
  <c r="X53" i="3"/>
  <c r="X52" i="3"/>
  <c r="X51" i="3"/>
  <c r="X50" i="3"/>
  <c r="AH76" i="5"/>
  <c r="X49" i="3" s="1"/>
  <c r="W68" i="3"/>
  <c r="W67" i="3"/>
  <c r="W66" i="3"/>
  <c r="W65" i="3"/>
  <c r="W64" i="3"/>
  <c r="W58" i="3"/>
  <c r="W57" i="3"/>
  <c r="W56" i="3"/>
  <c r="W55" i="3"/>
  <c r="W54" i="3"/>
  <c r="W53" i="3"/>
  <c r="W52" i="3"/>
  <c r="W51" i="3"/>
  <c r="W50" i="3"/>
  <c r="AH52" i="5"/>
  <c r="W49" i="3" s="1"/>
  <c r="V68" i="3"/>
  <c r="V67" i="3"/>
  <c r="V66" i="3"/>
  <c r="V65" i="3"/>
  <c r="V64" i="3"/>
  <c r="V58" i="3"/>
  <c r="V57" i="3"/>
  <c r="V56" i="3"/>
  <c r="V55" i="3"/>
  <c r="V54" i="3"/>
  <c r="V53" i="3"/>
  <c r="V52" i="3"/>
  <c r="V51" i="3"/>
  <c r="V50" i="3"/>
  <c r="AH28" i="5"/>
  <c r="V49" i="3" s="1"/>
  <c r="U63" i="3"/>
  <c r="AG63" i="3" s="1"/>
  <c r="AH63" i="3" s="1"/>
  <c r="F68" i="3"/>
  <c r="R68" i="3" s="1"/>
  <c r="U62" i="3"/>
  <c r="AG62" i="3" s="1"/>
  <c r="AH62" i="3" s="1"/>
  <c r="U61" i="3"/>
  <c r="AG61" i="3" s="1"/>
  <c r="AH61" i="3" s="1"/>
  <c r="U60" i="3"/>
  <c r="AG60" i="3" s="1"/>
  <c r="AH60" i="3" s="1"/>
  <c r="U59" i="3"/>
  <c r="AG59" i="3" s="1"/>
  <c r="AH59" i="3" s="1"/>
  <c r="A13" i="5"/>
  <c r="AH13" i="5" s="1"/>
  <c r="U58" i="3" s="1"/>
  <c r="A12" i="5"/>
  <c r="AH12" i="5" s="1"/>
  <c r="U57" i="3" s="1"/>
  <c r="A287" i="4"/>
  <c r="AH287" i="4" s="1"/>
  <c r="AF22" i="3" s="1"/>
  <c r="AF21" i="3"/>
  <c r="AF20" i="3"/>
  <c r="AF19" i="3"/>
  <c r="AF18" i="3"/>
  <c r="AF12" i="3"/>
  <c r="AF11" i="3"/>
  <c r="AF10" i="3"/>
  <c r="AF8" i="3"/>
  <c r="AF7" i="3"/>
  <c r="AF6" i="3"/>
  <c r="AF5" i="3"/>
  <c r="AF4" i="3"/>
  <c r="AH268" i="4"/>
  <c r="A263" i="4"/>
  <c r="AH263" i="4" s="1"/>
  <c r="AE22" i="3" s="1"/>
  <c r="AE21" i="3"/>
  <c r="AE20" i="3"/>
  <c r="AE19" i="3"/>
  <c r="AE18" i="3"/>
  <c r="AE12" i="3"/>
  <c r="AE11" i="3"/>
  <c r="AE10" i="3"/>
  <c r="AE8" i="3"/>
  <c r="AE7" i="3"/>
  <c r="AE6" i="3"/>
  <c r="AE5" i="3"/>
  <c r="AE4" i="3"/>
  <c r="AH244" i="4"/>
  <c r="A239" i="4"/>
  <c r="AH239" i="4" s="1"/>
  <c r="AD22" i="3" s="1"/>
  <c r="AD21" i="3"/>
  <c r="AD20" i="3"/>
  <c r="AD19" i="3"/>
  <c r="AD18" i="3"/>
  <c r="AD12" i="3"/>
  <c r="AD11" i="3"/>
  <c r="AD10" i="3"/>
  <c r="AD8" i="3"/>
  <c r="AD7" i="3"/>
  <c r="AD6" i="3"/>
  <c r="AD5" i="3"/>
  <c r="AD4" i="3"/>
  <c r="AH220" i="4"/>
  <c r="A215" i="4"/>
  <c r="AH215" i="4" s="1"/>
  <c r="AC22" i="3" s="1"/>
  <c r="AC21" i="3"/>
  <c r="AC20" i="3"/>
  <c r="AC19" i="3"/>
  <c r="AC18" i="3"/>
  <c r="AC12" i="3"/>
  <c r="AC11" i="3"/>
  <c r="AC10" i="3"/>
  <c r="AC8" i="3"/>
  <c r="AC7" i="3"/>
  <c r="AC6" i="3"/>
  <c r="AC5" i="3"/>
  <c r="AC4" i="3"/>
  <c r="AH196" i="4"/>
  <c r="A191" i="4"/>
  <c r="AH191" i="4" s="1"/>
  <c r="AB22" i="3" s="1"/>
  <c r="AB21" i="3"/>
  <c r="AB20" i="3"/>
  <c r="AB19" i="3"/>
  <c r="AB18" i="3"/>
  <c r="AB12" i="3"/>
  <c r="AB11" i="3"/>
  <c r="AB10" i="3"/>
  <c r="AB8" i="3"/>
  <c r="AB7" i="3"/>
  <c r="AB6" i="3"/>
  <c r="AB5" i="3"/>
  <c r="AB4" i="3"/>
  <c r="AH172" i="4"/>
  <c r="A167" i="4"/>
  <c r="AH167" i="4" s="1"/>
  <c r="AA22" i="3" s="1"/>
  <c r="AA21" i="3"/>
  <c r="AA20" i="3"/>
  <c r="AA19" i="3"/>
  <c r="AA18" i="3"/>
  <c r="AA12" i="3"/>
  <c r="AA11" i="3"/>
  <c r="AA10" i="3"/>
  <c r="AA8" i="3"/>
  <c r="AA7" i="3"/>
  <c r="AA6" i="3"/>
  <c r="AA5" i="3"/>
  <c r="AA4" i="3"/>
  <c r="AH148" i="4"/>
  <c r="A143" i="4"/>
  <c r="AH143" i="4" s="1"/>
  <c r="Z22" i="3" s="1"/>
  <c r="Z21" i="3"/>
  <c r="Z20" i="3"/>
  <c r="Z19" i="3"/>
  <c r="Z18" i="3"/>
  <c r="Z12" i="3"/>
  <c r="Z11" i="3"/>
  <c r="Z10" i="3"/>
  <c r="Z8" i="3"/>
  <c r="Z7" i="3"/>
  <c r="Z6" i="3"/>
  <c r="Z5" i="3"/>
  <c r="Z4" i="3"/>
  <c r="AH124" i="4"/>
  <c r="A119" i="4"/>
  <c r="AH119" i="4" s="1"/>
  <c r="Y22" i="3" s="1"/>
  <c r="Y21" i="3"/>
  <c r="Y20" i="3"/>
  <c r="Y19" i="3"/>
  <c r="Y18" i="3"/>
  <c r="Y12" i="3"/>
  <c r="Y11" i="3"/>
  <c r="Y10" i="3"/>
  <c r="Y8" i="3"/>
  <c r="Y7" i="3"/>
  <c r="Y6" i="3"/>
  <c r="Y5" i="3"/>
  <c r="Y4" i="3"/>
  <c r="AH100" i="4"/>
  <c r="A95" i="4"/>
  <c r="AH95" i="4" s="1"/>
  <c r="X22" i="3" s="1"/>
  <c r="X21" i="3"/>
  <c r="X20" i="3"/>
  <c r="X19" i="3"/>
  <c r="X18" i="3"/>
  <c r="X12" i="3"/>
  <c r="X11" i="3"/>
  <c r="X10" i="3"/>
  <c r="X8" i="3"/>
  <c r="X7" i="3"/>
  <c r="X6" i="3"/>
  <c r="X5" i="3"/>
  <c r="X4" i="3"/>
  <c r="AH76" i="4"/>
  <c r="A71" i="4"/>
  <c r="AH71" i="4" s="1"/>
  <c r="W22" i="3" s="1"/>
  <c r="W21" i="3"/>
  <c r="W20" i="3"/>
  <c r="W19" i="3"/>
  <c r="W18" i="3"/>
  <c r="W12" i="3"/>
  <c r="W11" i="3"/>
  <c r="W10" i="3"/>
  <c r="W8" i="3"/>
  <c r="W7" i="3"/>
  <c r="W6" i="3"/>
  <c r="W5" i="3"/>
  <c r="W4" i="3"/>
  <c r="AH52" i="4"/>
  <c r="A47" i="4"/>
  <c r="AH47" i="4" s="1"/>
  <c r="V22" i="3" s="1"/>
  <c r="V21" i="3"/>
  <c r="V20" i="3"/>
  <c r="V19" i="3"/>
  <c r="V18" i="3"/>
  <c r="V12" i="3"/>
  <c r="V11" i="3"/>
  <c r="V10" i="3"/>
  <c r="V8" i="3"/>
  <c r="V7" i="3"/>
  <c r="V6" i="3"/>
  <c r="V5" i="3"/>
  <c r="V4" i="3"/>
  <c r="AH28" i="4"/>
  <c r="V3" i="3" s="1"/>
  <c r="E90" i="3"/>
  <c r="S90" i="3" s="1"/>
  <c r="E89" i="3"/>
  <c r="S89" i="3" s="1"/>
  <c r="E88" i="3"/>
  <c r="S88" i="3" s="1"/>
  <c r="E81" i="3"/>
  <c r="S81" i="3" s="1"/>
  <c r="E80" i="3"/>
  <c r="S80" i="3" s="1"/>
  <c r="E67" i="3"/>
  <c r="F67" i="3"/>
  <c r="R67" i="3" s="1"/>
  <c r="E66" i="3"/>
  <c r="F66" i="3"/>
  <c r="R66" i="3" s="1"/>
  <c r="E65" i="3"/>
  <c r="F65" i="3"/>
  <c r="R65" i="3" s="1"/>
  <c r="F64" i="3"/>
  <c r="R64" i="3" s="1"/>
  <c r="S64" i="3" s="1"/>
  <c r="E58" i="3"/>
  <c r="F58" i="3"/>
  <c r="R58" i="3" s="1"/>
  <c r="E57" i="3"/>
  <c r="F57" i="3"/>
  <c r="R57" i="3" s="1"/>
  <c r="AI268" i="4"/>
  <c r="Q3" i="3" s="1"/>
  <c r="AI244" i="4"/>
  <c r="P3" i="3" s="1"/>
  <c r="AI220" i="4"/>
  <c r="O3" i="3" s="1"/>
  <c r="AI196" i="4"/>
  <c r="N3" i="3" s="1"/>
  <c r="AI172" i="4"/>
  <c r="M3" i="3" s="1"/>
  <c r="AI148" i="4"/>
  <c r="L3" i="3" s="1"/>
  <c r="AI124" i="4"/>
  <c r="K3" i="3" s="1"/>
  <c r="AI100" i="4"/>
  <c r="J3" i="3" s="1"/>
  <c r="AI76" i="4"/>
  <c r="I3" i="3" s="1"/>
  <c r="AI52" i="4"/>
  <c r="H3" i="3" s="1"/>
  <c r="AI28" i="4"/>
  <c r="G3" i="3" s="1"/>
  <c r="U17" i="3"/>
  <c r="AG17" i="3" s="1"/>
  <c r="AH17" i="3" s="1"/>
  <c r="A17" i="4"/>
  <c r="AH17" i="4" s="1"/>
  <c r="U16" i="3" s="1"/>
  <c r="AG16" i="3" s="1"/>
  <c r="AH16" i="3" s="1"/>
  <c r="A16" i="4"/>
  <c r="AH16" i="4" s="1"/>
  <c r="U15" i="3" s="1"/>
  <c r="AG15" i="3" s="1"/>
  <c r="AH15" i="3" s="1"/>
  <c r="A15" i="4"/>
  <c r="AH15" i="4" s="1"/>
  <c r="U14" i="3" s="1"/>
  <c r="AG14" i="3" s="1"/>
  <c r="AH14" i="3" s="1"/>
  <c r="A14" i="4"/>
  <c r="AH14" i="4" s="1"/>
  <c r="U13" i="3" s="1"/>
  <c r="AG13" i="3" s="1"/>
  <c r="AH13" i="3" s="1"/>
  <c r="A13" i="4"/>
  <c r="AH13" i="4" s="1"/>
  <c r="U12" i="3" s="1"/>
  <c r="A12" i="4"/>
  <c r="AH12" i="4" s="1"/>
  <c r="U11" i="3" s="1"/>
  <c r="A11" i="4"/>
  <c r="AH11" i="4" s="1"/>
  <c r="U10" i="3" s="1"/>
  <c r="A9" i="4"/>
  <c r="AH9" i="4" s="1"/>
  <c r="U8" i="3" s="1"/>
  <c r="A8" i="4"/>
  <c r="AH8" i="4" s="1"/>
  <c r="U7" i="3" s="1"/>
  <c r="A7" i="4"/>
  <c r="AH7" i="4" s="1"/>
  <c r="U6" i="3" s="1"/>
  <c r="A6" i="4"/>
  <c r="AH6" i="4" s="1"/>
  <c r="U5" i="3" s="1"/>
  <c r="A5" i="4"/>
  <c r="AH5" i="4" s="1"/>
  <c r="U4" i="3" s="1"/>
  <c r="AI4" i="4"/>
  <c r="F3" i="3" s="1"/>
  <c r="A4" i="4"/>
  <c r="AH4" i="4" s="1"/>
  <c r="U3" i="3" s="1"/>
  <c r="AI268" i="5"/>
  <c r="Q49" i="3" s="1"/>
  <c r="AI268" i="6"/>
  <c r="Q72" i="3" s="1"/>
  <c r="AF45" i="3"/>
  <c r="AF44" i="3"/>
  <c r="AF43" i="3"/>
  <c r="AF42" i="3"/>
  <c r="AF41" i="3"/>
  <c r="AF35" i="3"/>
  <c r="AF34" i="3"/>
  <c r="AF33" i="3"/>
  <c r="AF32" i="3"/>
  <c r="AF31" i="3"/>
  <c r="AF30" i="3"/>
  <c r="AF29" i="3"/>
  <c r="AF28" i="3"/>
  <c r="AF27" i="3"/>
  <c r="AI268" i="2"/>
  <c r="Q26" i="3" s="1"/>
  <c r="AH268" i="2"/>
  <c r="AF26" i="3" s="1"/>
  <c r="AI244" i="5"/>
  <c r="P49" i="3" s="1"/>
  <c r="AI244" i="6"/>
  <c r="P72" i="3" s="1"/>
  <c r="AE45" i="3"/>
  <c r="AE44" i="3"/>
  <c r="AE43" i="3"/>
  <c r="AE42" i="3"/>
  <c r="AE41" i="3"/>
  <c r="AE35" i="3"/>
  <c r="AE34" i="3"/>
  <c r="AE33" i="3"/>
  <c r="AE32" i="3"/>
  <c r="AE31" i="3"/>
  <c r="AE30" i="3"/>
  <c r="AE29" i="3"/>
  <c r="AE28" i="3"/>
  <c r="AE27" i="3"/>
  <c r="AI244" i="2"/>
  <c r="P26" i="3" s="1"/>
  <c r="AH244" i="2"/>
  <c r="AE26" i="3" s="1"/>
  <c r="AI220" i="5"/>
  <c r="O49" i="3" s="1"/>
  <c r="AI220" i="6"/>
  <c r="O72" i="3" s="1"/>
  <c r="AD45" i="3"/>
  <c r="AD44" i="3"/>
  <c r="AD43" i="3"/>
  <c r="AD42" i="3"/>
  <c r="AD41" i="3"/>
  <c r="AD35" i="3"/>
  <c r="AD34" i="3"/>
  <c r="AD33" i="3"/>
  <c r="AD32" i="3"/>
  <c r="AD31" i="3"/>
  <c r="AD30" i="3"/>
  <c r="AD29" i="3"/>
  <c r="AD28" i="3"/>
  <c r="AD27" i="3"/>
  <c r="AI220" i="2"/>
  <c r="O26" i="3" s="1"/>
  <c r="AH220" i="2"/>
  <c r="AD26" i="3" s="1"/>
  <c r="AI196" i="5"/>
  <c r="N49" i="3" s="1"/>
  <c r="AI196" i="6"/>
  <c r="N72" i="3" s="1"/>
  <c r="AC45" i="3"/>
  <c r="AC44" i="3"/>
  <c r="AC43" i="3"/>
  <c r="AC42" i="3"/>
  <c r="AC41" i="3"/>
  <c r="AC35" i="3"/>
  <c r="AC34" i="3"/>
  <c r="AC33" i="3"/>
  <c r="AC32" i="3"/>
  <c r="AC31" i="3"/>
  <c r="AC30" i="3"/>
  <c r="AC29" i="3"/>
  <c r="AC28" i="3"/>
  <c r="AC27" i="3"/>
  <c r="AI196" i="2"/>
  <c r="N26" i="3" s="1"/>
  <c r="AH196" i="2"/>
  <c r="AC26" i="3" s="1"/>
  <c r="AI172" i="5"/>
  <c r="M49" i="3" s="1"/>
  <c r="AI172" i="6"/>
  <c r="M72" i="3" s="1"/>
  <c r="AB45" i="3"/>
  <c r="AB44" i="3"/>
  <c r="AB43" i="3"/>
  <c r="AB42" i="3"/>
  <c r="AB41" i="3"/>
  <c r="AB35" i="3"/>
  <c r="AB34" i="3"/>
  <c r="AB33" i="3"/>
  <c r="AB32" i="3"/>
  <c r="AB31" i="3"/>
  <c r="AB30" i="3"/>
  <c r="AB29" i="3"/>
  <c r="AB28" i="3"/>
  <c r="AB27" i="3"/>
  <c r="AI172" i="2"/>
  <c r="M26" i="3" s="1"/>
  <c r="AH172" i="2"/>
  <c r="AB26" i="3" s="1"/>
  <c r="AI148" i="5"/>
  <c r="L49" i="3" s="1"/>
  <c r="AI148" i="6"/>
  <c r="L72" i="3" s="1"/>
  <c r="AA45" i="3"/>
  <c r="AA44" i="3"/>
  <c r="AA43" i="3"/>
  <c r="AA42" i="3"/>
  <c r="AA41" i="3"/>
  <c r="AA35" i="3"/>
  <c r="AA34" i="3"/>
  <c r="AA33" i="3"/>
  <c r="AA32" i="3"/>
  <c r="AA31" i="3"/>
  <c r="AA30" i="3"/>
  <c r="AA29" i="3"/>
  <c r="AA28" i="3"/>
  <c r="AA27" i="3"/>
  <c r="AI148" i="2"/>
  <c r="L26" i="3" s="1"/>
  <c r="AH148" i="2"/>
  <c r="AA26" i="3" s="1"/>
  <c r="AI124" i="5"/>
  <c r="K49" i="3" s="1"/>
  <c r="AI124" i="6"/>
  <c r="K72" i="3" s="1"/>
  <c r="Z45" i="3"/>
  <c r="Z44" i="3"/>
  <c r="Z43" i="3"/>
  <c r="Z42" i="3"/>
  <c r="Z41" i="3"/>
  <c r="Z35" i="3"/>
  <c r="Z34" i="3"/>
  <c r="Z33" i="3"/>
  <c r="Z32" i="3"/>
  <c r="Z31" i="3"/>
  <c r="Z30" i="3"/>
  <c r="Z29" i="3"/>
  <c r="Z28" i="3"/>
  <c r="Z27" i="3"/>
  <c r="AI124" i="2"/>
  <c r="K26" i="3" s="1"/>
  <c r="AH124" i="2"/>
  <c r="Z26" i="3" s="1"/>
  <c r="AI100" i="5"/>
  <c r="J49" i="3" s="1"/>
  <c r="AI100" i="6"/>
  <c r="J72" i="3" s="1"/>
  <c r="Y45" i="3"/>
  <c r="Y44" i="3"/>
  <c r="Y43" i="3"/>
  <c r="Y42" i="3"/>
  <c r="Y41" i="3"/>
  <c r="Y35" i="3"/>
  <c r="Y34" i="3"/>
  <c r="Y33" i="3"/>
  <c r="Y32" i="3"/>
  <c r="Y31" i="3"/>
  <c r="Y30" i="3"/>
  <c r="Y29" i="3"/>
  <c r="Y28" i="3"/>
  <c r="Y27" i="3"/>
  <c r="AI100" i="2"/>
  <c r="J26" i="3" s="1"/>
  <c r="AH100" i="2"/>
  <c r="Y26" i="3" s="1"/>
  <c r="AI76" i="5"/>
  <c r="I49" i="3" s="1"/>
  <c r="X78" i="3"/>
  <c r="AI76" i="6"/>
  <c r="I72" i="3" s="1"/>
  <c r="X45" i="3"/>
  <c r="X44" i="3"/>
  <c r="X43" i="3"/>
  <c r="X42" i="3"/>
  <c r="X41" i="3"/>
  <c r="X35" i="3"/>
  <c r="X34" i="3"/>
  <c r="X33" i="3"/>
  <c r="X32" i="3"/>
  <c r="X31" i="3"/>
  <c r="X30" i="3"/>
  <c r="X29" i="3"/>
  <c r="X28" i="3"/>
  <c r="X27" i="3"/>
  <c r="AI76" i="2"/>
  <c r="I26" i="3" s="1"/>
  <c r="AH76" i="2"/>
  <c r="X26" i="3" s="1"/>
  <c r="AI52" i="5"/>
  <c r="H49" i="3" s="1"/>
  <c r="W77" i="3"/>
  <c r="AI52" i="6"/>
  <c r="H72" i="3" s="1"/>
  <c r="W45" i="3"/>
  <c r="W44" i="3"/>
  <c r="W43" i="3"/>
  <c r="W42" i="3"/>
  <c r="W41" i="3"/>
  <c r="W35" i="3"/>
  <c r="W34" i="3"/>
  <c r="W33" i="3"/>
  <c r="W32" i="3"/>
  <c r="W31" i="3"/>
  <c r="W30" i="3"/>
  <c r="W29" i="3"/>
  <c r="W28" i="3"/>
  <c r="W27" i="3"/>
  <c r="AI52" i="2"/>
  <c r="H26" i="3" s="1"/>
  <c r="AH52" i="2"/>
  <c r="W26" i="3" s="1"/>
  <c r="AI28" i="5"/>
  <c r="G49" i="3" s="1"/>
  <c r="AI28" i="6"/>
  <c r="G72" i="3" s="1"/>
  <c r="V45" i="3"/>
  <c r="V44" i="3"/>
  <c r="V43" i="3"/>
  <c r="V42" i="3"/>
  <c r="V41" i="3"/>
  <c r="V35" i="3"/>
  <c r="V34" i="3"/>
  <c r="V33" i="3"/>
  <c r="V32" i="3"/>
  <c r="V31" i="3"/>
  <c r="V30" i="3"/>
  <c r="V29" i="3"/>
  <c r="V28" i="3"/>
  <c r="V27" i="3"/>
  <c r="AI28" i="2"/>
  <c r="G26" i="3" s="1"/>
  <c r="AH28" i="2"/>
  <c r="V26" i="3" s="1"/>
  <c r="A5" i="5"/>
  <c r="AH5" i="5" s="1"/>
  <c r="U50" i="3" s="1"/>
  <c r="F50" i="3"/>
  <c r="R50" i="3" s="1"/>
  <c r="A6" i="5"/>
  <c r="AH6" i="5" s="1"/>
  <c r="U51" i="3" s="1"/>
  <c r="F51" i="3"/>
  <c r="R51" i="3" s="1"/>
  <c r="A7" i="5"/>
  <c r="AH7" i="5" s="1"/>
  <c r="U52" i="3" s="1"/>
  <c r="F52" i="3"/>
  <c r="R52" i="3" s="1"/>
  <c r="A8" i="5"/>
  <c r="AH8" i="5" s="1"/>
  <c r="U53" i="3" s="1"/>
  <c r="F53" i="3"/>
  <c r="R53" i="3" s="1"/>
  <c r="A9" i="5"/>
  <c r="AH9" i="5" s="1"/>
  <c r="U54" i="3" s="1"/>
  <c r="F54" i="3"/>
  <c r="R54" i="3" s="1"/>
  <c r="A10" i="5"/>
  <c r="AH10" i="5" s="1"/>
  <c r="U55" i="3" s="1"/>
  <c r="F55" i="3"/>
  <c r="R55" i="3" s="1"/>
  <c r="A11" i="5"/>
  <c r="AH11" i="5" s="1"/>
  <c r="U56" i="3" s="1"/>
  <c r="F56" i="3"/>
  <c r="R56" i="3" s="1"/>
  <c r="A5" i="6"/>
  <c r="AH5" i="6" s="1"/>
  <c r="U73" i="3" s="1"/>
  <c r="A6" i="6"/>
  <c r="AH6" i="6" s="1"/>
  <c r="U74" i="3" s="1"/>
  <c r="A7" i="6"/>
  <c r="AH7" i="6" s="1"/>
  <c r="U75" i="3" s="1"/>
  <c r="A8" i="6"/>
  <c r="AH8" i="6" s="1"/>
  <c r="U76" i="3" s="1"/>
  <c r="A9" i="6"/>
  <c r="AH9" i="6" s="1"/>
  <c r="U77" i="3" s="1"/>
  <c r="A10" i="6"/>
  <c r="AH10" i="6" s="1"/>
  <c r="U78" i="3" s="1"/>
  <c r="A11" i="6"/>
  <c r="AH11" i="6" s="1"/>
  <c r="U79" i="3" s="1"/>
  <c r="A5" i="2"/>
  <c r="AH5" i="2" s="1"/>
  <c r="A6" i="2"/>
  <c r="AH6" i="2" s="1"/>
  <c r="U28" i="3" s="1"/>
  <c r="A7" i="2"/>
  <c r="AH7" i="2" s="1"/>
  <c r="U29" i="3" s="1"/>
  <c r="A8" i="2"/>
  <c r="AH8" i="2" s="1"/>
  <c r="U30" i="3" s="1"/>
  <c r="A9" i="2"/>
  <c r="AH9" i="2" s="1"/>
  <c r="U31" i="3" s="1"/>
  <c r="A10" i="2"/>
  <c r="AH10" i="2" s="1"/>
  <c r="U32" i="3" s="1"/>
  <c r="A11" i="2"/>
  <c r="AH11" i="2" s="1"/>
  <c r="U33" i="3" s="1"/>
  <c r="A12" i="2"/>
  <c r="AH12" i="2" s="1"/>
  <c r="U34" i="3" s="1"/>
  <c r="A13" i="2"/>
  <c r="AH13" i="2" s="1"/>
  <c r="U35" i="3" s="1"/>
  <c r="U36" i="3"/>
  <c r="AG36" i="3" s="1"/>
  <c r="AH36" i="3" s="1"/>
  <c r="U37" i="3"/>
  <c r="AG37" i="3" s="1"/>
  <c r="AH37" i="3" s="1"/>
  <c r="U38" i="3"/>
  <c r="AG38" i="3" s="1"/>
  <c r="AH38" i="3" s="1"/>
  <c r="U39" i="3"/>
  <c r="AG39" i="3" s="1"/>
  <c r="AH39" i="3" s="1"/>
  <c r="U40" i="3"/>
  <c r="AG40" i="3" s="1"/>
  <c r="AH40" i="3" s="1"/>
  <c r="A4" i="5"/>
  <c r="AH4" i="5" s="1"/>
  <c r="U49" i="3" s="1"/>
  <c r="A4" i="6"/>
  <c r="AH4" i="6" s="1"/>
  <c r="U72" i="3" s="1"/>
  <c r="A4" i="2"/>
  <c r="AH4" i="2" s="1"/>
  <c r="U26" i="3" s="1"/>
  <c r="E44" i="3"/>
  <c r="S44" i="3" s="1"/>
  <c r="E43" i="3"/>
  <c r="S43" i="3" s="1"/>
  <c r="E42" i="3"/>
  <c r="S42" i="3" s="1"/>
  <c r="E41" i="3"/>
  <c r="S41" i="3" s="1"/>
  <c r="E35" i="3"/>
  <c r="S35" i="3" s="1"/>
  <c r="E34" i="3"/>
  <c r="S34" i="3" s="1"/>
  <c r="E17" i="3"/>
  <c r="S17" i="3" s="1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B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E72" i="3"/>
  <c r="E73" i="3"/>
  <c r="S73" i="3" s="1"/>
  <c r="E74" i="3"/>
  <c r="S74" i="3" s="1"/>
  <c r="E75" i="3"/>
  <c r="S75" i="3" s="1"/>
  <c r="E76" i="3"/>
  <c r="S76" i="3" s="1"/>
  <c r="E77" i="3"/>
  <c r="S77" i="3" s="1"/>
  <c r="E78" i="3"/>
  <c r="S78" i="3" s="1"/>
  <c r="E79" i="3"/>
  <c r="S79" i="3" s="1"/>
  <c r="E91" i="3"/>
  <c r="S91" i="3" s="1"/>
  <c r="AI4" i="6"/>
  <c r="F72" i="3" s="1"/>
  <c r="AI4" i="5"/>
  <c r="F49" i="3" s="1"/>
  <c r="C267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P267" i="6"/>
  <c r="Q267" i="6"/>
  <c r="R267" i="6"/>
  <c r="S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B267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P243" i="6"/>
  <c r="Q243" i="6"/>
  <c r="R243" i="6"/>
  <c r="S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B243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Q219" i="6"/>
  <c r="R219" i="6"/>
  <c r="S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B219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B195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B171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B147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B123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B99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B75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B51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B27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B3" i="6"/>
  <c r="C267" i="5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R267" i="5"/>
  <c r="S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B267" i="5"/>
  <c r="C243" i="5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B243" i="5"/>
  <c r="C21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B219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B195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B171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B147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B123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B99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B75" i="5"/>
  <c r="AF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B51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B27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B3" i="5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B267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B243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B219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B195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B171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B147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B123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B99" i="2"/>
  <c r="AE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B75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B51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B27" i="2"/>
  <c r="B27" i="4"/>
  <c r="B2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B122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B146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B170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B194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B218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B242" i="6"/>
  <c r="C242" i="6"/>
  <c r="D242" i="6"/>
  <c r="E242" i="6"/>
  <c r="F242" i="6"/>
  <c r="G242" i="6"/>
  <c r="H242" i="6"/>
  <c r="I242" i="6"/>
  <c r="J242" i="6"/>
  <c r="K242" i="6"/>
  <c r="L242" i="6"/>
  <c r="M242" i="6"/>
  <c r="N242" i="6"/>
  <c r="O242" i="6"/>
  <c r="P242" i="6"/>
  <c r="Q242" i="6"/>
  <c r="R242" i="6"/>
  <c r="S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B266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P266" i="6"/>
  <c r="Q266" i="6"/>
  <c r="R266" i="6"/>
  <c r="S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B3" i="2"/>
  <c r="E68" i="3"/>
  <c r="E56" i="3"/>
  <c r="E55" i="3"/>
  <c r="E54" i="3"/>
  <c r="E53" i="3"/>
  <c r="E52" i="3"/>
  <c r="E51" i="3"/>
  <c r="E50" i="3"/>
  <c r="E49" i="3"/>
  <c r="B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B98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B122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B146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B170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B194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B218" i="5"/>
  <c r="C21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B242" i="5"/>
  <c r="C242" i="5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B266" i="5"/>
  <c r="C266" i="5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R266" i="5"/>
  <c r="S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AF2" i="4"/>
  <c r="AF3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AF219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AF266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F267" i="4"/>
  <c r="E16" i="3"/>
  <c r="S16" i="3" s="1"/>
  <c r="E15" i="3"/>
  <c r="S15" i="3" s="1"/>
  <c r="E14" i="3"/>
  <c r="S14" i="3" s="1"/>
  <c r="E13" i="3"/>
  <c r="S13" i="3" s="1"/>
  <c r="E12" i="3"/>
  <c r="S12" i="3" s="1"/>
  <c r="E11" i="3"/>
  <c r="S11" i="3" s="1"/>
  <c r="E10" i="3"/>
  <c r="S10" i="3" s="1"/>
  <c r="E9" i="3"/>
  <c r="S9" i="3" s="1"/>
  <c r="E8" i="3"/>
  <c r="S8" i="3" s="1"/>
  <c r="E7" i="3"/>
  <c r="S7" i="3" s="1"/>
  <c r="E6" i="3"/>
  <c r="S6" i="3" s="1"/>
  <c r="E5" i="3"/>
  <c r="S5" i="3" s="1"/>
  <c r="E4" i="3"/>
  <c r="S4" i="3" s="1"/>
  <c r="E3" i="3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B266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B242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B218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B194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B170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B146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B122" i="2"/>
  <c r="B98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B74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B50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B26" i="2"/>
  <c r="E45" i="3"/>
  <c r="S45" i="3" s="1"/>
  <c r="E33" i="3"/>
  <c r="S33" i="3" s="1"/>
  <c r="E32" i="3"/>
  <c r="S32" i="3" s="1"/>
  <c r="E31" i="3"/>
  <c r="S31" i="3" s="1"/>
  <c r="E30" i="3"/>
  <c r="S30" i="3" s="1"/>
  <c r="AI4" i="2"/>
  <c r="F26" i="3" s="1"/>
  <c r="E27" i="3"/>
  <c r="S27" i="3" s="1"/>
  <c r="E28" i="3"/>
  <c r="S28" i="3" s="1"/>
  <c r="E29" i="3"/>
  <c r="S29" i="3" s="1"/>
  <c r="E26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U9" i="3" l="1"/>
  <c r="AG33" i="3"/>
  <c r="AH33" i="3" s="1"/>
  <c r="S65" i="3"/>
  <c r="S67" i="3"/>
  <c r="S54" i="3"/>
  <c r="S55" i="3"/>
  <c r="S53" i="3"/>
  <c r="S51" i="3"/>
  <c r="S66" i="3"/>
  <c r="AG22" i="3"/>
  <c r="AH22" i="3" s="1"/>
  <c r="S56" i="3"/>
  <c r="S52" i="3"/>
  <c r="S50" i="3"/>
  <c r="S57" i="3"/>
  <c r="S68" i="3"/>
  <c r="S58" i="3"/>
  <c r="AG79" i="3"/>
  <c r="AH79" i="3" s="1"/>
  <c r="AG88" i="3"/>
  <c r="AH88" i="3" s="1"/>
  <c r="AG30" i="3"/>
  <c r="AH30" i="3" s="1"/>
  <c r="AG34" i="3"/>
  <c r="AH34" i="3" s="1"/>
  <c r="AG28" i="3"/>
  <c r="AH28" i="3" s="1"/>
  <c r="AG32" i="3"/>
  <c r="AH32" i="3" s="1"/>
  <c r="AG41" i="3"/>
  <c r="AH41" i="3" s="1"/>
  <c r="AG45" i="3"/>
  <c r="AH45" i="3" s="1"/>
  <c r="AG5" i="3"/>
  <c r="AH5" i="3" s="1"/>
  <c r="AG10" i="3"/>
  <c r="AH10" i="3" s="1"/>
  <c r="AG19" i="3"/>
  <c r="AH19" i="3" s="1"/>
  <c r="AG35" i="3"/>
  <c r="AH35" i="3" s="1"/>
  <c r="AG53" i="3"/>
  <c r="AH53" i="3" s="1"/>
  <c r="AG57" i="3"/>
  <c r="AH57" i="3" s="1"/>
  <c r="AG4" i="3"/>
  <c r="AH4" i="3" s="1"/>
  <c r="AG8" i="3"/>
  <c r="AH8" i="3" s="1"/>
  <c r="AG42" i="3"/>
  <c r="AH42" i="3" s="1"/>
  <c r="AG43" i="3"/>
  <c r="AH43" i="3" s="1"/>
  <c r="AG66" i="3"/>
  <c r="AH66" i="3" s="1"/>
  <c r="AG44" i="3"/>
  <c r="AH44" i="3" s="1"/>
  <c r="AG18" i="3"/>
  <c r="AH18" i="3" s="1"/>
  <c r="AG81" i="3"/>
  <c r="AH81" i="3" s="1"/>
  <c r="AG90" i="3"/>
  <c r="AH90" i="3" s="1"/>
  <c r="AG80" i="3"/>
  <c r="AH80" i="3" s="1"/>
  <c r="AG89" i="3"/>
  <c r="AH89" i="3" s="1"/>
  <c r="AG87" i="3"/>
  <c r="AH87" i="3" s="1"/>
  <c r="AG91" i="3"/>
  <c r="AH91" i="3" s="1"/>
  <c r="AG76" i="3"/>
  <c r="AH76" i="3" s="1"/>
  <c r="AG74" i="3"/>
  <c r="AH74" i="3" s="1"/>
  <c r="AG78" i="3"/>
  <c r="AH78" i="3" s="1"/>
  <c r="AG73" i="3"/>
  <c r="AH73" i="3" s="1"/>
  <c r="AG77" i="3"/>
  <c r="AH77" i="3" s="1"/>
  <c r="AG75" i="3"/>
  <c r="AH75" i="3" s="1"/>
  <c r="AG51" i="3"/>
  <c r="AH51" i="3" s="1"/>
  <c r="AG55" i="3"/>
  <c r="AH55" i="3" s="1"/>
  <c r="AG64" i="3"/>
  <c r="AH64" i="3" s="1"/>
  <c r="AG68" i="3"/>
  <c r="AH68" i="3" s="1"/>
  <c r="AG50" i="3"/>
  <c r="AH50" i="3" s="1"/>
  <c r="AG54" i="3"/>
  <c r="AH54" i="3" s="1"/>
  <c r="AG58" i="3"/>
  <c r="AH58" i="3" s="1"/>
  <c r="AG67" i="3"/>
  <c r="AH67" i="3" s="1"/>
  <c r="AG52" i="3"/>
  <c r="AH52" i="3" s="1"/>
  <c r="AG56" i="3"/>
  <c r="AH56" i="3" s="1"/>
  <c r="AG65" i="3"/>
  <c r="AH65" i="3" s="1"/>
  <c r="AG27" i="3"/>
  <c r="AH27" i="3" s="1"/>
  <c r="AG29" i="3"/>
  <c r="AH29" i="3" s="1"/>
  <c r="AG31" i="3"/>
  <c r="AH31" i="3" s="1"/>
  <c r="AG6" i="3"/>
  <c r="AH6" i="3" s="1"/>
  <c r="AG11" i="3"/>
  <c r="AH11" i="3" s="1"/>
  <c r="AG20" i="3"/>
  <c r="AH20" i="3" s="1"/>
  <c r="AG9" i="3"/>
  <c r="AH9" i="3" s="1"/>
  <c r="AG7" i="3"/>
  <c r="AH7" i="3" s="1"/>
  <c r="AG12" i="3"/>
  <c r="AH12" i="3" s="1"/>
  <c r="AG21" i="3"/>
  <c r="AH21" i="3" s="1"/>
  <c r="W3" i="3"/>
  <c r="AA3" i="3"/>
  <c r="AE3" i="3"/>
  <c r="X3" i="3"/>
  <c r="Z3" i="3"/>
  <c r="AB3" i="3"/>
  <c r="AD3" i="3"/>
  <c r="AF3" i="3"/>
  <c r="Y3" i="3"/>
  <c r="AC3" i="3"/>
  <c r="AF72" i="3"/>
  <c r="AE72" i="3"/>
  <c r="AD72" i="3"/>
  <c r="AC72" i="3"/>
  <c r="AB72" i="3"/>
  <c r="AA72" i="3"/>
  <c r="Z72" i="3"/>
  <c r="Y72" i="3"/>
  <c r="X72" i="3"/>
  <c r="W72" i="3"/>
  <c r="V72" i="3"/>
  <c r="R49" i="3"/>
  <c r="S49" i="3" s="1"/>
  <c r="AG49" i="3"/>
  <c r="AH49" i="3" s="1"/>
  <c r="R26" i="3"/>
  <c r="S26" i="3" s="1"/>
  <c r="AG26" i="3"/>
  <c r="AH26" i="3" s="1"/>
  <c r="R72" i="3"/>
  <c r="S72" i="3" s="1"/>
  <c r="R3" i="3"/>
  <c r="S3" i="3" s="1"/>
  <c r="AG3" i="3" l="1"/>
  <c r="AH3" i="3" s="1"/>
  <c r="AG72" i="3"/>
  <c r="AH72" i="3" s="1"/>
</calcChain>
</file>

<file path=xl/sharedStrings.xml><?xml version="1.0" encoding="utf-8"?>
<sst xmlns="http://schemas.openxmlformats.org/spreadsheetml/2006/main" count="10528" uniqueCount="121">
  <si>
    <t>JANUÁR</t>
  </si>
  <si>
    <t>V</t>
  </si>
  <si>
    <t>X</t>
  </si>
  <si>
    <t>"B" műszak</t>
  </si>
  <si>
    <t>"C" műszak</t>
  </si>
  <si>
    <t>"D" műszak</t>
  </si>
  <si>
    <t>FEBRUÁR</t>
  </si>
  <si>
    <t>MÁRCIUS</t>
  </si>
  <si>
    <t>ÁPRILIS</t>
  </si>
  <si>
    <t>MÁJUS</t>
  </si>
  <si>
    <t>JÚNIUS</t>
  </si>
  <si>
    <t>JÚLIUS</t>
  </si>
  <si>
    <t>AUGUSZTUS</t>
  </si>
  <si>
    <t>SZEPTEMBER</t>
  </si>
  <si>
    <t>OKTÓBER</t>
  </si>
  <si>
    <t>NOVEMBER</t>
  </si>
  <si>
    <t>DECEMBER</t>
  </si>
  <si>
    <t>ÁRPILIS</t>
  </si>
  <si>
    <t xml:space="preserve"> +</t>
  </si>
  <si>
    <t>SZF</t>
  </si>
  <si>
    <t>szf</t>
  </si>
  <si>
    <t>Áth.</t>
  </si>
  <si>
    <t>Össz.</t>
  </si>
  <si>
    <t>I.</t>
  </si>
  <si>
    <t>II</t>
  </si>
  <si>
    <t>II.</t>
  </si>
  <si>
    <t>III</t>
  </si>
  <si>
    <t>III.</t>
  </si>
  <si>
    <t>IV</t>
  </si>
  <si>
    <t>IV.</t>
  </si>
  <si>
    <t>V.</t>
  </si>
  <si>
    <t>VI</t>
  </si>
  <si>
    <t>VI.</t>
  </si>
  <si>
    <t>VII</t>
  </si>
  <si>
    <t>VIII</t>
  </si>
  <si>
    <t>IX</t>
  </si>
  <si>
    <t>XI</t>
  </si>
  <si>
    <t>XII</t>
  </si>
  <si>
    <t>M.</t>
  </si>
  <si>
    <t>Szf</t>
  </si>
  <si>
    <t>N é v</t>
  </si>
  <si>
    <t>Gye-rek</t>
  </si>
  <si>
    <t>"A" műszak</t>
  </si>
  <si>
    <t>Név15</t>
  </si>
  <si>
    <t>Név10</t>
  </si>
  <si>
    <t>Név11</t>
  </si>
  <si>
    <t>Név12</t>
  </si>
  <si>
    <t>Név13</t>
  </si>
  <si>
    <t>Név14</t>
  </si>
  <si>
    <t>Név9</t>
  </si>
  <si>
    <t>Ünnepek:</t>
  </si>
  <si>
    <t>Húsvét</t>
  </si>
  <si>
    <t>Pünkösd</t>
  </si>
  <si>
    <t>K</t>
  </si>
  <si>
    <t>Sze</t>
  </si>
  <si>
    <t>Cs</t>
  </si>
  <si>
    <t>P</t>
  </si>
  <si>
    <t>Szo</t>
  </si>
  <si>
    <t>H</t>
  </si>
  <si>
    <t>Nagypéntek</t>
  </si>
  <si>
    <t>Név16</t>
  </si>
  <si>
    <t>Név17</t>
  </si>
  <si>
    <t>Név18</t>
  </si>
  <si>
    <t>Név19</t>
  </si>
  <si>
    <t>Név20</t>
  </si>
  <si>
    <t>Besse Éva</t>
  </si>
  <si>
    <t>Újév</t>
  </si>
  <si>
    <t>1848-as forradalom</t>
  </si>
  <si>
    <t>2020. év</t>
  </si>
  <si>
    <t>Munka ünnepe</t>
  </si>
  <si>
    <t>Államalapítás ünnepe</t>
  </si>
  <si>
    <t>1956-os forradalom</t>
  </si>
  <si>
    <t>Mindenszentek</t>
  </si>
  <si>
    <t>Karácsony</t>
  </si>
  <si>
    <t>változó adat!</t>
  </si>
  <si>
    <t>Fü</t>
  </si>
  <si>
    <t>Fényi László</t>
  </si>
  <si>
    <t>Batiz Attila</t>
  </si>
  <si>
    <t>Daku Gábor</t>
  </si>
  <si>
    <t>Füredi Antal</t>
  </si>
  <si>
    <t>Iványi István</t>
  </si>
  <si>
    <t>Katonka Tibor</t>
  </si>
  <si>
    <t>Kiss János Tamás</t>
  </si>
  <si>
    <t>Vatamány Gergő</t>
  </si>
  <si>
    <t>Katona László</t>
  </si>
  <si>
    <t>Holba Imre</t>
  </si>
  <si>
    <t>Keresztes Gyula</t>
  </si>
  <si>
    <t>Király Bálint Donát</t>
  </si>
  <si>
    <t>Mezei Lajos</t>
  </si>
  <si>
    <t>Habara Gábor</t>
  </si>
  <si>
    <t>Balogh Zsolt</t>
  </si>
  <si>
    <t>Éliás Viktor</t>
  </si>
  <si>
    <t>Hadházi Kálmán</t>
  </si>
  <si>
    <t>Kiss Attila</t>
  </si>
  <si>
    <t>Kuik-Filep András</t>
  </si>
  <si>
    <t>Serestyén Dániel</t>
  </si>
  <si>
    <t>Varga Imre</t>
  </si>
  <si>
    <t>Tassi Szilárd</t>
  </si>
  <si>
    <t>Borbély Csaba</t>
  </si>
  <si>
    <t>Erdei Bálint</t>
  </si>
  <si>
    <t>Fábián Gábor</t>
  </si>
  <si>
    <t>Gellei Zsolt</t>
  </si>
  <si>
    <t>Kiss Gyula</t>
  </si>
  <si>
    <t>Nagy István</t>
  </si>
  <si>
    <t>Kovács Kriszitán</t>
  </si>
  <si>
    <t>Oláh Erika</t>
  </si>
  <si>
    <t>Bulyáki Csaba</t>
  </si>
  <si>
    <t>Fekete Tamás</t>
  </si>
  <si>
    <t>Péter Csaba</t>
  </si>
  <si>
    <t>Tóth János</t>
  </si>
  <si>
    <t>Tóth Krisztián</t>
  </si>
  <si>
    <t>Csuka Lajos</t>
  </si>
  <si>
    <t>Név8</t>
  </si>
  <si>
    <t>Dancsi Attila</t>
  </si>
  <si>
    <t>+</t>
  </si>
  <si>
    <t>Mizsák Péter</t>
  </si>
  <si>
    <t>B</t>
  </si>
  <si>
    <t>kik</t>
  </si>
  <si>
    <t>cs</t>
  </si>
  <si>
    <t>Iványi Roland</t>
  </si>
  <si>
    <t>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</si>
</sst>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0"/>
      <name val="HTimes"/>
      <charset val="238"/>
    </font>
    <font>
      <sz val="10"/>
      <name val="HTimes"/>
      <charset val="238"/>
    </font>
    <font>
      <sz val="12"/>
      <name val="Times New Roman CE"/>
      <charset val="238"/>
    </font>
    <font>
      <b/>
      <sz val="9"/>
      <name val="Times New Roman CE"/>
      <charset val="238"/>
    </font>
    <font>
      <sz val="9"/>
      <name val="Times New Roman CE"/>
      <family val="1"/>
      <charset val="238"/>
    </font>
    <font>
      <b/>
      <sz val="9"/>
      <name val="Times New Roman CE"/>
      <family val="1"/>
      <charset val="238"/>
    </font>
    <font>
      <b/>
      <sz val="10"/>
      <name val="Times New Roman CE"/>
      <family val="1"/>
      <charset val="238"/>
    </font>
    <font>
      <sz val="10"/>
      <name val="HTimes"/>
      <charset val="238"/>
    </font>
    <font>
      <sz val="10"/>
      <name val="Times New Roman CE"/>
      <family val="1"/>
      <charset val="238"/>
    </font>
    <font>
      <b/>
      <sz val="10"/>
      <name val="Times New Roman CE"/>
      <charset val="238"/>
    </font>
    <font>
      <b/>
      <sz val="10"/>
      <name val="Times New Roman"/>
      <family val="1"/>
      <charset val="238"/>
    </font>
    <font>
      <sz val="9"/>
      <name val="HTimes"/>
      <charset val="238"/>
    </font>
    <font>
      <sz val="10"/>
      <name val="HTimes"/>
      <charset val="238"/>
    </font>
    <font>
      <sz val="10"/>
      <color rgb="FFFF0000"/>
      <name val="HTimes"/>
      <charset val="238"/>
    </font>
    <font>
      <sz val="9"/>
      <color rgb="FFFF0000"/>
      <name val="HTimes"/>
      <charset val="238"/>
    </font>
    <font>
      <sz val="8"/>
      <name val="Times New Roman"/>
      <family val="1"/>
      <charset val="238"/>
    </font>
    <font>
      <i/>
      <sz val="8"/>
      <name val="Times New Roman"/>
      <family val="1"/>
      <charset val="238"/>
    </font>
    <font>
      <b/>
      <sz val="8"/>
      <name val="Times New Roman"/>
      <family val="1"/>
      <charset val="238"/>
    </font>
    <font>
      <b/>
      <sz val="18"/>
      <name val="Times New Roman CE"/>
      <charset val="238"/>
    </font>
    <font>
      <sz val="18"/>
      <name val="HTimes"/>
      <charset val="238"/>
    </font>
    <font>
      <sz val="18"/>
      <color rgb="FFFF0000"/>
      <name val="HTimes"/>
      <charset val="238"/>
    </font>
    <font>
      <sz val="8"/>
      <name val="HTimes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6EE3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 applyBorder="0"/>
    <xf numFmtId="0" fontId="2" fillId="0" borderId="0"/>
    <xf numFmtId="0" fontId="2" fillId="0" borderId="0"/>
  </cellStyleXfs>
  <cellXfs count="97">
    <xf numFmtId="0" fontId="0" fillId="0" borderId="0" xfId="0"/>
    <xf numFmtId="0" fontId="4" fillId="0" borderId="0" xfId="1" applyFont="1" applyFill="1"/>
    <xf numFmtId="0" fontId="5" fillId="0" borderId="0" xfId="1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>
      <alignment horizontal="center"/>
    </xf>
    <xf numFmtId="0" fontId="8" fillId="0" borderId="0" xfId="2" applyFont="1" applyFill="1" applyBorder="1" applyProtection="1">
      <protection locked="0"/>
    </xf>
    <xf numFmtId="0" fontId="5" fillId="0" borderId="0" xfId="1" applyFont="1" applyFill="1"/>
    <xf numFmtId="0" fontId="4" fillId="0" borderId="1" xfId="1" applyFont="1" applyFill="1" applyBorder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Fill="1" applyBorder="1" applyAlignment="1" applyProtection="1">
      <alignment horizontal="center"/>
    </xf>
    <xf numFmtId="0" fontId="4" fillId="0" borderId="1" xfId="1" applyFont="1" applyFill="1" applyBorder="1" applyAlignment="1">
      <alignment horizontal="center"/>
    </xf>
    <xf numFmtId="1" fontId="4" fillId="0" borderId="1" xfId="1" applyNumberFormat="1" applyFont="1" applyFill="1" applyBorder="1" applyAlignment="1">
      <alignment horizontal="center"/>
    </xf>
    <xf numFmtId="0" fontId="8" fillId="0" borderId="0" xfId="2" applyFont="1" applyFill="1" applyBorder="1" applyProtection="1"/>
    <xf numFmtId="0" fontId="4" fillId="0" borderId="0" xfId="1" applyFont="1" applyFill="1" applyBorder="1"/>
    <xf numFmtId="0" fontId="11" fillId="0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Fill="1" applyBorder="1" applyAlignment="1" applyProtection="1">
      <alignment horizontal="center"/>
      <protection locked="0"/>
    </xf>
    <xf numFmtId="0" fontId="9" fillId="0" borderId="1" xfId="2" applyFont="1" applyFill="1" applyBorder="1" applyAlignment="1" applyProtection="1">
      <alignment horizontal="center"/>
    </xf>
    <xf numFmtId="0" fontId="5" fillId="0" borderId="1" xfId="1" applyFont="1" applyFill="1" applyBorder="1" applyAlignment="1">
      <alignment horizontal="center"/>
    </xf>
    <xf numFmtId="0" fontId="8" fillId="0" borderId="1" xfId="2" applyFont="1" applyFill="1" applyBorder="1" applyProtection="1"/>
    <xf numFmtId="0" fontId="5" fillId="3" borderId="1" xfId="1" applyFont="1" applyFill="1" applyBorder="1" applyAlignment="1">
      <alignment horizontal="center"/>
    </xf>
    <xf numFmtId="0" fontId="8" fillId="0" borderId="0" xfId="1" applyFont="1" applyFill="1"/>
    <xf numFmtId="0" fontId="8" fillId="0" borderId="0" xfId="1" applyFont="1" applyFill="1" applyProtection="1"/>
    <xf numFmtId="0" fontId="8" fillId="0" borderId="0" xfId="1" applyFont="1" applyFill="1" applyBorder="1" applyProtection="1"/>
    <xf numFmtId="0" fontId="6" fillId="3" borderId="1" xfId="1" applyFont="1" applyFill="1" applyBorder="1" applyAlignment="1" applyProtection="1">
      <alignment horizontal="center"/>
    </xf>
    <xf numFmtId="0" fontId="6" fillId="0" borderId="1" xfId="1" applyFont="1" applyFill="1" applyBorder="1" applyAlignment="1" applyProtection="1">
      <alignment horizontal="center"/>
    </xf>
    <xf numFmtId="0" fontId="6" fillId="0" borderId="0" xfId="1" applyFont="1" applyFill="1" applyProtection="1"/>
    <xf numFmtId="0" fontId="8" fillId="0" borderId="1" xfId="1" applyFont="1" applyFill="1" applyBorder="1" applyAlignment="1" applyProtection="1">
      <alignment horizontal="center"/>
    </xf>
    <xf numFmtId="0" fontId="8" fillId="0" borderId="0" xfId="1" applyFont="1" applyFill="1" applyAlignment="1" applyProtection="1">
      <alignment horizontal="center"/>
    </xf>
    <xf numFmtId="0" fontId="12" fillId="0" borderId="0" xfId="0" applyFont="1" applyFill="1" applyBorder="1" applyAlignment="1" applyProtection="1">
      <alignment horizontal="center" vertical="center"/>
    </xf>
    <xf numFmtId="1" fontId="8" fillId="0" borderId="1" xfId="1" applyNumberFormat="1" applyFont="1" applyFill="1" applyBorder="1" applyAlignment="1" applyProtection="1">
      <alignment horizontal="center"/>
    </xf>
    <xf numFmtId="0" fontId="8" fillId="0" borderId="0" xfId="1" applyFont="1" applyFill="1" applyBorder="1" applyAlignment="1" applyProtection="1">
      <alignment horizontal="center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0" fontId="5" fillId="4" borderId="1" xfId="1" applyFont="1" applyFill="1" applyBorder="1" applyAlignment="1">
      <alignment horizontal="center"/>
    </xf>
    <xf numFmtId="0" fontId="0" fillId="0" borderId="1" xfId="0" applyFont="1" applyFill="1" applyBorder="1" applyAlignment="1" applyProtection="1">
      <alignment horizontal="center" vertical="center"/>
      <protection locked="0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 applyProtection="1">
      <alignment horizontal="center" vertical="center"/>
      <protection locked="0"/>
    </xf>
    <xf numFmtId="0" fontId="14" fillId="0" borderId="1" xfId="0" applyFont="1" applyFill="1" applyBorder="1" applyAlignment="1" applyProtection="1">
      <alignment horizontal="center" vertical="center"/>
      <protection locked="0"/>
    </xf>
    <xf numFmtId="0" fontId="9" fillId="2" borderId="1" xfId="2" applyFont="1" applyFill="1" applyBorder="1" applyAlignment="1" applyProtection="1">
      <alignment horizontal="center"/>
    </xf>
    <xf numFmtId="0" fontId="6" fillId="0" borderId="1" xfId="2" applyFont="1" applyFill="1" applyBorder="1" applyAlignment="1" applyProtection="1">
      <alignment horizontal="center"/>
    </xf>
    <xf numFmtId="0" fontId="6" fillId="2" borderId="1" xfId="2" applyFont="1" applyFill="1" applyBorder="1" applyAlignment="1" applyProtection="1">
      <alignment horizontal="center" wrapText="1"/>
    </xf>
    <xf numFmtId="0" fontId="8" fillId="0" borderId="0" xfId="1" applyFont="1"/>
    <xf numFmtId="0" fontId="8" fillId="2" borderId="1" xfId="2" applyFont="1" applyFill="1" applyBorder="1" applyAlignment="1" applyProtection="1">
      <alignment horizontal="center"/>
    </xf>
    <xf numFmtId="0" fontId="8" fillId="0" borderId="1" xfId="2" applyFont="1" applyFill="1" applyBorder="1" applyAlignment="1" applyProtection="1">
      <alignment horizontal="center"/>
    </xf>
    <xf numFmtId="0" fontId="6" fillId="2" borderId="1" xfId="2" applyFont="1" applyFill="1" applyBorder="1" applyAlignment="1" applyProtection="1">
      <alignment horizontal="center"/>
    </xf>
    <xf numFmtId="0" fontId="8" fillId="0" borderId="0" xfId="1" applyFont="1" applyFill="1" applyAlignment="1">
      <alignment horizontal="center"/>
    </xf>
    <xf numFmtId="0" fontId="3" fillId="0" borderId="0" xfId="1" applyFont="1" applyFill="1"/>
    <xf numFmtId="0" fontId="5" fillId="0" borderId="0" xfId="1" applyFont="1" applyFill="1" applyAlignment="1">
      <alignment horizontal="center"/>
    </xf>
    <xf numFmtId="0" fontId="5" fillId="0" borderId="1" xfId="1" applyFont="1" applyFill="1" applyBorder="1"/>
    <xf numFmtId="0" fontId="4" fillId="0" borderId="1" xfId="1" applyFont="1" applyFill="1" applyBorder="1"/>
    <xf numFmtId="0" fontId="19" fillId="0" borderId="0" xfId="0" applyFont="1"/>
    <xf numFmtId="0" fontId="19" fillId="0" borderId="1" xfId="0" applyFont="1" applyBorder="1"/>
    <xf numFmtId="14" fontId="19" fillId="0" borderId="1" xfId="0" applyNumberFormat="1" applyFont="1" applyBorder="1" applyAlignment="1">
      <alignment horizontal="center"/>
    </xf>
    <xf numFmtId="14" fontId="20" fillId="0" borderId="1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 applyProtection="1">
      <alignment horizontal="center"/>
    </xf>
    <xf numFmtId="0" fontId="0" fillId="6" borderId="1" xfId="0" applyFont="1" applyFill="1" applyBorder="1" applyAlignment="1" applyProtection="1">
      <alignment horizontal="center" vertical="center"/>
      <protection locked="0"/>
    </xf>
    <xf numFmtId="0" fontId="0" fillId="5" borderId="1" xfId="0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1" fillId="7" borderId="1" xfId="0" applyFont="1" applyFill="1" applyBorder="1" applyAlignment="1" applyProtection="1">
      <alignment horizontal="center" vertical="center"/>
      <protection locked="0"/>
    </xf>
    <xf numFmtId="0" fontId="0" fillId="7" borderId="1" xfId="0" applyFont="1" applyFill="1" applyBorder="1" applyAlignment="1" applyProtection="1">
      <alignment horizontal="center" vertical="center"/>
      <protection locked="0"/>
    </xf>
    <xf numFmtId="0" fontId="12" fillId="7" borderId="1" xfId="0" applyFont="1" applyFill="1" applyBorder="1" applyAlignment="1" applyProtection="1">
      <alignment horizontal="center" vertical="center"/>
      <protection locked="0"/>
    </xf>
    <xf numFmtId="0" fontId="9" fillId="8" borderId="1" xfId="2" applyFont="1" applyFill="1" applyBorder="1" applyAlignment="1" applyProtection="1">
      <alignment horizontal="center"/>
    </xf>
    <xf numFmtId="0" fontId="12" fillId="0" borderId="1" xfId="0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/>
    </xf>
    <xf numFmtId="0" fontId="5" fillId="0" borderId="1" xfId="1" applyFont="1" applyFill="1" applyBorder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11" fillId="5" borderId="1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0" fillId="6" borderId="1" xfId="0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 applyProtection="1">
      <alignment horizontal="center" vertical="center"/>
    </xf>
    <xf numFmtId="0" fontId="0" fillId="5" borderId="1" xfId="0" applyFont="1" applyFill="1" applyBorder="1" applyAlignment="1" applyProtection="1">
      <alignment horizontal="center" vertical="center"/>
    </xf>
    <xf numFmtId="0" fontId="21" fillId="0" borderId="1" xfId="0" applyFont="1" applyFill="1" applyBorder="1" applyAlignment="1" applyProtection="1">
      <alignment horizontal="center" vertical="center"/>
    </xf>
    <xf numFmtId="0" fontId="5" fillId="0" borderId="0" xfId="1" applyFont="1" applyFill="1" applyProtection="1"/>
    <xf numFmtId="0" fontId="4" fillId="0" borderId="0" xfId="1" applyFont="1" applyFill="1" applyProtection="1"/>
    <xf numFmtId="0" fontId="11" fillId="8" borderId="1" xfId="0" applyFont="1" applyFill="1" applyBorder="1" applyAlignment="1" applyProtection="1">
      <alignment horizontal="center" vertical="center"/>
    </xf>
    <xf numFmtId="0" fontId="0" fillId="8" borderId="1" xfId="0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0" fontId="8" fillId="0" borderId="1" xfId="1" applyFont="1" applyFill="1" applyBorder="1" applyAlignment="1" applyProtection="1">
      <alignment horizontal="center" vertical="center"/>
    </xf>
    <xf numFmtId="0" fontId="8" fillId="6" borderId="1" xfId="1" applyFont="1" applyFill="1" applyBorder="1" applyAlignment="1" applyProtection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18" fillId="5" borderId="2" xfId="1" applyFont="1" applyFill="1" applyBorder="1" applyAlignment="1">
      <alignment horizontal="center"/>
    </xf>
    <xf numFmtId="0" fontId="19" fillId="0" borderId="1" xfId="0" applyFont="1" applyBorder="1" applyAlignment="1">
      <alignment horizontal="left" vertical="center" wrapText="1"/>
    </xf>
    <xf numFmtId="0" fontId="10" fillId="0" borderId="1" xfId="0" applyFont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 wrapText="1"/>
    </xf>
    <xf numFmtId="0" fontId="6" fillId="0" borderId="1" xfId="1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1" applyFont="1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3">
    <cellStyle name="Normál" xfId="0" builtinId="0"/>
    <cellStyle name="Normál_Szabi" xfId="1"/>
    <cellStyle name="Normál_SZN_99" xfId="2"/>
  </cellStyles>
  <dxfs count="2167"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56EE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rmeles_V_Feld/D%20m&#369;szak/2020_D%20muszak%2020-50-94%20szabads&#225;gterv%20Div%20I-R%20I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Összes"/>
      <sheetName val="D"/>
      <sheetName val="Munka3"/>
    </sheetNames>
    <sheetDataSet>
      <sheetData sheetId="0"/>
      <sheetData sheetId="1">
        <row r="4">
          <cell r="B4" t="str">
            <v>+</v>
          </cell>
          <cell r="C4">
            <v>2</v>
          </cell>
          <cell r="D4">
            <v>2</v>
          </cell>
          <cell r="E4">
            <v>2</v>
          </cell>
          <cell r="F4" t="str">
            <v>X</v>
          </cell>
          <cell r="G4" t="str">
            <v>X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 t="str">
            <v>X</v>
          </cell>
          <cell r="O4" t="str">
            <v>X</v>
          </cell>
          <cell r="Q4">
            <v>3</v>
          </cell>
          <cell r="R4">
            <v>3</v>
          </cell>
          <cell r="S4">
            <v>3</v>
          </cell>
          <cell r="T4">
            <v>3</v>
          </cell>
          <cell r="U4">
            <v>3</v>
          </cell>
          <cell r="V4" t="str">
            <v>X</v>
          </cell>
          <cell r="W4" t="str">
            <v>X</v>
          </cell>
          <cell r="X4">
            <v>2</v>
          </cell>
          <cell r="Y4">
            <v>2</v>
          </cell>
          <cell r="Z4">
            <v>2</v>
          </cell>
          <cell r="AA4">
            <v>2</v>
          </cell>
          <cell r="AB4">
            <v>2</v>
          </cell>
          <cell r="AC4">
            <v>2</v>
          </cell>
          <cell r="AD4" t="str">
            <v>X</v>
          </cell>
          <cell r="AE4" t="str">
            <v>X</v>
          </cell>
          <cell r="AF4">
            <v>1</v>
          </cell>
        </row>
        <row r="5">
          <cell r="B5">
            <v>2</v>
          </cell>
          <cell r="C5">
            <v>2</v>
          </cell>
          <cell r="D5">
            <v>2</v>
          </cell>
          <cell r="E5">
            <v>2</v>
          </cell>
          <cell r="F5" t="str">
            <v>X</v>
          </cell>
          <cell r="G5" t="str">
            <v>X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 t="str">
            <v>+</v>
          </cell>
          <cell r="N5" t="str">
            <v>X</v>
          </cell>
          <cell r="O5" t="str">
            <v>X</v>
          </cell>
          <cell r="P5">
            <v>3</v>
          </cell>
          <cell r="Q5">
            <v>3</v>
          </cell>
          <cell r="R5">
            <v>3</v>
          </cell>
          <cell r="S5">
            <v>3</v>
          </cell>
          <cell r="T5">
            <v>3</v>
          </cell>
          <cell r="U5">
            <v>3</v>
          </cell>
          <cell r="V5" t="str">
            <v>X</v>
          </cell>
          <cell r="W5" t="str">
            <v>X</v>
          </cell>
          <cell r="X5">
            <v>2</v>
          </cell>
          <cell r="Y5">
            <v>2</v>
          </cell>
          <cell r="Z5">
            <v>2</v>
          </cell>
          <cell r="AA5">
            <v>2</v>
          </cell>
          <cell r="AB5">
            <v>2</v>
          </cell>
          <cell r="AC5">
            <v>2</v>
          </cell>
          <cell r="AD5" t="str">
            <v>X</v>
          </cell>
          <cell r="AE5" t="str">
            <v>X</v>
          </cell>
          <cell r="AF5">
            <v>1</v>
          </cell>
        </row>
        <row r="6">
          <cell r="B6">
            <v>2</v>
          </cell>
          <cell r="C6">
            <v>2</v>
          </cell>
          <cell r="D6">
            <v>2</v>
          </cell>
          <cell r="E6">
            <v>2</v>
          </cell>
          <cell r="F6" t="str">
            <v>X</v>
          </cell>
          <cell r="G6" t="str">
            <v>X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 t="str">
            <v>X</v>
          </cell>
          <cell r="O6" t="str">
            <v>X</v>
          </cell>
          <cell r="P6">
            <v>3</v>
          </cell>
          <cell r="Q6">
            <v>3</v>
          </cell>
          <cell r="R6">
            <v>3</v>
          </cell>
          <cell r="S6">
            <v>3</v>
          </cell>
          <cell r="T6">
            <v>3</v>
          </cell>
          <cell r="U6">
            <v>3</v>
          </cell>
          <cell r="V6" t="str">
            <v>X</v>
          </cell>
          <cell r="W6" t="str">
            <v>X</v>
          </cell>
          <cell r="X6" t="str">
            <v>+</v>
          </cell>
          <cell r="Y6">
            <v>2</v>
          </cell>
          <cell r="Z6">
            <v>2</v>
          </cell>
          <cell r="AA6">
            <v>2</v>
          </cell>
          <cell r="AB6">
            <v>2</v>
          </cell>
          <cell r="AC6">
            <v>2</v>
          </cell>
          <cell r="AD6" t="str">
            <v>X</v>
          </cell>
          <cell r="AE6" t="str">
            <v>X</v>
          </cell>
          <cell r="AF6">
            <v>1</v>
          </cell>
        </row>
        <row r="7">
          <cell r="B7">
            <v>2</v>
          </cell>
          <cell r="C7">
            <v>2</v>
          </cell>
          <cell r="D7">
            <v>2</v>
          </cell>
          <cell r="E7">
            <v>2</v>
          </cell>
          <cell r="F7" t="str">
            <v>X</v>
          </cell>
          <cell r="G7" t="str">
            <v>X</v>
          </cell>
          <cell r="H7">
            <v>1</v>
          </cell>
          <cell r="I7" t="str">
            <v>+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 t="str">
            <v>X</v>
          </cell>
          <cell r="O7" t="str">
            <v>X</v>
          </cell>
          <cell r="P7">
            <v>3</v>
          </cell>
          <cell r="Q7">
            <v>3</v>
          </cell>
          <cell r="R7">
            <v>3</v>
          </cell>
          <cell r="S7">
            <v>3</v>
          </cell>
          <cell r="T7">
            <v>3</v>
          </cell>
          <cell r="U7">
            <v>3</v>
          </cell>
          <cell r="V7" t="str">
            <v>X</v>
          </cell>
          <cell r="W7" t="str">
            <v>X</v>
          </cell>
          <cell r="X7">
            <v>2</v>
          </cell>
          <cell r="Y7">
            <v>2</v>
          </cell>
          <cell r="Z7">
            <v>2</v>
          </cell>
          <cell r="AA7">
            <v>2</v>
          </cell>
          <cell r="AB7">
            <v>2</v>
          </cell>
          <cell r="AC7">
            <v>2</v>
          </cell>
          <cell r="AD7" t="str">
            <v>X</v>
          </cell>
          <cell r="AE7" t="str">
            <v>X</v>
          </cell>
          <cell r="AF7" t="str">
            <v>szf</v>
          </cell>
        </row>
        <row r="8">
          <cell r="B8" t="str">
            <v>+</v>
          </cell>
          <cell r="C8">
            <v>2</v>
          </cell>
          <cell r="D8">
            <v>2</v>
          </cell>
          <cell r="E8">
            <v>2</v>
          </cell>
          <cell r="F8" t="str">
            <v>X</v>
          </cell>
          <cell r="G8" t="str">
            <v>X</v>
          </cell>
          <cell r="H8">
            <v>1</v>
          </cell>
          <cell r="I8">
            <v>4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 t="str">
            <v>X</v>
          </cell>
          <cell r="O8" t="str">
            <v>X</v>
          </cell>
          <cell r="P8">
            <v>3</v>
          </cell>
          <cell r="Q8">
            <v>3</v>
          </cell>
          <cell r="R8">
            <v>3</v>
          </cell>
          <cell r="S8">
            <v>3</v>
          </cell>
          <cell r="T8">
            <v>3</v>
          </cell>
          <cell r="U8">
            <v>3</v>
          </cell>
          <cell r="V8" t="str">
            <v>X</v>
          </cell>
          <cell r="W8" t="str">
            <v>X</v>
          </cell>
          <cell r="X8">
            <v>2</v>
          </cell>
          <cell r="Y8">
            <v>2</v>
          </cell>
          <cell r="Z8">
            <v>2</v>
          </cell>
          <cell r="AA8">
            <v>2</v>
          </cell>
          <cell r="AB8">
            <v>2</v>
          </cell>
          <cell r="AC8">
            <v>2</v>
          </cell>
          <cell r="AD8" t="str">
            <v>X</v>
          </cell>
          <cell r="AE8" t="str">
            <v>X</v>
          </cell>
          <cell r="AF8">
            <v>1</v>
          </cell>
        </row>
        <row r="9">
          <cell r="B9" t="str">
            <v>+</v>
          </cell>
          <cell r="C9">
            <v>2</v>
          </cell>
          <cell r="D9">
            <v>2</v>
          </cell>
          <cell r="E9">
            <v>2</v>
          </cell>
          <cell r="F9" t="str">
            <v>X</v>
          </cell>
          <cell r="G9" t="str">
            <v>X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 t="str">
            <v>X</v>
          </cell>
          <cell r="O9" t="str">
            <v>X</v>
          </cell>
          <cell r="P9" t="str">
            <v>B</v>
          </cell>
          <cell r="Q9" t="str">
            <v>B</v>
          </cell>
          <cell r="R9" t="str">
            <v>B</v>
          </cell>
          <cell r="S9" t="str">
            <v>B</v>
          </cell>
          <cell r="T9" t="str">
            <v>B</v>
          </cell>
          <cell r="U9" t="str">
            <v>B</v>
          </cell>
          <cell r="V9" t="str">
            <v>X</v>
          </cell>
          <cell r="W9" t="str">
            <v>X</v>
          </cell>
          <cell r="X9">
            <v>2</v>
          </cell>
          <cell r="Y9">
            <v>2</v>
          </cell>
          <cell r="Z9">
            <v>2</v>
          </cell>
          <cell r="AA9">
            <v>2</v>
          </cell>
          <cell r="AB9">
            <v>2</v>
          </cell>
          <cell r="AC9">
            <v>2</v>
          </cell>
          <cell r="AD9" t="str">
            <v>X</v>
          </cell>
          <cell r="AE9" t="str">
            <v>X</v>
          </cell>
          <cell r="AF9">
            <v>1</v>
          </cell>
        </row>
        <row r="10">
          <cell r="B10">
            <v>2</v>
          </cell>
          <cell r="C10">
            <v>2</v>
          </cell>
          <cell r="D10">
            <v>2</v>
          </cell>
          <cell r="E10">
            <v>2</v>
          </cell>
          <cell r="F10" t="str">
            <v>X</v>
          </cell>
          <cell r="G10" t="str">
            <v>X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 t="str">
            <v>X</v>
          </cell>
          <cell r="O10" t="str">
            <v>X</v>
          </cell>
          <cell r="P10">
            <v>3</v>
          </cell>
          <cell r="Q10">
            <v>3</v>
          </cell>
          <cell r="R10">
            <v>3</v>
          </cell>
          <cell r="S10">
            <v>3</v>
          </cell>
          <cell r="T10">
            <v>3</v>
          </cell>
          <cell r="U10">
            <v>3</v>
          </cell>
          <cell r="V10" t="str">
            <v>X</v>
          </cell>
          <cell r="W10" t="str">
            <v>X</v>
          </cell>
          <cell r="X10">
            <v>2</v>
          </cell>
          <cell r="Y10">
            <v>2</v>
          </cell>
          <cell r="Z10">
            <v>2</v>
          </cell>
          <cell r="AA10">
            <v>2</v>
          </cell>
          <cell r="AB10">
            <v>2</v>
          </cell>
          <cell r="AC10">
            <v>2</v>
          </cell>
          <cell r="AD10" t="str">
            <v>X</v>
          </cell>
          <cell r="AE10" t="str">
            <v>X</v>
          </cell>
          <cell r="AF10">
            <v>1</v>
          </cell>
        </row>
        <row r="15">
          <cell r="B15">
            <v>1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 t="str">
            <v>X</v>
          </cell>
          <cell r="H15" t="str">
            <v>X</v>
          </cell>
          <cell r="L15">
            <v>3</v>
          </cell>
          <cell r="M15">
            <v>3</v>
          </cell>
          <cell r="N15">
            <v>3</v>
          </cell>
          <cell r="O15" t="str">
            <v>X</v>
          </cell>
          <cell r="P15" t="str">
            <v>X</v>
          </cell>
          <cell r="Q15">
            <v>2</v>
          </cell>
          <cell r="R15">
            <v>2</v>
          </cell>
          <cell r="S15">
            <v>2</v>
          </cell>
          <cell r="T15">
            <v>2</v>
          </cell>
          <cell r="U15">
            <v>2</v>
          </cell>
          <cell r="V15">
            <v>2</v>
          </cell>
          <cell r="W15" t="str">
            <v>X</v>
          </cell>
          <cell r="X15" t="str">
            <v>X</v>
          </cell>
          <cell r="Y15">
            <v>1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</row>
        <row r="16"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 t="str">
            <v>X</v>
          </cell>
          <cell r="H16" t="str">
            <v>X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 t="str">
            <v>X</v>
          </cell>
          <cell r="P16" t="str">
            <v>X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  <cell r="W16" t="str">
            <v>X</v>
          </cell>
          <cell r="X16" t="str">
            <v>X</v>
          </cell>
          <cell r="Y16">
            <v>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</row>
        <row r="17">
          <cell r="B17">
            <v>1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 t="str">
            <v>X</v>
          </cell>
          <cell r="H17" t="str">
            <v>X</v>
          </cell>
          <cell r="I17">
            <v>3</v>
          </cell>
          <cell r="J17">
            <v>3</v>
          </cell>
          <cell r="K17">
            <v>3</v>
          </cell>
          <cell r="L17">
            <v>3</v>
          </cell>
          <cell r="M17">
            <v>3</v>
          </cell>
          <cell r="N17">
            <v>3</v>
          </cell>
          <cell r="O17" t="str">
            <v>X</v>
          </cell>
          <cell r="P17" t="str">
            <v>X</v>
          </cell>
          <cell r="Q17">
            <v>2</v>
          </cell>
          <cell r="R17">
            <v>2</v>
          </cell>
          <cell r="S17">
            <v>2</v>
          </cell>
          <cell r="T17">
            <v>2</v>
          </cell>
          <cell r="U17">
            <v>2</v>
          </cell>
          <cell r="V17">
            <v>2</v>
          </cell>
          <cell r="W17" t="str">
            <v>X</v>
          </cell>
          <cell r="X17" t="str">
            <v>X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 t="str">
            <v>X</v>
          </cell>
          <cell r="H18" t="str">
            <v>X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N18">
            <v>3</v>
          </cell>
          <cell r="O18" t="str">
            <v>X</v>
          </cell>
          <cell r="P18" t="str">
            <v>X</v>
          </cell>
          <cell r="Q18">
            <v>2</v>
          </cell>
          <cell r="R18">
            <v>2</v>
          </cell>
          <cell r="S18">
            <v>2</v>
          </cell>
          <cell r="T18">
            <v>2</v>
          </cell>
          <cell r="U18">
            <v>2</v>
          </cell>
          <cell r="V18">
            <v>2</v>
          </cell>
          <cell r="W18" t="str">
            <v>X</v>
          </cell>
          <cell r="X18" t="str">
            <v>X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</row>
        <row r="19">
          <cell r="B19">
            <v>1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 t="str">
            <v>X</v>
          </cell>
          <cell r="H19" t="str">
            <v>X</v>
          </cell>
          <cell r="I19">
            <v>3</v>
          </cell>
          <cell r="J19">
            <v>3</v>
          </cell>
          <cell r="K19">
            <v>3</v>
          </cell>
          <cell r="L19">
            <v>3</v>
          </cell>
          <cell r="M19">
            <v>3</v>
          </cell>
          <cell r="N19">
            <v>3</v>
          </cell>
          <cell r="O19" t="str">
            <v>X</v>
          </cell>
          <cell r="P19" t="str">
            <v>X</v>
          </cell>
          <cell r="Q19">
            <v>2</v>
          </cell>
          <cell r="T19">
            <v>2</v>
          </cell>
          <cell r="U19">
            <v>2</v>
          </cell>
          <cell r="V19">
            <v>2</v>
          </cell>
          <cell r="W19" t="str">
            <v>X</v>
          </cell>
          <cell r="X19" t="str">
            <v>X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</row>
        <row r="20">
          <cell r="B20">
            <v>1</v>
          </cell>
          <cell r="C20">
            <v>1</v>
          </cell>
          <cell r="D20">
            <v>1</v>
          </cell>
          <cell r="E20">
            <v>1</v>
          </cell>
          <cell r="F20">
            <v>1</v>
          </cell>
          <cell r="G20" t="str">
            <v>X</v>
          </cell>
          <cell r="H20" t="str">
            <v>X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O20" t="str">
            <v>X</v>
          </cell>
          <cell r="P20" t="str">
            <v>X</v>
          </cell>
          <cell r="R20">
            <v>2</v>
          </cell>
          <cell r="S20">
            <v>2</v>
          </cell>
          <cell r="T20">
            <v>2</v>
          </cell>
          <cell r="U20">
            <v>2</v>
          </cell>
          <cell r="V20">
            <v>2</v>
          </cell>
          <cell r="W20" t="str">
            <v>X</v>
          </cell>
          <cell r="X20" t="str">
            <v>X</v>
          </cell>
          <cell r="Y20">
            <v>1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</row>
        <row r="21">
          <cell r="B21">
            <v>1</v>
          </cell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 t="str">
            <v>X</v>
          </cell>
          <cell r="H21" t="str">
            <v>X</v>
          </cell>
          <cell r="K21">
            <v>3</v>
          </cell>
          <cell r="L21">
            <v>3</v>
          </cell>
          <cell r="M21">
            <v>3</v>
          </cell>
          <cell r="N21">
            <v>3</v>
          </cell>
          <cell r="O21" t="str">
            <v>X</v>
          </cell>
          <cell r="P21" t="str">
            <v>X</v>
          </cell>
          <cell r="R21">
            <v>2</v>
          </cell>
          <cell r="S21">
            <v>2</v>
          </cell>
          <cell r="T21">
            <v>2</v>
          </cell>
          <cell r="U21">
            <v>2</v>
          </cell>
          <cell r="V21">
            <v>2</v>
          </cell>
          <cell r="W21" t="str">
            <v>X</v>
          </cell>
          <cell r="X21" t="str">
            <v>X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</row>
        <row r="26">
          <cell r="B26" t="str">
            <v>X</v>
          </cell>
          <cell r="C26" t="str">
            <v>X</v>
          </cell>
          <cell r="D26">
            <v>3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 t="str">
            <v>X</v>
          </cell>
          <cell r="K26" t="str">
            <v>X</v>
          </cell>
          <cell r="L26">
            <v>2</v>
          </cell>
          <cell r="M26">
            <v>2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 t="str">
            <v>X</v>
          </cell>
          <cell r="S26" t="str">
            <v>X</v>
          </cell>
          <cell r="T26" t="str">
            <v>+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 t="str">
            <v>X</v>
          </cell>
          <cell r="AA26" t="str">
            <v>X</v>
          </cell>
          <cell r="AB26">
            <v>3</v>
          </cell>
          <cell r="AC26">
            <v>3</v>
          </cell>
          <cell r="AD26">
            <v>3</v>
          </cell>
          <cell r="AE26">
            <v>3</v>
          </cell>
          <cell r="AF26">
            <v>3</v>
          </cell>
        </row>
        <row r="27">
          <cell r="B27" t="str">
            <v>X</v>
          </cell>
          <cell r="C27" t="str">
            <v>X</v>
          </cell>
          <cell r="D27">
            <v>3</v>
          </cell>
          <cell r="E27">
            <v>3</v>
          </cell>
          <cell r="F27">
            <v>3</v>
          </cell>
          <cell r="G27">
            <v>3</v>
          </cell>
          <cell r="H27">
            <v>3</v>
          </cell>
          <cell r="I27">
            <v>3</v>
          </cell>
          <cell r="J27" t="str">
            <v>X</v>
          </cell>
          <cell r="K27" t="str">
            <v>X</v>
          </cell>
          <cell r="L27">
            <v>2</v>
          </cell>
          <cell r="M27" t="str">
            <v>+</v>
          </cell>
          <cell r="N27">
            <v>2</v>
          </cell>
          <cell r="O27">
            <v>2</v>
          </cell>
          <cell r="P27">
            <v>2</v>
          </cell>
          <cell r="Q27">
            <v>2</v>
          </cell>
          <cell r="R27" t="str">
            <v>X</v>
          </cell>
          <cell r="S27" t="str">
            <v>X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 t="str">
            <v>szf</v>
          </cell>
          <cell r="Z27" t="str">
            <v>X</v>
          </cell>
          <cell r="AA27" t="str">
            <v>X</v>
          </cell>
          <cell r="AB27">
            <v>3</v>
          </cell>
          <cell r="AC27">
            <v>3</v>
          </cell>
          <cell r="AD27">
            <v>3</v>
          </cell>
          <cell r="AE27">
            <v>3</v>
          </cell>
          <cell r="AF27">
            <v>3</v>
          </cell>
        </row>
        <row r="28">
          <cell r="B28" t="str">
            <v>X</v>
          </cell>
          <cell r="C28" t="str">
            <v>X</v>
          </cell>
          <cell r="D28">
            <v>3</v>
          </cell>
          <cell r="E28">
            <v>3</v>
          </cell>
          <cell r="F28">
            <v>3</v>
          </cell>
          <cell r="G28">
            <v>3</v>
          </cell>
          <cell r="H28" t="str">
            <v>+</v>
          </cell>
          <cell r="I28">
            <v>3</v>
          </cell>
          <cell r="J28" t="str">
            <v>X</v>
          </cell>
          <cell r="K28" t="str">
            <v>X</v>
          </cell>
          <cell r="L28">
            <v>2</v>
          </cell>
          <cell r="M28">
            <v>2</v>
          </cell>
          <cell r="N28">
            <v>2</v>
          </cell>
          <cell r="O28">
            <v>2</v>
          </cell>
          <cell r="P28">
            <v>2</v>
          </cell>
          <cell r="Q28">
            <v>2</v>
          </cell>
          <cell r="R28" t="str">
            <v>X</v>
          </cell>
          <cell r="S28" t="str">
            <v>X</v>
          </cell>
          <cell r="T28">
            <v>1</v>
          </cell>
          <cell r="U28">
            <v>1</v>
          </cell>
          <cell r="V28">
            <v>1</v>
          </cell>
          <cell r="W28">
            <v>1</v>
          </cell>
          <cell r="X28">
            <v>1</v>
          </cell>
          <cell r="Y28">
            <v>1</v>
          </cell>
          <cell r="Z28" t="str">
            <v>X</v>
          </cell>
          <cell r="AA28" t="str">
            <v>X</v>
          </cell>
          <cell r="AB28">
            <v>3</v>
          </cell>
          <cell r="AC28">
            <v>3</v>
          </cell>
          <cell r="AD28">
            <v>3</v>
          </cell>
          <cell r="AE28">
            <v>3</v>
          </cell>
          <cell r="AF28">
            <v>3</v>
          </cell>
        </row>
        <row r="29">
          <cell r="B29" t="str">
            <v>X</v>
          </cell>
          <cell r="C29" t="str">
            <v>X</v>
          </cell>
          <cell r="D29">
            <v>3</v>
          </cell>
          <cell r="E29">
            <v>3</v>
          </cell>
          <cell r="F29">
            <v>3</v>
          </cell>
          <cell r="G29">
            <v>3</v>
          </cell>
          <cell r="H29">
            <v>3</v>
          </cell>
          <cell r="I29">
            <v>3</v>
          </cell>
          <cell r="J29" t="str">
            <v>X</v>
          </cell>
          <cell r="K29" t="str">
            <v>X</v>
          </cell>
          <cell r="L29">
            <v>2</v>
          </cell>
          <cell r="M29">
            <v>2</v>
          </cell>
          <cell r="N29">
            <v>2</v>
          </cell>
          <cell r="O29">
            <v>2</v>
          </cell>
          <cell r="P29">
            <v>2</v>
          </cell>
          <cell r="Q29">
            <v>2</v>
          </cell>
          <cell r="R29" t="str">
            <v>X</v>
          </cell>
          <cell r="S29" t="str">
            <v>X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1</v>
          </cell>
          <cell r="Y29">
            <v>1</v>
          </cell>
          <cell r="Z29" t="str">
            <v>X</v>
          </cell>
          <cell r="AA29" t="str">
            <v>X</v>
          </cell>
          <cell r="AB29">
            <v>3</v>
          </cell>
          <cell r="AC29">
            <v>3</v>
          </cell>
          <cell r="AD29">
            <v>3</v>
          </cell>
          <cell r="AE29">
            <v>3</v>
          </cell>
          <cell r="AF29">
            <v>3</v>
          </cell>
        </row>
        <row r="30">
          <cell r="B30" t="str">
            <v>X</v>
          </cell>
          <cell r="C30" t="str">
            <v>X</v>
          </cell>
          <cell r="D30">
            <v>3</v>
          </cell>
          <cell r="E30">
            <v>3</v>
          </cell>
          <cell r="F30">
            <v>3</v>
          </cell>
          <cell r="G30">
            <v>3</v>
          </cell>
          <cell r="H30">
            <v>3</v>
          </cell>
          <cell r="I30" t="str">
            <v>+</v>
          </cell>
          <cell r="J30" t="str">
            <v>X</v>
          </cell>
          <cell r="K30" t="str">
            <v>X</v>
          </cell>
          <cell r="L30">
            <v>2</v>
          </cell>
          <cell r="M30">
            <v>2</v>
          </cell>
          <cell r="N30">
            <v>2</v>
          </cell>
          <cell r="O30">
            <v>2</v>
          </cell>
          <cell r="P30">
            <v>2</v>
          </cell>
          <cell r="Q30">
            <v>2</v>
          </cell>
          <cell r="R30" t="str">
            <v>X</v>
          </cell>
          <cell r="S30" t="str">
            <v>X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X30">
            <v>1</v>
          </cell>
          <cell r="Y30">
            <v>1</v>
          </cell>
          <cell r="Z30" t="str">
            <v>X</v>
          </cell>
          <cell r="AA30" t="str">
            <v>X</v>
          </cell>
          <cell r="AB30">
            <v>3</v>
          </cell>
          <cell r="AC30">
            <v>3</v>
          </cell>
          <cell r="AD30">
            <v>3</v>
          </cell>
          <cell r="AE30">
            <v>3</v>
          </cell>
          <cell r="AF30"/>
        </row>
        <row r="31">
          <cell r="B31" t="str">
            <v>X</v>
          </cell>
          <cell r="C31" t="str">
            <v>X</v>
          </cell>
          <cell r="D31" t="str">
            <v>+</v>
          </cell>
          <cell r="E31">
            <v>3</v>
          </cell>
          <cell r="F31">
            <v>3</v>
          </cell>
          <cell r="G31" t="str">
            <v>szf</v>
          </cell>
          <cell r="H31">
            <v>3</v>
          </cell>
          <cell r="I31" t="str">
            <v>szf</v>
          </cell>
          <cell r="J31" t="str">
            <v>X</v>
          </cell>
          <cell r="K31" t="str">
            <v>X</v>
          </cell>
          <cell r="L31">
            <v>2</v>
          </cell>
          <cell r="M31">
            <v>2</v>
          </cell>
          <cell r="N31">
            <v>2</v>
          </cell>
          <cell r="O31">
            <v>2</v>
          </cell>
          <cell r="P31">
            <v>2</v>
          </cell>
          <cell r="Q31">
            <v>2</v>
          </cell>
          <cell r="R31" t="str">
            <v>X</v>
          </cell>
          <cell r="S31" t="str">
            <v>X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 t="str">
            <v>X</v>
          </cell>
          <cell r="AA31" t="str">
            <v>X</v>
          </cell>
          <cell r="AB31">
            <v>3</v>
          </cell>
          <cell r="AC31">
            <v>3</v>
          </cell>
          <cell r="AD31">
            <v>3</v>
          </cell>
          <cell r="AE31">
            <v>3</v>
          </cell>
          <cell r="AF31">
            <v>3</v>
          </cell>
        </row>
        <row r="32">
          <cell r="B32" t="str">
            <v>X</v>
          </cell>
          <cell r="C32" t="str">
            <v>X</v>
          </cell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3</v>
          </cell>
          <cell r="I32">
            <v>3</v>
          </cell>
          <cell r="J32" t="str">
            <v>X</v>
          </cell>
          <cell r="K32" t="str">
            <v>X</v>
          </cell>
          <cell r="L32">
            <v>2</v>
          </cell>
          <cell r="M32">
            <v>2</v>
          </cell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 t="str">
            <v>X</v>
          </cell>
          <cell r="S32" t="str">
            <v>X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 t="str">
            <v>X</v>
          </cell>
          <cell r="AA32" t="str">
            <v>X</v>
          </cell>
          <cell r="AB32" t="str">
            <v>+</v>
          </cell>
          <cell r="AC32" t="str">
            <v>+</v>
          </cell>
          <cell r="AD32">
            <v>3</v>
          </cell>
          <cell r="AE32">
            <v>3</v>
          </cell>
          <cell r="AF32">
            <v>3</v>
          </cell>
        </row>
        <row r="37">
          <cell r="B37">
            <v>3</v>
          </cell>
          <cell r="C37" t="str">
            <v>X</v>
          </cell>
          <cell r="D37" t="str">
            <v>X</v>
          </cell>
          <cell r="E37">
            <v>2</v>
          </cell>
          <cell r="F37">
            <v>2</v>
          </cell>
          <cell r="G37">
            <v>2</v>
          </cell>
          <cell r="H37">
            <v>2</v>
          </cell>
          <cell r="I37" t="str">
            <v>+</v>
          </cell>
          <cell r="J37" t="str">
            <v>szf</v>
          </cell>
          <cell r="K37" t="str">
            <v>X</v>
          </cell>
          <cell r="L37" t="str">
            <v>X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 t="str">
            <v>X</v>
          </cell>
          <cell r="T37" t="str">
            <v>X</v>
          </cell>
          <cell r="U37">
            <v>3</v>
          </cell>
          <cell r="V37">
            <v>3</v>
          </cell>
          <cell r="W37">
            <v>3</v>
          </cell>
          <cell r="X37">
            <v>3</v>
          </cell>
          <cell r="Y37">
            <v>3</v>
          </cell>
          <cell r="Z37">
            <v>3</v>
          </cell>
          <cell r="AA37" t="str">
            <v>X</v>
          </cell>
          <cell r="AB37" t="str">
            <v>X</v>
          </cell>
          <cell r="AC37">
            <v>2</v>
          </cell>
          <cell r="AD37">
            <v>2</v>
          </cell>
          <cell r="AE37">
            <v>2</v>
          </cell>
        </row>
        <row r="38">
          <cell r="B38">
            <v>3</v>
          </cell>
          <cell r="C38" t="str">
            <v>X</v>
          </cell>
          <cell r="D38" t="str">
            <v>X</v>
          </cell>
          <cell r="E38">
            <v>2</v>
          </cell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 t="str">
            <v>X</v>
          </cell>
          <cell r="L38" t="str">
            <v>X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 t="str">
            <v>X</v>
          </cell>
          <cell r="T38" t="str">
            <v>X</v>
          </cell>
          <cell r="U38">
            <v>3</v>
          </cell>
          <cell r="V38">
            <v>3</v>
          </cell>
          <cell r="W38">
            <v>3</v>
          </cell>
          <cell r="X38">
            <v>3</v>
          </cell>
          <cell r="Y38">
            <v>3</v>
          </cell>
          <cell r="Z38" t="str">
            <v>+</v>
          </cell>
          <cell r="AA38" t="str">
            <v>X</v>
          </cell>
          <cell r="AB38" t="str">
            <v>X</v>
          </cell>
          <cell r="AC38">
            <v>2</v>
          </cell>
          <cell r="AD38">
            <v>2</v>
          </cell>
          <cell r="AE38">
            <v>2</v>
          </cell>
        </row>
        <row r="39">
          <cell r="B39">
            <v>3</v>
          </cell>
          <cell r="C39" t="str">
            <v>X</v>
          </cell>
          <cell r="D39" t="str">
            <v>X</v>
          </cell>
          <cell r="E39">
            <v>2</v>
          </cell>
          <cell r="F39">
            <v>2</v>
          </cell>
          <cell r="G39">
            <v>2</v>
          </cell>
          <cell r="H39">
            <v>2</v>
          </cell>
          <cell r="I39">
            <v>2</v>
          </cell>
          <cell r="J39">
            <v>2</v>
          </cell>
          <cell r="K39" t="str">
            <v>X</v>
          </cell>
          <cell r="L39" t="str">
            <v>X</v>
          </cell>
          <cell r="M39">
            <v>1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 t="str">
            <v>X</v>
          </cell>
          <cell r="T39" t="str">
            <v>X</v>
          </cell>
          <cell r="U39">
            <v>3</v>
          </cell>
          <cell r="V39">
            <v>3</v>
          </cell>
          <cell r="W39">
            <v>3</v>
          </cell>
          <cell r="X39">
            <v>3</v>
          </cell>
          <cell r="Y39" t="str">
            <v>+</v>
          </cell>
          <cell r="Z39" t="str">
            <v>szf</v>
          </cell>
          <cell r="AA39" t="str">
            <v>X</v>
          </cell>
          <cell r="AB39" t="str">
            <v>X</v>
          </cell>
          <cell r="AC39">
            <v>2</v>
          </cell>
          <cell r="AD39">
            <v>2</v>
          </cell>
          <cell r="AE39">
            <v>2</v>
          </cell>
        </row>
        <row r="40">
          <cell r="B40">
            <v>3</v>
          </cell>
          <cell r="C40" t="str">
            <v>X</v>
          </cell>
          <cell r="D40" t="str">
            <v>X</v>
          </cell>
          <cell r="E40">
            <v>2</v>
          </cell>
          <cell r="F40">
            <v>2</v>
          </cell>
          <cell r="G40">
            <v>2</v>
          </cell>
          <cell r="H40">
            <v>2</v>
          </cell>
          <cell r="I40">
            <v>2</v>
          </cell>
          <cell r="J40">
            <v>2</v>
          </cell>
          <cell r="K40" t="str">
            <v>X</v>
          </cell>
          <cell r="L40" t="str">
            <v>X</v>
          </cell>
          <cell r="M40">
            <v>1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 t="str">
            <v>X</v>
          </cell>
          <cell r="T40" t="str">
            <v>X</v>
          </cell>
          <cell r="U40">
            <v>3</v>
          </cell>
          <cell r="V40">
            <v>3</v>
          </cell>
          <cell r="W40">
            <v>3</v>
          </cell>
          <cell r="X40">
            <v>3</v>
          </cell>
          <cell r="Y40">
            <v>3</v>
          </cell>
          <cell r="Z40" t="str">
            <v>+</v>
          </cell>
          <cell r="AA40" t="str">
            <v>X</v>
          </cell>
          <cell r="AB40" t="str">
            <v>X</v>
          </cell>
          <cell r="AC40">
            <v>2</v>
          </cell>
          <cell r="AD40">
            <v>2</v>
          </cell>
          <cell r="AE40">
            <v>2</v>
          </cell>
        </row>
        <row r="41">
          <cell r="B41">
            <v>3</v>
          </cell>
          <cell r="C41" t="str">
            <v>X</v>
          </cell>
          <cell r="D41" t="str">
            <v>X</v>
          </cell>
          <cell r="E41">
            <v>2</v>
          </cell>
          <cell r="F41">
            <v>2</v>
          </cell>
          <cell r="G41">
            <v>2</v>
          </cell>
          <cell r="H41">
            <v>2</v>
          </cell>
          <cell r="I41">
            <v>2</v>
          </cell>
          <cell r="J41">
            <v>2</v>
          </cell>
          <cell r="K41" t="str">
            <v>X</v>
          </cell>
          <cell r="L41" t="str">
            <v>X</v>
          </cell>
          <cell r="M41">
            <v>1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 t="str">
            <v>X</v>
          </cell>
          <cell r="T41" t="str">
            <v>X</v>
          </cell>
          <cell r="U41">
            <v>3</v>
          </cell>
          <cell r="V41">
            <v>3</v>
          </cell>
          <cell r="W41">
            <v>3</v>
          </cell>
          <cell r="X41" t="str">
            <v>+</v>
          </cell>
          <cell r="Y41">
            <v>3</v>
          </cell>
          <cell r="Z41">
            <v>3</v>
          </cell>
          <cell r="AA41" t="str">
            <v>X</v>
          </cell>
          <cell r="AB41" t="str">
            <v>X</v>
          </cell>
          <cell r="AC41">
            <v>2</v>
          </cell>
          <cell r="AD41">
            <v>2</v>
          </cell>
          <cell r="AE41">
            <v>2</v>
          </cell>
        </row>
        <row r="42">
          <cell r="B42">
            <v>3</v>
          </cell>
          <cell r="C42" t="str">
            <v>X</v>
          </cell>
          <cell r="D42" t="str">
            <v>X</v>
          </cell>
          <cell r="E42">
            <v>2</v>
          </cell>
          <cell r="F42" t="str">
            <v>+</v>
          </cell>
          <cell r="G42">
            <v>2</v>
          </cell>
          <cell r="H42">
            <v>2</v>
          </cell>
          <cell r="I42">
            <v>2</v>
          </cell>
          <cell r="J42">
            <v>2</v>
          </cell>
          <cell r="K42" t="str">
            <v>X</v>
          </cell>
          <cell r="L42" t="str">
            <v>X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 t="str">
            <v>X</v>
          </cell>
          <cell r="T42" t="str">
            <v>X</v>
          </cell>
          <cell r="U42">
            <v>3</v>
          </cell>
          <cell r="V42">
            <v>3</v>
          </cell>
          <cell r="W42">
            <v>3</v>
          </cell>
          <cell r="X42">
            <v>3</v>
          </cell>
          <cell r="Y42">
            <v>3</v>
          </cell>
          <cell r="Z42">
            <v>3</v>
          </cell>
          <cell r="AA42" t="str">
            <v>X</v>
          </cell>
          <cell r="AB42" t="str">
            <v>X</v>
          </cell>
          <cell r="AC42" t="str">
            <v>szf</v>
          </cell>
          <cell r="AD42" t="str">
            <v>szf</v>
          </cell>
          <cell r="AE42">
            <v>2</v>
          </cell>
        </row>
        <row r="43">
          <cell r="B43">
            <v>3</v>
          </cell>
          <cell r="C43" t="str">
            <v>X</v>
          </cell>
          <cell r="D43" t="str">
            <v>X</v>
          </cell>
          <cell r="E43">
            <v>2</v>
          </cell>
          <cell r="F43">
            <v>2</v>
          </cell>
          <cell r="G43">
            <v>2</v>
          </cell>
          <cell r="H43">
            <v>2</v>
          </cell>
          <cell r="I43">
            <v>2</v>
          </cell>
          <cell r="J43" t="str">
            <v>+</v>
          </cell>
          <cell r="K43" t="str">
            <v>X</v>
          </cell>
          <cell r="L43" t="str">
            <v>X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 t="str">
            <v>X</v>
          </cell>
          <cell r="T43" t="str">
            <v>X</v>
          </cell>
          <cell r="U43">
            <v>3</v>
          </cell>
          <cell r="V43">
            <v>3</v>
          </cell>
          <cell r="W43">
            <v>3</v>
          </cell>
          <cell r="X43">
            <v>3</v>
          </cell>
          <cell r="Y43">
            <v>3</v>
          </cell>
          <cell r="Z43">
            <v>3</v>
          </cell>
          <cell r="AA43" t="str">
            <v>X</v>
          </cell>
          <cell r="AB43" t="str">
            <v>X</v>
          </cell>
          <cell r="AC43">
            <v>2</v>
          </cell>
          <cell r="AD43">
            <v>2</v>
          </cell>
          <cell r="AE43">
            <v>2</v>
          </cell>
        </row>
        <row r="48">
          <cell r="B48">
            <v>2</v>
          </cell>
          <cell r="C48">
            <v>2</v>
          </cell>
          <cell r="D48">
            <v>2</v>
          </cell>
          <cell r="E48" t="str">
            <v>X</v>
          </cell>
          <cell r="F48" t="str">
            <v>X</v>
          </cell>
          <cell r="G48">
            <v>1</v>
          </cell>
          <cell r="H48">
            <v>1</v>
          </cell>
          <cell r="I48">
            <v>1</v>
          </cell>
          <cell r="J48">
            <v>1</v>
          </cell>
          <cell r="K48">
            <v>1</v>
          </cell>
          <cell r="L48">
            <v>1</v>
          </cell>
          <cell r="M48" t="str">
            <v>X</v>
          </cell>
          <cell r="N48" t="str">
            <v>X</v>
          </cell>
          <cell r="O48">
            <v>3</v>
          </cell>
          <cell r="P48">
            <v>3</v>
          </cell>
          <cell r="Q48">
            <v>3</v>
          </cell>
          <cell r="R48">
            <v>3</v>
          </cell>
          <cell r="S48">
            <v>3</v>
          </cell>
          <cell r="T48">
            <v>3</v>
          </cell>
          <cell r="U48" t="str">
            <v>X</v>
          </cell>
          <cell r="V48" t="str">
            <v>X</v>
          </cell>
          <cell r="W48">
            <v>2</v>
          </cell>
          <cell r="X48">
            <v>2</v>
          </cell>
          <cell r="Y48">
            <v>2</v>
          </cell>
          <cell r="Z48">
            <v>2</v>
          </cell>
          <cell r="AA48">
            <v>2</v>
          </cell>
          <cell r="AB48">
            <v>2</v>
          </cell>
          <cell r="AC48" t="str">
            <v>X</v>
          </cell>
          <cell r="AD48" t="str">
            <v>X</v>
          </cell>
          <cell r="AE48">
            <v>1</v>
          </cell>
          <cell r="AF48">
            <v>1</v>
          </cell>
        </row>
        <row r="49">
          <cell r="B49">
            <v>2</v>
          </cell>
          <cell r="C49">
            <v>2</v>
          </cell>
          <cell r="D49">
            <v>2</v>
          </cell>
          <cell r="E49" t="str">
            <v>X</v>
          </cell>
          <cell r="F49" t="str">
            <v>X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 t="str">
            <v>X</v>
          </cell>
          <cell r="N49" t="str">
            <v>X</v>
          </cell>
          <cell r="O49">
            <v>3</v>
          </cell>
          <cell r="P49">
            <v>3</v>
          </cell>
          <cell r="Q49">
            <v>3</v>
          </cell>
          <cell r="R49">
            <v>3</v>
          </cell>
          <cell r="S49">
            <v>3</v>
          </cell>
          <cell r="T49">
            <v>3</v>
          </cell>
          <cell r="U49" t="str">
            <v>X</v>
          </cell>
          <cell r="V49" t="str">
            <v>X</v>
          </cell>
          <cell r="W49">
            <v>2</v>
          </cell>
          <cell r="X49">
            <v>2</v>
          </cell>
          <cell r="Y49">
            <v>2</v>
          </cell>
          <cell r="Z49">
            <v>2</v>
          </cell>
          <cell r="AA49">
            <v>2</v>
          </cell>
          <cell r="AB49">
            <v>2</v>
          </cell>
          <cell r="AC49" t="str">
            <v>X</v>
          </cell>
          <cell r="AD49" t="str">
            <v>X</v>
          </cell>
          <cell r="AE49">
            <v>1</v>
          </cell>
          <cell r="AF49">
            <v>1</v>
          </cell>
        </row>
        <row r="50">
          <cell r="B50">
            <v>2</v>
          </cell>
          <cell r="C50">
            <v>2</v>
          </cell>
          <cell r="D50">
            <v>2</v>
          </cell>
          <cell r="E50" t="str">
            <v>X</v>
          </cell>
          <cell r="F50" t="str">
            <v>X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 t="str">
            <v>X</v>
          </cell>
          <cell r="N50" t="str">
            <v>X</v>
          </cell>
          <cell r="O50">
            <v>3</v>
          </cell>
          <cell r="P50">
            <v>3</v>
          </cell>
          <cell r="Q50">
            <v>3</v>
          </cell>
          <cell r="R50">
            <v>3</v>
          </cell>
          <cell r="S50">
            <v>3</v>
          </cell>
          <cell r="T50">
            <v>3</v>
          </cell>
          <cell r="U50" t="str">
            <v>X</v>
          </cell>
          <cell r="V50" t="str">
            <v>X</v>
          </cell>
          <cell r="W50">
            <v>2</v>
          </cell>
          <cell r="X50">
            <v>2</v>
          </cell>
          <cell r="Y50">
            <v>2</v>
          </cell>
          <cell r="Z50">
            <v>2</v>
          </cell>
          <cell r="AA50">
            <v>2</v>
          </cell>
          <cell r="AB50">
            <v>2</v>
          </cell>
          <cell r="AC50" t="str">
            <v>X</v>
          </cell>
          <cell r="AD50" t="str">
            <v>X</v>
          </cell>
          <cell r="AE50">
            <v>1</v>
          </cell>
          <cell r="AF50">
            <v>1</v>
          </cell>
        </row>
        <row r="51">
          <cell r="B51">
            <v>2</v>
          </cell>
          <cell r="C51">
            <v>2</v>
          </cell>
          <cell r="D51">
            <v>2</v>
          </cell>
          <cell r="E51" t="str">
            <v>X</v>
          </cell>
          <cell r="F51" t="str">
            <v>X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  <cell r="K51">
            <v>1</v>
          </cell>
          <cell r="L51">
            <v>1</v>
          </cell>
          <cell r="M51" t="str">
            <v>X</v>
          </cell>
          <cell r="N51" t="str">
            <v>X</v>
          </cell>
          <cell r="O51">
            <v>3</v>
          </cell>
          <cell r="P51">
            <v>3</v>
          </cell>
          <cell r="Q51">
            <v>3</v>
          </cell>
          <cell r="R51">
            <v>3</v>
          </cell>
          <cell r="S51">
            <v>3</v>
          </cell>
          <cell r="T51">
            <v>3</v>
          </cell>
          <cell r="U51" t="str">
            <v>X</v>
          </cell>
          <cell r="V51" t="str">
            <v>X</v>
          </cell>
          <cell r="W51">
            <v>2</v>
          </cell>
          <cell r="X51">
            <v>2</v>
          </cell>
          <cell r="Y51">
            <v>2</v>
          </cell>
          <cell r="Z51">
            <v>2</v>
          </cell>
          <cell r="AA51">
            <v>2</v>
          </cell>
          <cell r="AB51">
            <v>2</v>
          </cell>
          <cell r="AC51" t="str">
            <v>X</v>
          </cell>
          <cell r="AD51" t="str">
            <v>X</v>
          </cell>
          <cell r="AE51">
            <v>1</v>
          </cell>
          <cell r="AF51">
            <v>1</v>
          </cell>
        </row>
        <row r="52">
          <cell r="B52">
            <v>2</v>
          </cell>
          <cell r="C52">
            <v>2</v>
          </cell>
          <cell r="D52">
            <v>2</v>
          </cell>
          <cell r="E52" t="str">
            <v>X</v>
          </cell>
          <cell r="F52" t="str">
            <v>X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 t="str">
            <v>X</v>
          </cell>
          <cell r="N52" t="str">
            <v>X</v>
          </cell>
          <cell r="O52">
            <v>3</v>
          </cell>
          <cell r="P52">
            <v>3</v>
          </cell>
          <cell r="Q52">
            <v>3</v>
          </cell>
          <cell r="R52">
            <v>3</v>
          </cell>
          <cell r="S52">
            <v>3</v>
          </cell>
          <cell r="T52">
            <v>3</v>
          </cell>
          <cell r="U52" t="str">
            <v>X</v>
          </cell>
          <cell r="V52" t="str">
            <v>X</v>
          </cell>
          <cell r="W52">
            <v>2</v>
          </cell>
          <cell r="X52">
            <v>2</v>
          </cell>
          <cell r="Y52">
            <v>2</v>
          </cell>
          <cell r="Z52">
            <v>2</v>
          </cell>
          <cell r="AA52">
            <v>2</v>
          </cell>
          <cell r="AB52">
            <v>2</v>
          </cell>
          <cell r="AC52" t="str">
            <v>X</v>
          </cell>
          <cell r="AD52" t="str">
            <v>X</v>
          </cell>
          <cell r="AE52">
            <v>1</v>
          </cell>
          <cell r="AF52">
            <v>1</v>
          </cell>
        </row>
        <row r="53">
          <cell r="B53">
            <v>2</v>
          </cell>
          <cell r="C53">
            <v>2</v>
          </cell>
          <cell r="D53">
            <v>2</v>
          </cell>
          <cell r="E53" t="str">
            <v>X</v>
          </cell>
          <cell r="F53" t="str">
            <v>X</v>
          </cell>
          <cell r="G53">
            <v>1</v>
          </cell>
          <cell r="H53">
            <v>1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  <cell r="M53" t="str">
            <v>X</v>
          </cell>
          <cell r="N53" t="str">
            <v>X</v>
          </cell>
          <cell r="O53">
            <v>3</v>
          </cell>
          <cell r="P53">
            <v>3</v>
          </cell>
          <cell r="Q53">
            <v>3</v>
          </cell>
          <cell r="R53">
            <v>3</v>
          </cell>
          <cell r="S53">
            <v>3</v>
          </cell>
          <cell r="T53">
            <v>3</v>
          </cell>
          <cell r="U53" t="str">
            <v>X</v>
          </cell>
          <cell r="V53" t="str">
            <v>X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 t="str">
            <v>X</v>
          </cell>
          <cell r="AD53" t="str">
            <v>X</v>
          </cell>
          <cell r="AE53">
            <v>1</v>
          </cell>
          <cell r="AF53">
            <v>1</v>
          </cell>
        </row>
        <row r="54">
          <cell r="B54">
            <v>2</v>
          </cell>
          <cell r="C54" t="str">
            <v>+</v>
          </cell>
          <cell r="D54" t="str">
            <v>szf</v>
          </cell>
          <cell r="E54" t="str">
            <v>X</v>
          </cell>
          <cell r="F54" t="str">
            <v>X</v>
          </cell>
          <cell r="G54">
            <v>1</v>
          </cell>
          <cell r="H54">
            <v>1</v>
          </cell>
          <cell r="I54">
            <v>1</v>
          </cell>
          <cell r="J54">
            <v>1</v>
          </cell>
          <cell r="K54">
            <v>1</v>
          </cell>
          <cell r="L54">
            <v>1</v>
          </cell>
          <cell r="M54" t="str">
            <v>X</v>
          </cell>
          <cell r="N54" t="str">
            <v>X</v>
          </cell>
          <cell r="O54">
            <v>3</v>
          </cell>
          <cell r="P54">
            <v>3</v>
          </cell>
          <cell r="Q54">
            <v>3</v>
          </cell>
          <cell r="R54">
            <v>3</v>
          </cell>
          <cell r="S54">
            <v>3</v>
          </cell>
          <cell r="T54">
            <v>3</v>
          </cell>
          <cell r="U54" t="str">
            <v>X</v>
          </cell>
          <cell r="V54" t="str">
            <v>X</v>
          </cell>
          <cell r="W54">
            <v>2</v>
          </cell>
          <cell r="X54">
            <v>2</v>
          </cell>
          <cell r="Y54">
            <v>2</v>
          </cell>
          <cell r="Z54">
            <v>2</v>
          </cell>
          <cell r="AA54">
            <v>2</v>
          </cell>
          <cell r="AB54">
            <v>2</v>
          </cell>
          <cell r="AC54" t="str">
            <v>X</v>
          </cell>
          <cell r="AD54" t="str">
            <v>X</v>
          </cell>
          <cell r="AE54">
            <v>1</v>
          </cell>
          <cell r="AF54">
            <v>1</v>
          </cell>
        </row>
        <row r="59">
          <cell r="B59">
            <v>1</v>
          </cell>
          <cell r="C59">
            <v>1</v>
          </cell>
          <cell r="D59">
            <v>1</v>
          </cell>
          <cell r="E59">
            <v>1</v>
          </cell>
          <cell r="F59" t="str">
            <v>X</v>
          </cell>
          <cell r="G59" t="str">
            <v>X</v>
          </cell>
          <cell r="H59">
            <v>3</v>
          </cell>
          <cell r="I59">
            <v>3</v>
          </cell>
          <cell r="J59">
            <v>3</v>
          </cell>
          <cell r="K59">
            <v>3</v>
          </cell>
          <cell r="L59">
            <v>3</v>
          </cell>
          <cell r="M59">
            <v>3</v>
          </cell>
          <cell r="N59" t="str">
            <v>X</v>
          </cell>
          <cell r="O59" t="str">
            <v>X</v>
          </cell>
          <cell r="P59">
            <v>2</v>
          </cell>
          <cell r="Q59">
            <v>2</v>
          </cell>
          <cell r="R59">
            <v>2</v>
          </cell>
          <cell r="S59">
            <v>2</v>
          </cell>
          <cell r="T59">
            <v>2</v>
          </cell>
          <cell r="U59">
            <v>2</v>
          </cell>
          <cell r="V59" t="str">
            <v>X</v>
          </cell>
          <cell r="W59" t="str">
            <v>X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 t="str">
            <v>X</v>
          </cell>
          <cell r="AE59" t="str">
            <v>X</v>
          </cell>
        </row>
        <row r="60">
          <cell r="B60">
            <v>1</v>
          </cell>
          <cell r="C60">
            <v>1</v>
          </cell>
          <cell r="D60">
            <v>1</v>
          </cell>
          <cell r="E60">
            <v>1</v>
          </cell>
          <cell r="F60" t="str">
            <v>X</v>
          </cell>
          <cell r="G60" t="str">
            <v>X</v>
          </cell>
          <cell r="H60">
            <v>3</v>
          </cell>
          <cell r="I60">
            <v>3</v>
          </cell>
          <cell r="J60">
            <v>3</v>
          </cell>
          <cell r="K60">
            <v>3</v>
          </cell>
          <cell r="L60">
            <v>3</v>
          </cell>
          <cell r="M60">
            <v>3</v>
          </cell>
          <cell r="N60" t="str">
            <v>X</v>
          </cell>
          <cell r="O60" t="str">
            <v>X</v>
          </cell>
          <cell r="P60">
            <v>2</v>
          </cell>
          <cell r="Q60">
            <v>2</v>
          </cell>
          <cell r="R60">
            <v>2</v>
          </cell>
          <cell r="S60">
            <v>2</v>
          </cell>
          <cell r="T60">
            <v>2</v>
          </cell>
          <cell r="U60">
            <v>2</v>
          </cell>
          <cell r="V60" t="str">
            <v>X</v>
          </cell>
          <cell r="W60" t="str">
            <v>X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 t="str">
            <v>X</v>
          </cell>
          <cell r="AE60" t="str">
            <v>X</v>
          </cell>
        </row>
        <row r="61">
          <cell r="B61">
            <v>1</v>
          </cell>
          <cell r="C61">
            <v>1</v>
          </cell>
          <cell r="D61">
            <v>1</v>
          </cell>
          <cell r="E61">
            <v>1</v>
          </cell>
          <cell r="F61" t="str">
            <v>X</v>
          </cell>
          <cell r="G61" t="str">
            <v>X</v>
          </cell>
          <cell r="H61">
            <v>3</v>
          </cell>
          <cell r="I61">
            <v>3</v>
          </cell>
          <cell r="J61">
            <v>3</v>
          </cell>
          <cell r="K61">
            <v>3</v>
          </cell>
          <cell r="L61">
            <v>3</v>
          </cell>
          <cell r="M61">
            <v>3</v>
          </cell>
          <cell r="N61" t="str">
            <v>X</v>
          </cell>
          <cell r="O61" t="str">
            <v>X</v>
          </cell>
          <cell r="P61">
            <v>2</v>
          </cell>
          <cell r="Q61">
            <v>2</v>
          </cell>
          <cell r="R61">
            <v>2</v>
          </cell>
          <cell r="S61">
            <v>2</v>
          </cell>
          <cell r="T61">
            <v>2</v>
          </cell>
          <cell r="U61">
            <v>2</v>
          </cell>
          <cell r="V61" t="str">
            <v>X</v>
          </cell>
          <cell r="W61" t="str">
            <v>X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 t="str">
            <v>X</v>
          </cell>
          <cell r="AE61" t="str">
            <v>X</v>
          </cell>
        </row>
        <row r="62">
          <cell r="B62">
            <v>1</v>
          </cell>
          <cell r="C62">
            <v>1</v>
          </cell>
          <cell r="D62">
            <v>1</v>
          </cell>
          <cell r="E62">
            <v>1</v>
          </cell>
          <cell r="F62" t="str">
            <v>X</v>
          </cell>
          <cell r="G62" t="str">
            <v>X</v>
          </cell>
          <cell r="H62">
            <v>3</v>
          </cell>
          <cell r="I62">
            <v>3</v>
          </cell>
          <cell r="J62">
            <v>3</v>
          </cell>
          <cell r="K62">
            <v>3</v>
          </cell>
          <cell r="L62">
            <v>3</v>
          </cell>
          <cell r="M62">
            <v>3</v>
          </cell>
          <cell r="N62" t="str">
            <v>X</v>
          </cell>
          <cell r="O62" t="str">
            <v>X</v>
          </cell>
          <cell r="P62">
            <v>2</v>
          </cell>
          <cell r="Q62">
            <v>2</v>
          </cell>
          <cell r="R62">
            <v>2</v>
          </cell>
          <cell r="S62">
            <v>2</v>
          </cell>
          <cell r="T62">
            <v>2</v>
          </cell>
          <cell r="U62">
            <v>2</v>
          </cell>
          <cell r="V62" t="str">
            <v>X</v>
          </cell>
          <cell r="W62" t="str">
            <v>X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 t="str">
            <v>X</v>
          </cell>
          <cell r="AE62" t="str">
            <v>X</v>
          </cell>
        </row>
        <row r="63">
          <cell r="B63">
            <v>1</v>
          </cell>
          <cell r="C63">
            <v>1</v>
          </cell>
          <cell r="D63">
            <v>1</v>
          </cell>
          <cell r="E63">
            <v>1</v>
          </cell>
          <cell r="F63" t="str">
            <v>X</v>
          </cell>
          <cell r="G63" t="str">
            <v>X</v>
          </cell>
          <cell r="H63">
            <v>3</v>
          </cell>
          <cell r="I63">
            <v>3</v>
          </cell>
          <cell r="J63">
            <v>3</v>
          </cell>
          <cell r="K63">
            <v>3</v>
          </cell>
          <cell r="L63">
            <v>3</v>
          </cell>
          <cell r="M63">
            <v>3</v>
          </cell>
          <cell r="N63" t="str">
            <v>X</v>
          </cell>
          <cell r="O63" t="str">
            <v>X</v>
          </cell>
          <cell r="P63">
            <v>2</v>
          </cell>
          <cell r="Q63">
            <v>2</v>
          </cell>
          <cell r="R63">
            <v>2</v>
          </cell>
          <cell r="S63">
            <v>2</v>
          </cell>
          <cell r="T63">
            <v>2</v>
          </cell>
          <cell r="U63">
            <v>2</v>
          </cell>
          <cell r="V63" t="str">
            <v>X</v>
          </cell>
          <cell r="W63" t="str">
            <v>X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 t="str">
            <v>X</v>
          </cell>
          <cell r="AE63" t="str">
            <v>X</v>
          </cell>
        </row>
        <row r="64">
          <cell r="B64">
            <v>1</v>
          </cell>
          <cell r="C64">
            <v>1</v>
          </cell>
          <cell r="D64">
            <v>1</v>
          </cell>
          <cell r="E64">
            <v>1</v>
          </cell>
          <cell r="F64" t="str">
            <v>X</v>
          </cell>
          <cell r="G64" t="str">
            <v>X</v>
          </cell>
          <cell r="H64">
            <v>3</v>
          </cell>
          <cell r="I64">
            <v>3</v>
          </cell>
          <cell r="J64">
            <v>3</v>
          </cell>
          <cell r="K64">
            <v>3</v>
          </cell>
          <cell r="L64">
            <v>3</v>
          </cell>
          <cell r="M64">
            <v>3</v>
          </cell>
          <cell r="N64" t="str">
            <v>X</v>
          </cell>
          <cell r="O64" t="str">
            <v>X</v>
          </cell>
          <cell r="P64">
            <v>2</v>
          </cell>
          <cell r="Q64">
            <v>2</v>
          </cell>
          <cell r="R64">
            <v>2</v>
          </cell>
          <cell r="S64">
            <v>2</v>
          </cell>
          <cell r="T64">
            <v>2</v>
          </cell>
          <cell r="U64">
            <v>2</v>
          </cell>
          <cell r="V64" t="str">
            <v>X</v>
          </cell>
          <cell r="W64" t="str">
            <v>X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 t="str">
            <v>X</v>
          </cell>
          <cell r="AE64" t="str">
            <v>X</v>
          </cell>
        </row>
        <row r="65">
          <cell r="B65">
            <v>1</v>
          </cell>
          <cell r="C65">
            <v>1</v>
          </cell>
          <cell r="D65">
            <v>1</v>
          </cell>
          <cell r="E65">
            <v>1</v>
          </cell>
          <cell r="F65" t="str">
            <v>X</v>
          </cell>
          <cell r="G65" t="str">
            <v>X</v>
          </cell>
          <cell r="H65">
            <v>3</v>
          </cell>
          <cell r="I65">
            <v>3</v>
          </cell>
          <cell r="J65">
            <v>3</v>
          </cell>
          <cell r="K65">
            <v>3</v>
          </cell>
          <cell r="L65">
            <v>3</v>
          </cell>
          <cell r="M65">
            <v>3</v>
          </cell>
          <cell r="N65" t="str">
            <v>X</v>
          </cell>
          <cell r="O65" t="str">
            <v>X</v>
          </cell>
          <cell r="P65">
            <v>2</v>
          </cell>
          <cell r="Q65">
            <v>2</v>
          </cell>
          <cell r="R65">
            <v>2</v>
          </cell>
          <cell r="S65">
            <v>2</v>
          </cell>
          <cell r="T65">
            <v>2</v>
          </cell>
          <cell r="U65">
            <v>2</v>
          </cell>
          <cell r="V65" t="str">
            <v>X</v>
          </cell>
          <cell r="W65" t="str">
            <v>X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 t="str">
            <v>X</v>
          </cell>
          <cell r="AE65" t="str">
            <v>X</v>
          </cell>
        </row>
        <row r="70">
          <cell r="B70">
            <v>3</v>
          </cell>
          <cell r="C70">
            <v>3</v>
          </cell>
          <cell r="D70">
            <v>3</v>
          </cell>
          <cell r="E70">
            <v>3</v>
          </cell>
          <cell r="F70">
            <v>3</v>
          </cell>
          <cell r="G70">
            <v>3</v>
          </cell>
          <cell r="H70" t="str">
            <v>X</v>
          </cell>
          <cell r="I70" t="str">
            <v>X</v>
          </cell>
          <cell r="J70">
            <v>2</v>
          </cell>
          <cell r="K70">
            <v>2</v>
          </cell>
          <cell r="L70">
            <v>2</v>
          </cell>
          <cell r="M70">
            <v>2</v>
          </cell>
          <cell r="N70">
            <v>2</v>
          </cell>
          <cell r="O70">
            <v>2</v>
          </cell>
          <cell r="P70" t="str">
            <v>X</v>
          </cell>
          <cell r="Q70" t="str">
            <v>X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 t="str">
            <v>X</v>
          </cell>
          <cell r="Y70" t="str">
            <v>X</v>
          </cell>
          <cell r="Z70">
            <v>3</v>
          </cell>
          <cell r="AA70">
            <v>3</v>
          </cell>
          <cell r="AB70">
            <v>3</v>
          </cell>
          <cell r="AC70">
            <v>3</v>
          </cell>
          <cell r="AD70">
            <v>3</v>
          </cell>
          <cell r="AE70">
            <v>3</v>
          </cell>
          <cell r="AF70" t="str">
            <v>X</v>
          </cell>
        </row>
        <row r="71">
          <cell r="B71">
            <v>3</v>
          </cell>
          <cell r="C71">
            <v>3</v>
          </cell>
          <cell r="D71">
            <v>3</v>
          </cell>
          <cell r="E71">
            <v>3</v>
          </cell>
          <cell r="F71">
            <v>3</v>
          </cell>
          <cell r="G71">
            <v>3</v>
          </cell>
          <cell r="H71" t="str">
            <v>X</v>
          </cell>
          <cell r="I71" t="str">
            <v>X</v>
          </cell>
          <cell r="J71">
            <v>2</v>
          </cell>
          <cell r="K71">
            <v>2</v>
          </cell>
          <cell r="L71">
            <v>2</v>
          </cell>
          <cell r="M71">
            <v>2</v>
          </cell>
          <cell r="N71">
            <v>2</v>
          </cell>
          <cell r="O71">
            <v>2</v>
          </cell>
          <cell r="P71" t="str">
            <v>X</v>
          </cell>
          <cell r="Q71" t="str">
            <v>X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 t="str">
            <v>X</v>
          </cell>
          <cell r="Y71" t="str">
            <v>X</v>
          </cell>
          <cell r="Z71">
            <v>3</v>
          </cell>
          <cell r="AA71">
            <v>3</v>
          </cell>
          <cell r="AB71">
            <v>3</v>
          </cell>
          <cell r="AC71">
            <v>3</v>
          </cell>
          <cell r="AD71">
            <v>3</v>
          </cell>
          <cell r="AE71">
            <v>3</v>
          </cell>
          <cell r="AF71" t="str">
            <v>X</v>
          </cell>
        </row>
        <row r="72">
          <cell r="B72">
            <v>3</v>
          </cell>
          <cell r="C72">
            <v>3</v>
          </cell>
          <cell r="D72">
            <v>3</v>
          </cell>
          <cell r="E72">
            <v>3</v>
          </cell>
          <cell r="F72">
            <v>3</v>
          </cell>
          <cell r="G72">
            <v>3</v>
          </cell>
          <cell r="H72" t="str">
            <v>X</v>
          </cell>
          <cell r="I72" t="str">
            <v>X</v>
          </cell>
          <cell r="J72">
            <v>2</v>
          </cell>
          <cell r="K72">
            <v>2</v>
          </cell>
          <cell r="L72">
            <v>2</v>
          </cell>
          <cell r="M72">
            <v>2</v>
          </cell>
          <cell r="N72">
            <v>2</v>
          </cell>
          <cell r="O72">
            <v>2</v>
          </cell>
          <cell r="P72" t="str">
            <v>X</v>
          </cell>
          <cell r="Q72" t="str">
            <v>X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 t="str">
            <v>X</v>
          </cell>
          <cell r="Y72" t="str">
            <v>X</v>
          </cell>
          <cell r="Z72">
            <v>3</v>
          </cell>
          <cell r="AA72">
            <v>3</v>
          </cell>
          <cell r="AB72">
            <v>3</v>
          </cell>
          <cell r="AC72">
            <v>3</v>
          </cell>
          <cell r="AD72">
            <v>3</v>
          </cell>
          <cell r="AE72">
            <v>3</v>
          </cell>
          <cell r="AF72" t="str">
            <v>X</v>
          </cell>
        </row>
        <row r="73">
          <cell r="B73">
            <v>3</v>
          </cell>
          <cell r="C73">
            <v>3</v>
          </cell>
          <cell r="D73">
            <v>3</v>
          </cell>
          <cell r="E73">
            <v>3</v>
          </cell>
          <cell r="F73">
            <v>3</v>
          </cell>
          <cell r="G73">
            <v>3</v>
          </cell>
          <cell r="H73" t="str">
            <v>X</v>
          </cell>
          <cell r="I73" t="str">
            <v>X</v>
          </cell>
          <cell r="J73">
            <v>2</v>
          </cell>
          <cell r="K73">
            <v>2</v>
          </cell>
          <cell r="L73">
            <v>2</v>
          </cell>
          <cell r="M73">
            <v>2</v>
          </cell>
          <cell r="N73">
            <v>2</v>
          </cell>
          <cell r="O73">
            <v>2</v>
          </cell>
          <cell r="P73" t="str">
            <v>X</v>
          </cell>
          <cell r="Q73" t="str">
            <v>X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1</v>
          </cell>
          <cell r="X73" t="str">
            <v>X</v>
          </cell>
          <cell r="Y73" t="str">
            <v>X</v>
          </cell>
          <cell r="Z73">
            <v>3</v>
          </cell>
          <cell r="AA73">
            <v>3</v>
          </cell>
          <cell r="AB73">
            <v>3</v>
          </cell>
          <cell r="AC73">
            <v>3</v>
          </cell>
          <cell r="AD73">
            <v>3</v>
          </cell>
          <cell r="AE73">
            <v>3</v>
          </cell>
          <cell r="AF73" t="str">
            <v>X</v>
          </cell>
        </row>
        <row r="74">
          <cell r="B74">
            <v>3</v>
          </cell>
          <cell r="C74">
            <v>3</v>
          </cell>
          <cell r="D74">
            <v>3</v>
          </cell>
          <cell r="E74">
            <v>3</v>
          </cell>
          <cell r="F74">
            <v>3</v>
          </cell>
          <cell r="G74">
            <v>3</v>
          </cell>
          <cell r="H74" t="str">
            <v>X</v>
          </cell>
          <cell r="I74" t="str">
            <v>X</v>
          </cell>
          <cell r="J74">
            <v>2</v>
          </cell>
          <cell r="K74">
            <v>2</v>
          </cell>
          <cell r="L74">
            <v>2</v>
          </cell>
          <cell r="M74">
            <v>2</v>
          </cell>
          <cell r="N74">
            <v>2</v>
          </cell>
          <cell r="O74">
            <v>2</v>
          </cell>
          <cell r="P74" t="str">
            <v>X</v>
          </cell>
          <cell r="Q74" t="str">
            <v>X</v>
          </cell>
          <cell r="R74">
            <v>1</v>
          </cell>
          <cell r="S74">
            <v>1</v>
          </cell>
          <cell r="T74">
            <v>1</v>
          </cell>
          <cell r="U74">
            <v>1</v>
          </cell>
          <cell r="V74">
            <v>1</v>
          </cell>
          <cell r="W74">
            <v>1</v>
          </cell>
          <cell r="X74" t="str">
            <v>X</v>
          </cell>
          <cell r="Y74" t="str">
            <v>X</v>
          </cell>
          <cell r="Z74">
            <v>3</v>
          </cell>
          <cell r="AA74">
            <v>3</v>
          </cell>
          <cell r="AB74">
            <v>3</v>
          </cell>
          <cell r="AC74">
            <v>3</v>
          </cell>
          <cell r="AD74">
            <v>3</v>
          </cell>
          <cell r="AE74">
            <v>3</v>
          </cell>
          <cell r="AF74" t="str">
            <v>X</v>
          </cell>
        </row>
        <row r="75">
          <cell r="B75">
            <v>3</v>
          </cell>
          <cell r="C75">
            <v>3</v>
          </cell>
          <cell r="D75">
            <v>3</v>
          </cell>
          <cell r="E75">
            <v>3</v>
          </cell>
          <cell r="F75">
            <v>3</v>
          </cell>
          <cell r="G75">
            <v>3</v>
          </cell>
          <cell r="H75" t="str">
            <v>X</v>
          </cell>
          <cell r="I75" t="str">
            <v>X</v>
          </cell>
          <cell r="J75">
            <v>2</v>
          </cell>
          <cell r="K75">
            <v>2</v>
          </cell>
          <cell r="L75">
            <v>2</v>
          </cell>
          <cell r="M75">
            <v>2</v>
          </cell>
          <cell r="N75">
            <v>2</v>
          </cell>
          <cell r="O75">
            <v>2</v>
          </cell>
          <cell r="P75" t="str">
            <v>X</v>
          </cell>
          <cell r="Q75" t="str">
            <v>X</v>
          </cell>
          <cell r="R75">
            <v>1</v>
          </cell>
          <cell r="S75">
            <v>1</v>
          </cell>
          <cell r="T75">
            <v>1</v>
          </cell>
          <cell r="U75">
            <v>1</v>
          </cell>
          <cell r="V75">
            <v>1</v>
          </cell>
          <cell r="W75">
            <v>1</v>
          </cell>
          <cell r="X75" t="str">
            <v>X</v>
          </cell>
          <cell r="Y75" t="str">
            <v>X</v>
          </cell>
          <cell r="Z75">
            <v>3</v>
          </cell>
          <cell r="AA75">
            <v>3</v>
          </cell>
          <cell r="AB75">
            <v>3</v>
          </cell>
          <cell r="AC75">
            <v>3</v>
          </cell>
          <cell r="AD75">
            <v>3</v>
          </cell>
          <cell r="AE75">
            <v>3</v>
          </cell>
          <cell r="AF75" t="str">
            <v>X</v>
          </cell>
        </row>
        <row r="76">
          <cell r="B76">
            <v>3</v>
          </cell>
          <cell r="C76">
            <v>3</v>
          </cell>
          <cell r="D76" t="str">
            <v>+</v>
          </cell>
          <cell r="E76" t="str">
            <v>+</v>
          </cell>
          <cell r="F76" t="str">
            <v>szf</v>
          </cell>
          <cell r="G76" t="str">
            <v>szf</v>
          </cell>
          <cell r="H76" t="str">
            <v>X</v>
          </cell>
          <cell r="I76" t="str">
            <v>X</v>
          </cell>
          <cell r="J76">
            <v>2</v>
          </cell>
          <cell r="K76">
            <v>2</v>
          </cell>
          <cell r="L76">
            <v>2</v>
          </cell>
          <cell r="M76">
            <v>2</v>
          </cell>
          <cell r="N76">
            <v>2</v>
          </cell>
          <cell r="O76">
            <v>2</v>
          </cell>
          <cell r="P76" t="str">
            <v>X</v>
          </cell>
          <cell r="Q76" t="str">
            <v>X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 t="str">
            <v>X</v>
          </cell>
          <cell r="Y76" t="str">
            <v>X</v>
          </cell>
          <cell r="Z76">
            <v>3</v>
          </cell>
          <cell r="AA76">
            <v>3</v>
          </cell>
          <cell r="AB76">
            <v>3</v>
          </cell>
          <cell r="AC76">
            <v>3</v>
          </cell>
          <cell r="AD76">
            <v>3</v>
          </cell>
          <cell r="AE76">
            <v>3</v>
          </cell>
          <cell r="AF76" t="str">
            <v>X</v>
          </cell>
        </row>
        <row r="81">
          <cell r="B81" t="str">
            <v>X</v>
          </cell>
          <cell r="C81">
            <v>2</v>
          </cell>
          <cell r="D81">
            <v>2</v>
          </cell>
          <cell r="E81">
            <v>2</v>
          </cell>
          <cell r="F81">
            <v>2</v>
          </cell>
          <cell r="G81">
            <v>2</v>
          </cell>
          <cell r="H81">
            <v>2</v>
          </cell>
          <cell r="I81" t="str">
            <v>X</v>
          </cell>
          <cell r="J81" t="str">
            <v>X</v>
          </cell>
          <cell r="K81">
            <v>1</v>
          </cell>
          <cell r="L81">
            <v>1</v>
          </cell>
          <cell r="M81">
            <v>1</v>
          </cell>
          <cell r="N81">
            <v>1</v>
          </cell>
          <cell r="O81">
            <v>1</v>
          </cell>
          <cell r="P81">
            <v>1</v>
          </cell>
          <cell r="Q81" t="str">
            <v>X</v>
          </cell>
          <cell r="R81" t="str">
            <v>X</v>
          </cell>
          <cell r="S81">
            <v>3</v>
          </cell>
          <cell r="T81">
            <v>3</v>
          </cell>
          <cell r="U81">
            <v>3</v>
          </cell>
          <cell r="V81">
            <v>3</v>
          </cell>
          <cell r="W81">
            <v>3</v>
          </cell>
          <cell r="X81">
            <v>3</v>
          </cell>
          <cell r="Y81" t="str">
            <v>X</v>
          </cell>
          <cell r="Z81" t="str">
            <v>X</v>
          </cell>
          <cell r="AA81">
            <v>2</v>
          </cell>
          <cell r="AB81">
            <v>2</v>
          </cell>
          <cell r="AC81">
            <v>2</v>
          </cell>
          <cell r="AD81">
            <v>2</v>
          </cell>
          <cell r="AE81">
            <v>2</v>
          </cell>
          <cell r="AF81">
            <v>2</v>
          </cell>
        </row>
        <row r="82">
          <cell r="B82" t="str">
            <v>X</v>
          </cell>
          <cell r="C82">
            <v>2</v>
          </cell>
          <cell r="D82">
            <v>2</v>
          </cell>
          <cell r="E82">
            <v>2</v>
          </cell>
          <cell r="F82">
            <v>2</v>
          </cell>
          <cell r="G82">
            <v>2</v>
          </cell>
          <cell r="H82">
            <v>2</v>
          </cell>
          <cell r="I82" t="str">
            <v>X</v>
          </cell>
          <cell r="J82" t="str">
            <v>X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 t="str">
            <v>X</v>
          </cell>
          <cell r="R82" t="str">
            <v>X</v>
          </cell>
          <cell r="S82">
            <v>3</v>
          </cell>
          <cell r="T82">
            <v>3</v>
          </cell>
          <cell r="U82">
            <v>3</v>
          </cell>
          <cell r="V82">
            <v>3</v>
          </cell>
          <cell r="W82">
            <v>3</v>
          </cell>
          <cell r="X82">
            <v>3</v>
          </cell>
          <cell r="Y82" t="str">
            <v>X</v>
          </cell>
          <cell r="Z82" t="str">
            <v>X</v>
          </cell>
          <cell r="AA82">
            <v>2</v>
          </cell>
          <cell r="AB82">
            <v>2</v>
          </cell>
          <cell r="AC82">
            <v>2</v>
          </cell>
          <cell r="AD82">
            <v>2</v>
          </cell>
          <cell r="AE82">
            <v>2</v>
          </cell>
          <cell r="AF82">
            <v>2</v>
          </cell>
        </row>
        <row r="83">
          <cell r="B83" t="str">
            <v>X</v>
          </cell>
          <cell r="C83">
            <v>2</v>
          </cell>
          <cell r="D83">
            <v>2</v>
          </cell>
          <cell r="E83">
            <v>2</v>
          </cell>
          <cell r="F83">
            <v>2</v>
          </cell>
          <cell r="G83">
            <v>2</v>
          </cell>
          <cell r="H83">
            <v>2</v>
          </cell>
          <cell r="I83" t="str">
            <v>X</v>
          </cell>
          <cell r="J83" t="str">
            <v>X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 t="str">
            <v>X</v>
          </cell>
          <cell r="R83" t="str">
            <v>X</v>
          </cell>
          <cell r="S83">
            <v>3</v>
          </cell>
          <cell r="T83">
            <v>3</v>
          </cell>
          <cell r="U83">
            <v>3</v>
          </cell>
          <cell r="V83">
            <v>3</v>
          </cell>
          <cell r="W83">
            <v>3</v>
          </cell>
          <cell r="X83">
            <v>3</v>
          </cell>
          <cell r="Y83" t="str">
            <v>X</v>
          </cell>
          <cell r="Z83" t="str">
            <v>X</v>
          </cell>
          <cell r="AA83">
            <v>2</v>
          </cell>
          <cell r="AB83">
            <v>2</v>
          </cell>
          <cell r="AC83">
            <v>2</v>
          </cell>
          <cell r="AD83">
            <v>2</v>
          </cell>
          <cell r="AE83">
            <v>2</v>
          </cell>
          <cell r="AF83">
            <v>2</v>
          </cell>
        </row>
        <row r="84">
          <cell r="B84" t="str">
            <v>X</v>
          </cell>
          <cell r="C84">
            <v>2</v>
          </cell>
          <cell r="D84">
            <v>2</v>
          </cell>
          <cell r="E84">
            <v>2</v>
          </cell>
          <cell r="F84">
            <v>2</v>
          </cell>
          <cell r="G84">
            <v>2</v>
          </cell>
          <cell r="H84">
            <v>2</v>
          </cell>
          <cell r="I84" t="str">
            <v>X</v>
          </cell>
          <cell r="J84" t="str">
            <v>X</v>
          </cell>
          <cell r="K84">
            <v>1</v>
          </cell>
          <cell r="L84">
            <v>1</v>
          </cell>
          <cell r="M84">
            <v>1</v>
          </cell>
          <cell r="N84">
            <v>1</v>
          </cell>
          <cell r="O84">
            <v>1</v>
          </cell>
          <cell r="P84">
            <v>1</v>
          </cell>
          <cell r="Q84" t="str">
            <v>X</v>
          </cell>
          <cell r="R84" t="str">
            <v>X</v>
          </cell>
          <cell r="S84">
            <v>3</v>
          </cell>
          <cell r="T84">
            <v>3</v>
          </cell>
          <cell r="U84">
            <v>3</v>
          </cell>
          <cell r="V84">
            <v>3</v>
          </cell>
          <cell r="W84">
            <v>3</v>
          </cell>
          <cell r="X84">
            <v>3</v>
          </cell>
          <cell r="Y84" t="str">
            <v>X</v>
          </cell>
          <cell r="Z84" t="str">
            <v>X</v>
          </cell>
          <cell r="AA84">
            <v>2</v>
          </cell>
          <cell r="AB84">
            <v>2</v>
          </cell>
          <cell r="AC84">
            <v>2</v>
          </cell>
          <cell r="AD84">
            <v>2</v>
          </cell>
          <cell r="AE84">
            <v>2</v>
          </cell>
          <cell r="AF84">
            <v>2</v>
          </cell>
        </row>
        <row r="85">
          <cell r="B85" t="str">
            <v>X</v>
          </cell>
          <cell r="C85">
            <v>2</v>
          </cell>
          <cell r="D85">
            <v>2</v>
          </cell>
          <cell r="E85">
            <v>2</v>
          </cell>
          <cell r="F85">
            <v>2</v>
          </cell>
          <cell r="G85">
            <v>2</v>
          </cell>
          <cell r="H85">
            <v>2</v>
          </cell>
          <cell r="I85" t="str">
            <v>X</v>
          </cell>
          <cell r="J85" t="str">
            <v>X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 t="str">
            <v>X</v>
          </cell>
          <cell r="R85" t="str">
            <v>X</v>
          </cell>
          <cell r="S85">
            <v>3</v>
          </cell>
          <cell r="T85">
            <v>3</v>
          </cell>
          <cell r="U85">
            <v>3</v>
          </cell>
          <cell r="V85">
            <v>3</v>
          </cell>
          <cell r="W85">
            <v>3</v>
          </cell>
          <cell r="X85">
            <v>3</v>
          </cell>
          <cell r="Y85" t="str">
            <v>X</v>
          </cell>
          <cell r="Z85" t="str">
            <v>X</v>
          </cell>
          <cell r="AA85">
            <v>2</v>
          </cell>
          <cell r="AB85">
            <v>2</v>
          </cell>
          <cell r="AC85">
            <v>2</v>
          </cell>
          <cell r="AD85">
            <v>2</v>
          </cell>
          <cell r="AE85">
            <v>2</v>
          </cell>
          <cell r="AF85">
            <v>2</v>
          </cell>
        </row>
        <row r="86">
          <cell r="B86" t="str">
            <v>X</v>
          </cell>
          <cell r="C86">
            <v>2</v>
          </cell>
          <cell r="D86">
            <v>2</v>
          </cell>
          <cell r="E86">
            <v>2</v>
          </cell>
          <cell r="F86">
            <v>2</v>
          </cell>
          <cell r="G86">
            <v>2</v>
          </cell>
          <cell r="H86">
            <v>2</v>
          </cell>
          <cell r="I86" t="str">
            <v>X</v>
          </cell>
          <cell r="J86" t="str">
            <v>X</v>
          </cell>
          <cell r="K86">
            <v>1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1</v>
          </cell>
          <cell r="Q86" t="str">
            <v>X</v>
          </cell>
          <cell r="R86" t="str">
            <v>X</v>
          </cell>
          <cell r="S86">
            <v>3</v>
          </cell>
          <cell r="T86">
            <v>3</v>
          </cell>
          <cell r="U86">
            <v>3</v>
          </cell>
          <cell r="V86">
            <v>3</v>
          </cell>
          <cell r="W86">
            <v>3</v>
          </cell>
          <cell r="X86">
            <v>3</v>
          </cell>
          <cell r="Y86" t="str">
            <v>X</v>
          </cell>
          <cell r="Z86" t="str">
            <v>X</v>
          </cell>
          <cell r="AA86">
            <v>2</v>
          </cell>
          <cell r="AB86">
            <v>2</v>
          </cell>
          <cell r="AC86">
            <v>2</v>
          </cell>
          <cell r="AD86">
            <v>2</v>
          </cell>
          <cell r="AE86">
            <v>2</v>
          </cell>
          <cell r="AF86">
            <v>2</v>
          </cell>
        </row>
        <row r="87">
          <cell r="B87" t="str">
            <v>X</v>
          </cell>
          <cell r="C87">
            <v>2</v>
          </cell>
          <cell r="D87">
            <v>2</v>
          </cell>
          <cell r="E87">
            <v>2</v>
          </cell>
          <cell r="F87">
            <v>2</v>
          </cell>
          <cell r="G87">
            <v>2</v>
          </cell>
          <cell r="H87">
            <v>2</v>
          </cell>
          <cell r="I87" t="str">
            <v>X</v>
          </cell>
          <cell r="J87" t="str">
            <v>X</v>
          </cell>
          <cell r="K87">
            <v>1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1</v>
          </cell>
          <cell r="Q87" t="str">
            <v>X</v>
          </cell>
          <cell r="R87" t="str">
            <v>X</v>
          </cell>
          <cell r="S87">
            <v>3</v>
          </cell>
          <cell r="T87">
            <v>3</v>
          </cell>
          <cell r="U87">
            <v>3</v>
          </cell>
          <cell r="V87">
            <v>3</v>
          </cell>
          <cell r="W87">
            <v>3</v>
          </cell>
          <cell r="X87">
            <v>3</v>
          </cell>
          <cell r="Y87" t="str">
            <v>X</v>
          </cell>
          <cell r="Z87" t="str">
            <v>X</v>
          </cell>
          <cell r="AA87">
            <v>2</v>
          </cell>
          <cell r="AB87">
            <v>2</v>
          </cell>
          <cell r="AC87">
            <v>2</v>
          </cell>
          <cell r="AD87">
            <v>2</v>
          </cell>
          <cell r="AE87">
            <v>2</v>
          </cell>
          <cell r="AF87">
            <v>2</v>
          </cell>
        </row>
        <row r="92">
          <cell r="B92" t="str">
            <v>X</v>
          </cell>
          <cell r="C92" t="str">
            <v>X</v>
          </cell>
          <cell r="D92">
            <v>1</v>
          </cell>
          <cell r="E92">
            <v>1</v>
          </cell>
          <cell r="F92">
            <v>1</v>
          </cell>
          <cell r="G92">
            <v>1</v>
          </cell>
          <cell r="H92">
            <v>1</v>
          </cell>
          <cell r="I92">
            <v>1</v>
          </cell>
          <cell r="J92" t="str">
            <v>X</v>
          </cell>
          <cell r="K92" t="str">
            <v>X</v>
          </cell>
          <cell r="L92">
            <v>3</v>
          </cell>
          <cell r="M92">
            <v>3</v>
          </cell>
          <cell r="N92">
            <v>3</v>
          </cell>
          <cell r="O92">
            <v>3</v>
          </cell>
          <cell r="P92">
            <v>3</v>
          </cell>
          <cell r="Q92">
            <v>3</v>
          </cell>
          <cell r="R92" t="str">
            <v>X</v>
          </cell>
          <cell r="S92" t="str">
            <v>X</v>
          </cell>
          <cell r="T92">
            <v>2</v>
          </cell>
          <cell r="U92">
            <v>2</v>
          </cell>
          <cell r="V92">
            <v>2</v>
          </cell>
          <cell r="W92">
            <v>2</v>
          </cell>
          <cell r="X92">
            <v>2</v>
          </cell>
          <cell r="Y92">
            <v>2</v>
          </cell>
          <cell r="Z92" t="str">
            <v>X</v>
          </cell>
          <cell r="AA92" t="str">
            <v>X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</row>
        <row r="93">
          <cell r="B93" t="str">
            <v>X</v>
          </cell>
          <cell r="C93" t="str">
            <v>X</v>
          </cell>
          <cell r="D93">
            <v>1</v>
          </cell>
          <cell r="E93">
            <v>1</v>
          </cell>
          <cell r="F93">
            <v>1</v>
          </cell>
          <cell r="G93">
            <v>1</v>
          </cell>
          <cell r="H93">
            <v>1</v>
          </cell>
          <cell r="I93">
            <v>1</v>
          </cell>
          <cell r="J93" t="str">
            <v>X</v>
          </cell>
          <cell r="K93" t="str">
            <v>X</v>
          </cell>
          <cell r="L93">
            <v>3</v>
          </cell>
          <cell r="M93">
            <v>3</v>
          </cell>
          <cell r="N93">
            <v>3</v>
          </cell>
          <cell r="O93">
            <v>3</v>
          </cell>
          <cell r="P93">
            <v>3</v>
          </cell>
          <cell r="Q93">
            <v>3</v>
          </cell>
          <cell r="R93" t="str">
            <v>X</v>
          </cell>
          <cell r="S93" t="str">
            <v>X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 t="str">
            <v>X</v>
          </cell>
          <cell r="AA93" t="str">
            <v>X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</row>
        <row r="94">
          <cell r="B94" t="str">
            <v>X</v>
          </cell>
          <cell r="C94" t="str">
            <v>X</v>
          </cell>
          <cell r="D94">
            <v>1</v>
          </cell>
          <cell r="E94">
            <v>1</v>
          </cell>
          <cell r="F94">
            <v>1</v>
          </cell>
          <cell r="G94">
            <v>1</v>
          </cell>
          <cell r="H94">
            <v>1</v>
          </cell>
          <cell r="I94">
            <v>1</v>
          </cell>
          <cell r="J94" t="str">
            <v>X</v>
          </cell>
          <cell r="K94" t="str">
            <v>X</v>
          </cell>
          <cell r="L94">
            <v>3</v>
          </cell>
          <cell r="M94">
            <v>3</v>
          </cell>
          <cell r="N94">
            <v>3</v>
          </cell>
          <cell r="O94">
            <v>3</v>
          </cell>
          <cell r="P94">
            <v>3</v>
          </cell>
          <cell r="Q94">
            <v>3</v>
          </cell>
          <cell r="R94" t="str">
            <v>X</v>
          </cell>
          <cell r="S94" t="str">
            <v>X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 t="str">
            <v>X</v>
          </cell>
          <cell r="AA94" t="str">
            <v>X</v>
          </cell>
          <cell r="AB94">
            <v>1</v>
          </cell>
          <cell r="AC94">
            <v>1</v>
          </cell>
          <cell r="AD94">
            <v>1</v>
          </cell>
          <cell r="AE94">
            <v>1</v>
          </cell>
        </row>
        <row r="95">
          <cell r="B95" t="str">
            <v>X</v>
          </cell>
          <cell r="C95" t="str">
            <v>X</v>
          </cell>
          <cell r="D95">
            <v>1</v>
          </cell>
          <cell r="E95">
            <v>1</v>
          </cell>
          <cell r="F95">
            <v>1</v>
          </cell>
          <cell r="G95">
            <v>1</v>
          </cell>
          <cell r="H95">
            <v>1</v>
          </cell>
          <cell r="I95">
            <v>1</v>
          </cell>
          <cell r="J95" t="str">
            <v>X</v>
          </cell>
          <cell r="K95" t="str">
            <v>X</v>
          </cell>
          <cell r="L95">
            <v>3</v>
          </cell>
          <cell r="M95">
            <v>3</v>
          </cell>
          <cell r="N95">
            <v>3</v>
          </cell>
          <cell r="O95">
            <v>3</v>
          </cell>
          <cell r="P95">
            <v>3</v>
          </cell>
          <cell r="Q95">
            <v>3</v>
          </cell>
          <cell r="R95" t="str">
            <v>X</v>
          </cell>
          <cell r="S95" t="str">
            <v>X</v>
          </cell>
          <cell r="T95">
            <v>2</v>
          </cell>
          <cell r="U95">
            <v>2</v>
          </cell>
          <cell r="V95">
            <v>2</v>
          </cell>
          <cell r="W95">
            <v>2</v>
          </cell>
          <cell r="X95">
            <v>2</v>
          </cell>
          <cell r="Y95">
            <v>2</v>
          </cell>
          <cell r="Z95" t="str">
            <v>X</v>
          </cell>
          <cell r="AA95" t="str">
            <v>X</v>
          </cell>
          <cell r="AB95">
            <v>1</v>
          </cell>
          <cell r="AC95">
            <v>1</v>
          </cell>
          <cell r="AD95">
            <v>1</v>
          </cell>
          <cell r="AE95">
            <v>1</v>
          </cell>
        </row>
        <row r="96">
          <cell r="B96" t="str">
            <v>X</v>
          </cell>
          <cell r="C96" t="str">
            <v>X</v>
          </cell>
          <cell r="D96">
            <v>1</v>
          </cell>
          <cell r="E96">
            <v>1</v>
          </cell>
          <cell r="F96">
            <v>1</v>
          </cell>
          <cell r="G96">
            <v>1</v>
          </cell>
          <cell r="H96">
            <v>1</v>
          </cell>
          <cell r="I96">
            <v>1</v>
          </cell>
          <cell r="J96" t="str">
            <v>X</v>
          </cell>
          <cell r="K96" t="str">
            <v>X</v>
          </cell>
          <cell r="L96">
            <v>3</v>
          </cell>
          <cell r="M96">
            <v>3</v>
          </cell>
          <cell r="N96">
            <v>3</v>
          </cell>
          <cell r="O96">
            <v>3</v>
          </cell>
          <cell r="P96">
            <v>3</v>
          </cell>
          <cell r="Q96">
            <v>3</v>
          </cell>
          <cell r="R96" t="str">
            <v>X</v>
          </cell>
          <cell r="S96" t="str">
            <v>X</v>
          </cell>
          <cell r="T96">
            <v>2</v>
          </cell>
          <cell r="U96">
            <v>2</v>
          </cell>
          <cell r="V96">
            <v>2</v>
          </cell>
          <cell r="W96">
            <v>2</v>
          </cell>
          <cell r="X96">
            <v>2</v>
          </cell>
          <cell r="Y96">
            <v>2</v>
          </cell>
          <cell r="Z96" t="str">
            <v>X</v>
          </cell>
          <cell r="AA96" t="str">
            <v>X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</row>
        <row r="97">
          <cell r="B97" t="str">
            <v>X</v>
          </cell>
          <cell r="C97" t="str">
            <v>X</v>
          </cell>
          <cell r="D97">
            <v>1</v>
          </cell>
          <cell r="E97">
            <v>1</v>
          </cell>
          <cell r="F97">
            <v>1</v>
          </cell>
          <cell r="G97">
            <v>1</v>
          </cell>
          <cell r="H97">
            <v>1</v>
          </cell>
          <cell r="I97">
            <v>1</v>
          </cell>
          <cell r="J97" t="str">
            <v>X</v>
          </cell>
          <cell r="K97" t="str">
            <v>X</v>
          </cell>
          <cell r="L97">
            <v>3</v>
          </cell>
          <cell r="M97">
            <v>3</v>
          </cell>
          <cell r="N97">
            <v>3</v>
          </cell>
          <cell r="O97">
            <v>3</v>
          </cell>
          <cell r="P97">
            <v>3</v>
          </cell>
          <cell r="Q97">
            <v>3</v>
          </cell>
          <cell r="R97" t="str">
            <v>X</v>
          </cell>
          <cell r="S97" t="str">
            <v>X</v>
          </cell>
          <cell r="T97">
            <v>2</v>
          </cell>
          <cell r="U97">
            <v>2</v>
          </cell>
          <cell r="V97">
            <v>2</v>
          </cell>
          <cell r="W97">
            <v>2</v>
          </cell>
          <cell r="X97">
            <v>2</v>
          </cell>
          <cell r="Y97">
            <v>2</v>
          </cell>
          <cell r="Z97" t="str">
            <v>X</v>
          </cell>
          <cell r="AA97" t="str">
            <v>X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</row>
        <row r="98">
          <cell r="B98" t="str">
            <v>X</v>
          </cell>
          <cell r="C98" t="str">
            <v>X</v>
          </cell>
          <cell r="D98">
            <v>1</v>
          </cell>
          <cell r="E98">
            <v>1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 t="str">
            <v>X</v>
          </cell>
          <cell r="K98" t="str">
            <v>X</v>
          </cell>
          <cell r="L98">
            <v>3</v>
          </cell>
          <cell r="M98">
            <v>3</v>
          </cell>
          <cell r="N98">
            <v>3</v>
          </cell>
          <cell r="O98">
            <v>3</v>
          </cell>
          <cell r="P98">
            <v>3</v>
          </cell>
          <cell r="Q98">
            <v>3</v>
          </cell>
          <cell r="R98" t="str">
            <v>X</v>
          </cell>
          <cell r="S98" t="str">
            <v>X</v>
          </cell>
          <cell r="T98">
            <v>2</v>
          </cell>
          <cell r="U98">
            <v>2</v>
          </cell>
          <cell r="V98">
            <v>2</v>
          </cell>
          <cell r="W98">
            <v>2</v>
          </cell>
          <cell r="X98">
            <v>2</v>
          </cell>
          <cell r="Y98">
            <v>2</v>
          </cell>
          <cell r="Z98" t="str">
            <v>X</v>
          </cell>
          <cell r="AA98" t="str">
            <v>X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</row>
        <row r="103">
          <cell r="B103">
            <v>1</v>
          </cell>
          <cell r="C103">
            <v>1</v>
          </cell>
          <cell r="D103" t="str">
            <v>X</v>
          </cell>
          <cell r="E103" t="str">
            <v>X</v>
          </cell>
          <cell r="F103">
            <v>3</v>
          </cell>
          <cell r="G103">
            <v>3</v>
          </cell>
          <cell r="H103">
            <v>3</v>
          </cell>
          <cell r="I103">
            <v>3</v>
          </cell>
          <cell r="J103">
            <v>3</v>
          </cell>
          <cell r="K103">
            <v>3</v>
          </cell>
          <cell r="L103" t="str">
            <v>X</v>
          </cell>
          <cell r="M103" t="str">
            <v>X</v>
          </cell>
          <cell r="N103">
            <v>2</v>
          </cell>
          <cell r="O103">
            <v>2</v>
          </cell>
          <cell r="P103">
            <v>2</v>
          </cell>
          <cell r="Q103">
            <v>2</v>
          </cell>
          <cell r="R103">
            <v>2</v>
          </cell>
          <cell r="S103">
            <v>2</v>
          </cell>
          <cell r="T103" t="str">
            <v>X</v>
          </cell>
          <cell r="U103" t="str">
            <v>X</v>
          </cell>
          <cell r="V103">
            <v>1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  <cell r="AB103" t="str">
            <v>X</v>
          </cell>
          <cell r="AC103" t="str">
            <v>X</v>
          </cell>
          <cell r="AD103">
            <v>3</v>
          </cell>
          <cell r="AE103">
            <v>3</v>
          </cell>
          <cell r="AF103">
            <v>3</v>
          </cell>
        </row>
        <row r="104">
          <cell r="B104">
            <v>1</v>
          </cell>
          <cell r="C104">
            <v>1</v>
          </cell>
          <cell r="D104" t="str">
            <v>X</v>
          </cell>
          <cell r="E104" t="str">
            <v>X</v>
          </cell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 t="str">
            <v>X</v>
          </cell>
          <cell r="M104" t="str">
            <v>X</v>
          </cell>
          <cell r="N104">
            <v>2</v>
          </cell>
          <cell r="O104">
            <v>2</v>
          </cell>
          <cell r="P104">
            <v>2</v>
          </cell>
          <cell r="Q104">
            <v>2</v>
          </cell>
          <cell r="R104">
            <v>2</v>
          </cell>
          <cell r="S104">
            <v>2</v>
          </cell>
          <cell r="T104" t="str">
            <v>X</v>
          </cell>
          <cell r="U104" t="str">
            <v>X</v>
          </cell>
          <cell r="V104">
            <v>1</v>
          </cell>
          <cell r="W104">
            <v>1</v>
          </cell>
          <cell r="X104">
            <v>1</v>
          </cell>
          <cell r="Y104">
            <v>1</v>
          </cell>
          <cell r="Z104">
            <v>1</v>
          </cell>
          <cell r="AA104">
            <v>1</v>
          </cell>
          <cell r="AB104" t="str">
            <v>X</v>
          </cell>
          <cell r="AC104" t="str">
            <v>X</v>
          </cell>
          <cell r="AD104">
            <v>3</v>
          </cell>
          <cell r="AE104">
            <v>3</v>
          </cell>
          <cell r="AF104">
            <v>3</v>
          </cell>
        </row>
        <row r="105">
          <cell r="B105">
            <v>1</v>
          </cell>
          <cell r="C105">
            <v>1</v>
          </cell>
          <cell r="D105" t="str">
            <v>X</v>
          </cell>
          <cell r="E105" t="str">
            <v>X</v>
          </cell>
          <cell r="F105">
            <v>3</v>
          </cell>
          <cell r="G105">
            <v>3</v>
          </cell>
          <cell r="H105">
            <v>3</v>
          </cell>
          <cell r="I105">
            <v>3</v>
          </cell>
          <cell r="J105">
            <v>3</v>
          </cell>
          <cell r="K105">
            <v>3</v>
          </cell>
          <cell r="L105" t="str">
            <v>X</v>
          </cell>
          <cell r="M105" t="str">
            <v>X</v>
          </cell>
          <cell r="N105">
            <v>2</v>
          </cell>
          <cell r="O105">
            <v>2</v>
          </cell>
          <cell r="P105">
            <v>2</v>
          </cell>
          <cell r="Q105">
            <v>2</v>
          </cell>
          <cell r="R105">
            <v>2</v>
          </cell>
          <cell r="S105">
            <v>2</v>
          </cell>
          <cell r="T105" t="str">
            <v>X</v>
          </cell>
          <cell r="U105" t="str">
            <v>X</v>
          </cell>
          <cell r="V105">
            <v>1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  <cell r="AB105" t="str">
            <v>X</v>
          </cell>
          <cell r="AC105" t="str">
            <v>X</v>
          </cell>
          <cell r="AD105">
            <v>3</v>
          </cell>
          <cell r="AE105">
            <v>3</v>
          </cell>
          <cell r="AF105">
            <v>3</v>
          </cell>
        </row>
        <row r="106">
          <cell r="B106">
            <v>1</v>
          </cell>
          <cell r="C106">
            <v>1</v>
          </cell>
          <cell r="D106" t="str">
            <v>X</v>
          </cell>
          <cell r="E106" t="str">
            <v>X</v>
          </cell>
          <cell r="F106">
            <v>3</v>
          </cell>
          <cell r="G106">
            <v>3</v>
          </cell>
          <cell r="H106">
            <v>3</v>
          </cell>
          <cell r="I106">
            <v>3</v>
          </cell>
          <cell r="J106">
            <v>3</v>
          </cell>
          <cell r="K106">
            <v>3</v>
          </cell>
          <cell r="L106" t="str">
            <v>X</v>
          </cell>
          <cell r="M106" t="str">
            <v>X</v>
          </cell>
          <cell r="N106">
            <v>2</v>
          </cell>
          <cell r="O106">
            <v>2</v>
          </cell>
          <cell r="P106">
            <v>2</v>
          </cell>
          <cell r="Q106">
            <v>2</v>
          </cell>
          <cell r="R106">
            <v>2</v>
          </cell>
          <cell r="S106">
            <v>2</v>
          </cell>
          <cell r="T106" t="str">
            <v>X</v>
          </cell>
          <cell r="U106" t="str">
            <v>X</v>
          </cell>
          <cell r="V106">
            <v>1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1</v>
          </cell>
          <cell r="AB106" t="str">
            <v>X</v>
          </cell>
          <cell r="AC106" t="str">
            <v>X</v>
          </cell>
          <cell r="AD106">
            <v>3</v>
          </cell>
          <cell r="AE106">
            <v>3</v>
          </cell>
          <cell r="AF106">
            <v>3</v>
          </cell>
        </row>
        <row r="107">
          <cell r="B107">
            <v>1</v>
          </cell>
          <cell r="C107">
            <v>1</v>
          </cell>
          <cell r="D107" t="str">
            <v>X</v>
          </cell>
          <cell r="E107" t="str">
            <v>X</v>
          </cell>
          <cell r="F107">
            <v>3</v>
          </cell>
          <cell r="G107">
            <v>3</v>
          </cell>
          <cell r="H107">
            <v>3</v>
          </cell>
          <cell r="I107">
            <v>3</v>
          </cell>
          <cell r="J107">
            <v>3</v>
          </cell>
          <cell r="K107">
            <v>3</v>
          </cell>
          <cell r="L107" t="str">
            <v>X</v>
          </cell>
          <cell r="M107" t="str">
            <v>X</v>
          </cell>
          <cell r="N107">
            <v>2</v>
          </cell>
          <cell r="O107">
            <v>2</v>
          </cell>
          <cell r="P107">
            <v>2</v>
          </cell>
          <cell r="Q107">
            <v>2</v>
          </cell>
          <cell r="R107">
            <v>2</v>
          </cell>
          <cell r="S107">
            <v>2</v>
          </cell>
          <cell r="T107" t="str">
            <v>X</v>
          </cell>
          <cell r="U107" t="str">
            <v>X</v>
          </cell>
          <cell r="V107">
            <v>1</v>
          </cell>
          <cell r="W107">
            <v>1</v>
          </cell>
          <cell r="X107">
            <v>1</v>
          </cell>
          <cell r="Y107">
            <v>1</v>
          </cell>
          <cell r="Z107">
            <v>1</v>
          </cell>
          <cell r="AA107">
            <v>1</v>
          </cell>
          <cell r="AB107" t="str">
            <v>X</v>
          </cell>
          <cell r="AC107" t="str">
            <v>X</v>
          </cell>
          <cell r="AD107">
            <v>3</v>
          </cell>
          <cell r="AE107">
            <v>3</v>
          </cell>
          <cell r="AF107">
            <v>3</v>
          </cell>
        </row>
        <row r="108">
          <cell r="B108">
            <v>1</v>
          </cell>
          <cell r="C108">
            <v>1</v>
          </cell>
          <cell r="D108" t="str">
            <v>X</v>
          </cell>
          <cell r="E108" t="str">
            <v>X</v>
          </cell>
          <cell r="F108">
            <v>3</v>
          </cell>
          <cell r="G108">
            <v>3</v>
          </cell>
          <cell r="H108">
            <v>3</v>
          </cell>
          <cell r="I108">
            <v>3</v>
          </cell>
          <cell r="J108">
            <v>3</v>
          </cell>
          <cell r="K108">
            <v>3</v>
          </cell>
          <cell r="L108" t="str">
            <v>X</v>
          </cell>
          <cell r="M108" t="str">
            <v>X</v>
          </cell>
          <cell r="N108">
            <v>2</v>
          </cell>
          <cell r="O108">
            <v>2</v>
          </cell>
          <cell r="P108">
            <v>2</v>
          </cell>
          <cell r="Q108">
            <v>2</v>
          </cell>
          <cell r="R108">
            <v>2</v>
          </cell>
          <cell r="S108">
            <v>2</v>
          </cell>
          <cell r="T108" t="str">
            <v>X</v>
          </cell>
          <cell r="U108" t="str">
            <v>X</v>
          </cell>
          <cell r="V108">
            <v>1</v>
          </cell>
          <cell r="W108">
            <v>1</v>
          </cell>
          <cell r="X108">
            <v>1</v>
          </cell>
          <cell r="Y108">
            <v>1</v>
          </cell>
          <cell r="Z108">
            <v>1</v>
          </cell>
          <cell r="AA108">
            <v>1</v>
          </cell>
          <cell r="AB108" t="str">
            <v>X</v>
          </cell>
          <cell r="AC108" t="str">
            <v>X</v>
          </cell>
          <cell r="AD108">
            <v>3</v>
          </cell>
          <cell r="AE108">
            <v>3</v>
          </cell>
          <cell r="AF108">
            <v>3</v>
          </cell>
        </row>
        <row r="109">
          <cell r="B109">
            <v>1</v>
          </cell>
          <cell r="C109">
            <v>1</v>
          </cell>
          <cell r="D109" t="str">
            <v>X</v>
          </cell>
          <cell r="E109" t="str">
            <v>X</v>
          </cell>
          <cell r="F109">
            <v>3</v>
          </cell>
          <cell r="G109">
            <v>3</v>
          </cell>
          <cell r="H109">
            <v>3</v>
          </cell>
          <cell r="I109">
            <v>3</v>
          </cell>
          <cell r="J109">
            <v>3</v>
          </cell>
          <cell r="K109">
            <v>3</v>
          </cell>
          <cell r="L109" t="str">
            <v>X</v>
          </cell>
          <cell r="M109" t="str">
            <v>X</v>
          </cell>
          <cell r="N109">
            <v>2</v>
          </cell>
          <cell r="O109">
            <v>2</v>
          </cell>
          <cell r="P109">
            <v>2</v>
          </cell>
          <cell r="Q109">
            <v>2</v>
          </cell>
          <cell r="R109">
            <v>2</v>
          </cell>
          <cell r="S109">
            <v>2</v>
          </cell>
          <cell r="T109" t="str">
            <v>X</v>
          </cell>
          <cell r="U109" t="str">
            <v>X</v>
          </cell>
          <cell r="V109">
            <v>1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1</v>
          </cell>
          <cell r="AB109" t="str">
            <v>X</v>
          </cell>
          <cell r="AC109" t="str">
            <v>X</v>
          </cell>
          <cell r="AD109">
            <v>3</v>
          </cell>
          <cell r="AE109">
            <v>3</v>
          </cell>
          <cell r="AF109">
            <v>3</v>
          </cell>
        </row>
        <row r="114">
          <cell r="B114">
            <v>3</v>
          </cell>
          <cell r="C114">
            <v>3</v>
          </cell>
          <cell r="D114">
            <v>3</v>
          </cell>
          <cell r="E114" t="str">
            <v>X</v>
          </cell>
          <cell r="F114" t="str">
            <v>X</v>
          </cell>
          <cell r="G114">
            <v>2</v>
          </cell>
          <cell r="H114">
            <v>2</v>
          </cell>
          <cell r="I114">
            <v>2</v>
          </cell>
          <cell r="J114">
            <v>2</v>
          </cell>
          <cell r="K114">
            <v>2</v>
          </cell>
          <cell r="L114">
            <v>2</v>
          </cell>
          <cell r="M114" t="str">
            <v>X</v>
          </cell>
          <cell r="N114" t="str">
            <v>X</v>
          </cell>
          <cell r="O114">
            <v>1</v>
          </cell>
          <cell r="P114">
            <v>1</v>
          </cell>
          <cell r="Q114">
            <v>1</v>
          </cell>
          <cell r="R114">
            <v>1</v>
          </cell>
          <cell r="S114">
            <v>1</v>
          </cell>
          <cell r="T114">
            <v>1</v>
          </cell>
          <cell r="U114" t="str">
            <v>X</v>
          </cell>
          <cell r="V114" t="str">
            <v>X</v>
          </cell>
          <cell r="W114">
            <v>3</v>
          </cell>
          <cell r="X114">
            <v>3</v>
          </cell>
          <cell r="Y114">
            <v>3</v>
          </cell>
          <cell r="Z114">
            <v>3</v>
          </cell>
          <cell r="AA114">
            <v>3</v>
          </cell>
          <cell r="AB114">
            <v>3</v>
          </cell>
          <cell r="AC114" t="str">
            <v>X</v>
          </cell>
          <cell r="AD114" t="str">
            <v>X</v>
          </cell>
          <cell r="AE114">
            <v>2</v>
          </cell>
        </row>
        <row r="115">
          <cell r="B115">
            <v>3</v>
          </cell>
          <cell r="C115">
            <v>3</v>
          </cell>
          <cell r="D115">
            <v>3</v>
          </cell>
          <cell r="E115" t="str">
            <v>X</v>
          </cell>
          <cell r="F115" t="str">
            <v>X</v>
          </cell>
          <cell r="G115">
            <v>2</v>
          </cell>
          <cell r="H115">
            <v>2</v>
          </cell>
          <cell r="I115">
            <v>2</v>
          </cell>
          <cell r="J115">
            <v>2</v>
          </cell>
          <cell r="K115">
            <v>2</v>
          </cell>
          <cell r="L115">
            <v>2</v>
          </cell>
          <cell r="M115" t="str">
            <v>X</v>
          </cell>
          <cell r="N115" t="str">
            <v>X</v>
          </cell>
          <cell r="O115">
            <v>1</v>
          </cell>
          <cell r="P115">
            <v>1</v>
          </cell>
          <cell r="Q115">
            <v>1</v>
          </cell>
          <cell r="R115">
            <v>1</v>
          </cell>
          <cell r="S115">
            <v>1</v>
          </cell>
          <cell r="T115">
            <v>1</v>
          </cell>
          <cell r="U115" t="str">
            <v>X</v>
          </cell>
          <cell r="V115" t="str">
            <v>X</v>
          </cell>
          <cell r="W115">
            <v>3</v>
          </cell>
          <cell r="X115">
            <v>3</v>
          </cell>
          <cell r="Y115">
            <v>3</v>
          </cell>
          <cell r="Z115">
            <v>3</v>
          </cell>
          <cell r="AA115">
            <v>3</v>
          </cell>
          <cell r="AB115">
            <v>3</v>
          </cell>
          <cell r="AC115" t="str">
            <v>X</v>
          </cell>
          <cell r="AD115" t="str">
            <v>X</v>
          </cell>
          <cell r="AE115">
            <v>2</v>
          </cell>
        </row>
        <row r="116">
          <cell r="B116">
            <v>3</v>
          </cell>
          <cell r="C116">
            <v>3</v>
          </cell>
          <cell r="D116">
            <v>3</v>
          </cell>
          <cell r="E116" t="str">
            <v>X</v>
          </cell>
          <cell r="F116" t="str">
            <v>X</v>
          </cell>
          <cell r="G116">
            <v>2</v>
          </cell>
          <cell r="H116">
            <v>2</v>
          </cell>
          <cell r="I116">
            <v>2</v>
          </cell>
          <cell r="J116">
            <v>2</v>
          </cell>
          <cell r="K116">
            <v>2</v>
          </cell>
          <cell r="L116">
            <v>2</v>
          </cell>
          <cell r="M116" t="str">
            <v>X</v>
          </cell>
          <cell r="N116" t="str">
            <v>X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 t="str">
            <v>X</v>
          </cell>
          <cell r="V116" t="str">
            <v>X</v>
          </cell>
          <cell r="W116">
            <v>3</v>
          </cell>
          <cell r="X116">
            <v>3</v>
          </cell>
          <cell r="Y116">
            <v>3</v>
          </cell>
          <cell r="Z116">
            <v>3</v>
          </cell>
          <cell r="AA116">
            <v>3</v>
          </cell>
          <cell r="AB116">
            <v>3</v>
          </cell>
          <cell r="AC116" t="str">
            <v>X</v>
          </cell>
          <cell r="AD116" t="str">
            <v>X</v>
          </cell>
          <cell r="AE116">
            <v>2</v>
          </cell>
        </row>
        <row r="117">
          <cell r="B117">
            <v>3</v>
          </cell>
          <cell r="C117">
            <v>3</v>
          </cell>
          <cell r="D117">
            <v>3</v>
          </cell>
          <cell r="E117" t="str">
            <v>X</v>
          </cell>
          <cell r="F117" t="str">
            <v>X</v>
          </cell>
          <cell r="G117">
            <v>2</v>
          </cell>
          <cell r="H117">
            <v>2</v>
          </cell>
          <cell r="I117">
            <v>2</v>
          </cell>
          <cell r="J117">
            <v>2</v>
          </cell>
          <cell r="K117">
            <v>2</v>
          </cell>
          <cell r="L117">
            <v>2</v>
          </cell>
          <cell r="M117" t="str">
            <v>X</v>
          </cell>
          <cell r="N117" t="str">
            <v>X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 t="str">
            <v>X</v>
          </cell>
          <cell r="V117" t="str">
            <v>X</v>
          </cell>
          <cell r="W117">
            <v>3</v>
          </cell>
          <cell r="X117">
            <v>3</v>
          </cell>
          <cell r="Y117">
            <v>3</v>
          </cell>
          <cell r="Z117">
            <v>3</v>
          </cell>
          <cell r="AA117">
            <v>3</v>
          </cell>
          <cell r="AB117">
            <v>3</v>
          </cell>
          <cell r="AC117" t="str">
            <v>X</v>
          </cell>
          <cell r="AD117" t="str">
            <v>X</v>
          </cell>
          <cell r="AE117">
            <v>2</v>
          </cell>
        </row>
        <row r="118">
          <cell r="B118">
            <v>3</v>
          </cell>
          <cell r="C118">
            <v>3</v>
          </cell>
          <cell r="D118">
            <v>3</v>
          </cell>
          <cell r="E118" t="str">
            <v>X</v>
          </cell>
          <cell r="F118" t="str">
            <v>X</v>
          </cell>
          <cell r="G118">
            <v>2</v>
          </cell>
          <cell r="H118">
            <v>2</v>
          </cell>
          <cell r="I118">
            <v>2</v>
          </cell>
          <cell r="J118">
            <v>2</v>
          </cell>
          <cell r="K118">
            <v>2</v>
          </cell>
          <cell r="L118">
            <v>2</v>
          </cell>
          <cell r="M118" t="str">
            <v>X</v>
          </cell>
          <cell r="N118" t="str">
            <v>X</v>
          </cell>
          <cell r="O118">
            <v>1</v>
          </cell>
          <cell r="P118">
            <v>1</v>
          </cell>
          <cell r="Q118">
            <v>1</v>
          </cell>
          <cell r="R118">
            <v>1</v>
          </cell>
          <cell r="S118">
            <v>1</v>
          </cell>
          <cell r="T118">
            <v>1</v>
          </cell>
          <cell r="U118" t="str">
            <v>X</v>
          </cell>
          <cell r="V118" t="str">
            <v>X</v>
          </cell>
          <cell r="W118">
            <v>3</v>
          </cell>
          <cell r="X118">
            <v>3</v>
          </cell>
          <cell r="Y118">
            <v>3</v>
          </cell>
          <cell r="Z118">
            <v>3</v>
          </cell>
          <cell r="AA118">
            <v>3</v>
          </cell>
          <cell r="AB118">
            <v>3</v>
          </cell>
          <cell r="AC118" t="str">
            <v>X</v>
          </cell>
          <cell r="AD118" t="str">
            <v>X</v>
          </cell>
          <cell r="AE118">
            <v>2</v>
          </cell>
        </row>
        <row r="119">
          <cell r="B119">
            <v>3</v>
          </cell>
          <cell r="C119">
            <v>3</v>
          </cell>
          <cell r="D119">
            <v>3</v>
          </cell>
          <cell r="E119" t="str">
            <v>X</v>
          </cell>
          <cell r="F119" t="str">
            <v>X</v>
          </cell>
          <cell r="G119">
            <v>2</v>
          </cell>
          <cell r="H119">
            <v>2</v>
          </cell>
          <cell r="I119">
            <v>2</v>
          </cell>
          <cell r="J119">
            <v>2</v>
          </cell>
          <cell r="K119">
            <v>2</v>
          </cell>
          <cell r="L119">
            <v>2</v>
          </cell>
          <cell r="M119" t="str">
            <v>X</v>
          </cell>
          <cell r="N119" t="str">
            <v>X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 t="str">
            <v>X</v>
          </cell>
          <cell r="V119" t="str">
            <v>X</v>
          </cell>
          <cell r="W119">
            <v>3</v>
          </cell>
          <cell r="X119">
            <v>3</v>
          </cell>
          <cell r="Y119">
            <v>3</v>
          </cell>
          <cell r="Z119">
            <v>3</v>
          </cell>
          <cell r="AA119">
            <v>3</v>
          </cell>
          <cell r="AB119">
            <v>3</v>
          </cell>
          <cell r="AC119" t="str">
            <v>X</v>
          </cell>
          <cell r="AD119" t="str">
            <v>X</v>
          </cell>
          <cell r="AE119">
            <v>2</v>
          </cell>
        </row>
        <row r="120">
          <cell r="B120">
            <v>3</v>
          </cell>
          <cell r="C120">
            <v>3</v>
          </cell>
          <cell r="D120">
            <v>3</v>
          </cell>
          <cell r="E120" t="str">
            <v>X</v>
          </cell>
          <cell r="F120" t="str">
            <v>X</v>
          </cell>
          <cell r="G120">
            <v>2</v>
          </cell>
          <cell r="H120">
            <v>2</v>
          </cell>
          <cell r="I120">
            <v>2</v>
          </cell>
          <cell r="J120">
            <v>2</v>
          </cell>
          <cell r="K120">
            <v>2</v>
          </cell>
          <cell r="L120">
            <v>2</v>
          </cell>
          <cell r="M120" t="str">
            <v>X</v>
          </cell>
          <cell r="N120" t="str">
            <v>X</v>
          </cell>
          <cell r="O120">
            <v>1</v>
          </cell>
          <cell r="P120">
            <v>1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U120" t="str">
            <v>X</v>
          </cell>
          <cell r="V120" t="str">
            <v>X</v>
          </cell>
          <cell r="W120">
            <v>3</v>
          </cell>
          <cell r="X120">
            <v>3</v>
          </cell>
          <cell r="Y120">
            <v>3</v>
          </cell>
          <cell r="Z120">
            <v>3</v>
          </cell>
          <cell r="AA120">
            <v>3</v>
          </cell>
          <cell r="AB120">
            <v>3</v>
          </cell>
          <cell r="AC120" t="str">
            <v>X</v>
          </cell>
          <cell r="AD120" t="str">
            <v>X</v>
          </cell>
          <cell r="AE120">
            <v>2</v>
          </cell>
        </row>
        <row r="125">
          <cell r="B125">
            <v>2</v>
          </cell>
          <cell r="C125">
            <v>2</v>
          </cell>
          <cell r="D125">
            <v>2</v>
          </cell>
          <cell r="E125">
            <v>2</v>
          </cell>
          <cell r="F125">
            <v>2</v>
          </cell>
          <cell r="G125" t="str">
            <v>X</v>
          </cell>
          <cell r="H125" t="str">
            <v>X</v>
          </cell>
          <cell r="I125">
            <v>1</v>
          </cell>
          <cell r="J125">
            <v>1</v>
          </cell>
          <cell r="K125">
            <v>1</v>
          </cell>
          <cell r="L125">
            <v>1</v>
          </cell>
          <cell r="M125">
            <v>1</v>
          </cell>
          <cell r="N125">
            <v>1</v>
          </cell>
          <cell r="O125" t="str">
            <v>X</v>
          </cell>
          <cell r="P125" t="str">
            <v>X</v>
          </cell>
          <cell r="Q125">
            <v>3</v>
          </cell>
          <cell r="R125">
            <v>3</v>
          </cell>
          <cell r="S125">
            <v>3</v>
          </cell>
          <cell r="T125">
            <v>3</v>
          </cell>
          <cell r="U125">
            <v>3</v>
          </cell>
          <cell r="V125">
            <v>3</v>
          </cell>
          <cell r="W125" t="str">
            <v>X</v>
          </cell>
          <cell r="X125" t="str">
            <v>X</v>
          </cell>
          <cell r="Y125">
            <v>2</v>
          </cell>
          <cell r="Z125">
            <v>2</v>
          </cell>
          <cell r="AA125">
            <v>2</v>
          </cell>
          <cell r="AB125">
            <v>2</v>
          </cell>
          <cell r="AC125">
            <v>2</v>
          </cell>
          <cell r="AD125">
            <v>2</v>
          </cell>
          <cell r="AE125" t="str">
            <v>X</v>
          </cell>
          <cell r="AF125" t="str">
            <v>X</v>
          </cell>
        </row>
        <row r="126">
          <cell r="B126">
            <v>2</v>
          </cell>
          <cell r="C126">
            <v>2</v>
          </cell>
          <cell r="D126">
            <v>2</v>
          </cell>
          <cell r="E126">
            <v>2</v>
          </cell>
          <cell r="F126">
            <v>2</v>
          </cell>
          <cell r="G126" t="str">
            <v>X</v>
          </cell>
          <cell r="H126" t="str">
            <v>X</v>
          </cell>
          <cell r="I126">
            <v>1</v>
          </cell>
          <cell r="J126">
            <v>1</v>
          </cell>
          <cell r="K126">
            <v>1</v>
          </cell>
          <cell r="L126">
            <v>1</v>
          </cell>
          <cell r="M126">
            <v>1</v>
          </cell>
          <cell r="N126">
            <v>1</v>
          </cell>
          <cell r="O126" t="str">
            <v>X</v>
          </cell>
          <cell r="P126" t="str">
            <v>X</v>
          </cell>
          <cell r="Q126">
            <v>3</v>
          </cell>
          <cell r="R126">
            <v>3</v>
          </cell>
          <cell r="S126">
            <v>3</v>
          </cell>
          <cell r="T126">
            <v>3</v>
          </cell>
          <cell r="U126">
            <v>3</v>
          </cell>
          <cell r="V126">
            <v>3</v>
          </cell>
          <cell r="W126" t="str">
            <v>X</v>
          </cell>
          <cell r="X126" t="str">
            <v>X</v>
          </cell>
          <cell r="Y126">
            <v>2</v>
          </cell>
          <cell r="Z126">
            <v>2</v>
          </cell>
          <cell r="AA126">
            <v>2</v>
          </cell>
          <cell r="AB126">
            <v>2</v>
          </cell>
          <cell r="AC126">
            <v>2</v>
          </cell>
          <cell r="AD126">
            <v>2</v>
          </cell>
          <cell r="AE126" t="str">
            <v>X</v>
          </cell>
          <cell r="AF126" t="str">
            <v>X</v>
          </cell>
        </row>
        <row r="127">
          <cell r="B127">
            <v>2</v>
          </cell>
          <cell r="C127">
            <v>2</v>
          </cell>
          <cell r="D127">
            <v>2</v>
          </cell>
          <cell r="E127">
            <v>2</v>
          </cell>
          <cell r="F127">
            <v>2</v>
          </cell>
          <cell r="G127" t="str">
            <v>X</v>
          </cell>
          <cell r="H127" t="str">
            <v>X</v>
          </cell>
          <cell r="I127">
            <v>1</v>
          </cell>
          <cell r="J127">
            <v>1</v>
          </cell>
          <cell r="K127">
            <v>1</v>
          </cell>
          <cell r="L127">
            <v>1</v>
          </cell>
          <cell r="M127">
            <v>1</v>
          </cell>
          <cell r="N127">
            <v>1</v>
          </cell>
          <cell r="O127" t="str">
            <v>X</v>
          </cell>
          <cell r="P127" t="str">
            <v>X</v>
          </cell>
          <cell r="Q127">
            <v>3</v>
          </cell>
          <cell r="R127">
            <v>3</v>
          </cell>
          <cell r="S127">
            <v>3</v>
          </cell>
          <cell r="T127">
            <v>3</v>
          </cell>
          <cell r="U127">
            <v>3</v>
          </cell>
          <cell r="V127">
            <v>3</v>
          </cell>
          <cell r="W127" t="str">
            <v>X</v>
          </cell>
          <cell r="X127" t="str">
            <v>X</v>
          </cell>
          <cell r="Y127">
            <v>2</v>
          </cell>
          <cell r="Z127">
            <v>2</v>
          </cell>
          <cell r="AA127">
            <v>2</v>
          </cell>
          <cell r="AB127">
            <v>2</v>
          </cell>
          <cell r="AC127">
            <v>2</v>
          </cell>
          <cell r="AD127">
            <v>2</v>
          </cell>
          <cell r="AE127" t="str">
            <v>X</v>
          </cell>
          <cell r="AF127" t="str">
            <v>X</v>
          </cell>
        </row>
        <row r="128">
          <cell r="B128">
            <v>2</v>
          </cell>
          <cell r="C128">
            <v>2</v>
          </cell>
          <cell r="D128">
            <v>2</v>
          </cell>
          <cell r="E128">
            <v>2</v>
          </cell>
          <cell r="F128">
            <v>2</v>
          </cell>
          <cell r="G128" t="str">
            <v>X</v>
          </cell>
          <cell r="H128" t="str">
            <v>X</v>
          </cell>
          <cell r="I128">
            <v>1</v>
          </cell>
          <cell r="J128">
            <v>1</v>
          </cell>
          <cell r="K128">
            <v>1</v>
          </cell>
          <cell r="L128">
            <v>1</v>
          </cell>
          <cell r="M128">
            <v>1</v>
          </cell>
          <cell r="N128">
            <v>1</v>
          </cell>
          <cell r="O128" t="str">
            <v>X</v>
          </cell>
          <cell r="P128" t="str">
            <v>X</v>
          </cell>
          <cell r="Q128">
            <v>3</v>
          </cell>
          <cell r="R128">
            <v>3</v>
          </cell>
          <cell r="S128">
            <v>3</v>
          </cell>
          <cell r="T128">
            <v>3</v>
          </cell>
          <cell r="U128">
            <v>3</v>
          </cell>
          <cell r="V128">
            <v>3</v>
          </cell>
          <cell r="W128" t="str">
            <v>X</v>
          </cell>
          <cell r="X128" t="str">
            <v>X</v>
          </cell>
          <cell r="Y128">
            <v>2</v>
          </cell>
          <cell r="Z128">
            <v>2</v>
          </cell>
          <cell r="AA128">
            <v>2</v>
          </cell>
          <cell r="AB128">
            <v>2</v>
          </cell>
          <cell r="AC128">
            <v>2</v>
          </cell>
          <cell r="AD128">
            <v>2</v>
          </cell>
          <cell r="AE128" t="str">
            <v>X</v>
          </cell>
          <cell r="AF128" t="str">
            <v>X</v>
          </cell>
        </row>
        <row r="129">
          <cell r="B129">
            <v>2</v>
          </cell>
          <cell r="C129">
            <v>2</v>
          </cell>
          <cell r="D129">
            <v>2</v>
          </cell>
          <cell r="E129">
            <v>2</v>
          </cell>
          <cell r="F129">
            <v>2</v>
          </cell>
          <cell r="G129" t="str">
            <v>X</v>
          </cell>
          <cell r="H129" t="str">
            <v>X</v>
          </cell>
          <cell r="I129">
            <v>1</v>
          </cell>
          <cell r="J129">
            <v>1</v>
          </cell>
          <cell r="K129">
            <v>1</v>
          </cell>
          <cell r="L129">
            <v>1</v>
          </cell>
          <cell r="M129">
            <v>1</v>
          </cell>
          <cell r="N129">
            <v>1</v>
          </cell>
          <cell r="O129" t="str">
            <v>X</v>
          </cell>
          <cell r="P129" t="str">
            <v>X</v>
          </cell>
          <cell r="Q129">
            <v>3</v>
          </cell>
          <cell r="R129">
            <v>3</v>
          </cell>
          <cell r="S129">
            <v>3</v>
          </cell>
          <cell r="T129">
            <v>3</v>
          </cell>
          <cell r="U129">
            <v>3</v>
          </cell>
          <cell r="V129">
            <v>3</v>
          </cell>
          <cell r="W129" t="str">
            <v>X</v>
          </cell>
          <cell r="X129" t="str">
            <v>X</v>
          </cell>
          <cell r="Y129">
            <v>2</v>
          </cell>
          <cell r="Z129">
            <v>2</v>
          </cell>
          <cell r="AA129">
            <v>2</v>
          </cell>
          <cell r="AB129">
            <v>2</v>
          </cell>
          <cell r="AC129">
            <v>2</v>
          </cell>
          <cell r="AD129">
            <v>2</v>
          </cell>
          <cell r="AE129" t="str">
            <v>X</v>
          </cell>
          <cell r="AF129" t="str">
            <v>X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 t="str">
            <v>X</v>
          </cell>
          <cell r="H130" t="str">
            <v>X</v>
          </cell>
          <cell r="I130">
            <v>1</v>
          </cell>
          <cell r="J130">
            <v>1</v>
          </cell>
          <cell r="K130">
            <v>1</v>
          </cell>
          <cell r="L130">
            <v>1</v>
          </cell>
          <cell r="M130">
            <v>1</v>
          </cell>
          <cell r="N130">
            <v>1</v>
          </cell>
          <cell r="O130" t="str">
            <v>X</v>
          </cell>
          <cell r="P130" t="str">
            <v>X</v>
          </cell>
          <cell r="Q130">
            <v>3</v>
          </cell>
          <cell r="R130">
            <v>3</v>
          </cell>
          <cell r="S130">
            <v>3</v>
          </cell>
          <cell r="T130">
            <v>3</v>
          </cell>
          <cell r="U130">
            <v>3</v>
          </cell>
          <cell r="V130">
            <v>3</v>
          </cell>
          <cell r="W130" t="str">
            <v>X</v>
          </cell>
          <cell r="X130" t="str">
            <v>X</v>
          </cell>
          <cell r="Y130">
            <v>2</v>
          </cell>
          <cell r="Z130">
            <v>2</v>
          </cell>
          <cell r="AA130">
            <v>2</v>
          </cell>
          <cell r="AB130">
            <v>2</v>
          </cell>
          <cell r="AC130">
            <v>2</v>
          </cell>
          <cell r="AD130">
            <v>2</v>
          </cell>
          <cell r="AE130" t="str">
            <v>X</v>
          </cell>
          <cell r="AF130" t="str">
            <v>X</v>
          </cell>
        </row>
        <row r="131">
          <cell r="B131">
            <v>2</v>
          </cell>
          <cell r="C131">
            <v>2</v>
          </cell>
          <cell r="D131">
            <v>2</v>
          </cell>
          <cell r="E131">
            <v>2</v>
          </cell>
          <cell r="F131">
            <v>2</v>
          </cell>
          <cell r="G131" t="str">
            <v>X</v>
          </cell>
          <cell r="H131" t="str">
            <v>X</v>
          </cell>
          <cell r="I131">
            <v>1</v>
          </cell>
          <cell r="J131">
            <v>1</v>
          </cell>
          <cell r="K131">
            <v>1</v>
          </cell>
          <cell r="L131">
            <v>1</v>
          </cell>
          <cell r="M131">
            <v>1</v>
          </cell>
          <cell r="N131">
            <v>1</v>
          </cell>
          <cell r="O131" t="str">
            <v>X</v>
          </cell>
          <cell r="P131" t="str">
            <v>X</v>
          </cell>
          <cell r="Q131">
            <v>3</v>
          </cell>
          <cell r="R131">
            <v>3</v>
          </cell>
          <cell r="S131">
            <v>3</v>
          </cell>
          <cell r="T131">
            <v>3</v>
          </cell>
          <cell r="U131">
            <v>3</v>
          </cell>
          <cell r="V131">
            <v>3</v>
          </cell>
          <cell r="W131" t="str">
            <v>X</v>
          </cell>
          <cell r="X131" t="str">
            <v>X</v>
          </cell>
          <cell r="Y131">
            <v>2</v>
          </cell>
          <cell r="Z131">
            <v>2</v>
          </cell>
          <cell r="AA131">
            <v>2</v>
          </cell>
          <cell r="AB131">
            <v>2</v>
          </cell>
          <cell r="AC131">
            <v>2</v>
          </cell>
          <cell r="AD131">
            <v>2</v>
          </cell>
          <cell r="AE131" t="str">
            <v>X</v>
          </cell>
          <cell r="AF131" t="str">
            <v>X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16" sqref="A16"/>
    </sheetView>
  </sheetViews>
  <sheetFormatPr defaultColWidth="47.85546875" defaultRowHeight="23.25"/>
  <cols>
    <col min="1" max="1" width="41.7109375" style="51" customWidth="1"/>
    <col min="2" max="16384" width="47.85546875" style="51"/>
  </cols>
  <sheetData>
    <row r="1" spans="1:2">
      <c r="A1" s="83" t="s">
        <v>50</v>
      </c>
      <c r="B1" s="83"/>
    </row>
    <row r="2" spans="1:2">
      <c r="A2" s="53">
        <v>43466</v>
      </c>
      <c r="B2" s="52" t="s">
        <v>66</v>
      </c>
    </row>
    <row r="3" spans="1:2">
      <c r="A3" s="53">
        <v>43539</v>
      </c>
      <c r="B3" s="52" t="s">
        <v>67</v>
      </c>
    </row>
    <row r="4" spans="1:2">
      <c r="A4" s="53">
        <v>43565</v>
      </c>
      <c r="B4" s="52" t="s">
        <v>59</v>
      </c>
    </row>
    <row r="5" spans="1:2">
      <c r="A5" s="54">
        <v>43567</v>
      </c>
      <c r="B5" s="82" t="s">
        <v>51</v>
      </c>
    </row>
    <row r="6" spans="1:2">
      <c r="A6" s="54">
        <v>43568</v>
      </c>
      <c r="B6" s="82"/>
    </row>
    <row r="7" spans="1:2">
      <c r="A7" s="53">
        <v>43586</v>
      </c>
      <c r="B7" s="52" t="s">
        <v>69</v>
      </c>
    </row>
    <row r="8" spans="1:2">
      <c r="A8" s="54">
        <v>43616</v>
      </c>
      <c r="B8" s="82" t="s">
        <v>52</v>
      </c>
    </row>
    <row r="9" spans="1:2">
      <c r="A9" s="54">
        <v>43617</v>
      </c>
      <c r="B9" s="82"/>
    </row>
    <row r="10" spans="1:2">
      <c r="A10" s="53">
        <v>43697</v>
      </c>
      <c r="B10" s="52" t="s">
        <v>70</v>
      </c>
    </row>
    <row r="11" spans="1:2">
      <c r="A11" s="53">
        <v>43761</v>
      </c>
      <c r="B11" s="52" t="s">
        <v>71</v>
      </c>
    </row>
    <row r="12" spans="1:2">
      <c r="A12" s="53">
        <v>43770</v>
      </c>
      <c r="B12" s="52" t="s">
        <v>72</v>
      </c>
    </row>
    <row r="13" spans="1:2">
      <c r="A13" s="53">
        <v>43824</v>
      </c>
      <c r="B13" s="84" t="s">
        <v>73</v>
      </c>
    </row>
    <row r="14" spans="1:2">
      <c r="A14" s="53">
        <v>43825</v>
      </c>
      <c r="B14" s="84"/>
    </row>
    <row r="16" spans="1:2">
      <c r="A16" s="55" t="s">
        <v>74</v>
      </c>
    </row>
  </sheetData>
  <sheetProtection password="DD6F" sheet="1" objects="1" scenarios="1"/>
  <mergeCells count="4">
    <mergeCell ref="B5:B6"/>
    <mergeCell ref="B8:B9"/>
    <mergeCell ref="A1:B1"/>
    <mergeCell ref="B13:B14"/>
  </mergeCells>
  <conditionalFormatting sqref="A1">
    <cfRule type="cellIs" dxfId="2166" priority="1" operator="equal">
      <formula>"X"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97"/>
  <sheetViews>
    <sheetView showGridLines="0" topLeftCell="A19" zoomScale="85" zoomScaleNormal="85" workbookViewId="0">
      <selection activeCell="J80" sqref="J80"/>
    </sheetView>
  </sheetViews>
  <sheetFormatPr defaultColWidth="12" defaultRowHeight="12"/>
  <cols>
    <col min="1" max="1" width="12.85546875" style="1" customWidth="1"/>
    <col min="2" max="2" width="3.28515625" style="4" customWidth="1"/>
    <col min="3" max="8" width="3.140625" style="4" customWidth="1"/>
    <col min="9" max="9" width="3" style="4" customWidth="1"/>
    <col min="10" max="32" width="3.140625" style="4" customWidth="1"/>
    <col min="33" max="33" width="3.42578125" style="1" customWidth="1"/>
    <col min="34" max="16384" width="12" style="1"/>
  </cols>
  <sheetData>
    <row r="1" spans="1:32">
      <c r="A1" s="47" t="s">
        <v>68</v>
      </c>
    </row>
    <row r="2" spans="1:32">
      <c r="B2" s="48"/>
    </row>
    <row r="3" spans="1:32" s="6" customFormat="1">
      <c r="A3" s="49" t="s">
        <v>0</v>
      </c>
      <c r="B3" s="56">
        <v>1</v>
      </c>
      <c r="C3" s="36">
        <v>2</v>
      </c>
      <c r="D3" s="36">
        <v>3</v>
      </c>
      <c r="E3" s="36">
        <v>4</v>
      </c>
      <c r="F3" s="36">
        <v>5</v>
      </c>
      <c r="G3" s="36">
        <v>6</v>
      </c>
      <c r="H3" s="36">
        <v>7</v>
      </c>
      <c r="I3" s="36">
        <v>8</v>
      </c>
      <c r="J3" s="36">
        <v>9</v>
      </c>
      <c r="K3" s="36">
        <v>10</v>
      </c>
      <c r="L3" s="36">
        <v>11</v>
      </c>
      <c r="M3" s="36">
        <v>12</v>
      </c>
      <c r="N3" s="36">
        <v>13</v>
      </c>
      <c r="O3" s="36">
        <v>14</v>
      </c>
      <c r="P3" s="36">
        <v>15</v>
      </c>
      <c r="Q3" s="36">
        <v>16</v>
      </c>
      <c r="R3" s="36">
        <v>17</v>
      </c>
      <c r="S3" s="36">
        <v>18</v>
      </c>
      <c r="T3" s="36">
        <v>19</v>
      </c>
      <c r="U3" s="36">
        <v>20</v>
      </c>
      <c r="V3" s="36">
        <v>21</v>
      </c>
      <c r="W3" s="36">
        <v>22</v>
      </c>
      <c r="X3" s="36">
        <v>23</v>
      </c>
      <c r="Y3" s="36">
        <v>24</v>
      </c>
      <c r="Z3" s="36">
        <v>25</v>
      </c>
      <c r="AA3" s="36">
        <v>26</v>
      </c>
      <c r="AB3" s="36">
        <v>27</v>
      </c>
      <c r="AC3" s="36">
        <v>28</v>
      </c>
      <c r="AD3" s="36">
        <v>29</v>
      </c>
      <c r="AE3" s="36">
        <v>30</v>
      </c>
      <c r="AF3" s="36">
        <v>31</v>
      </c>
    </row>
    <row r="4" spans="1:32">
      <c r="A4" s="50"/>
      <c r="B4" s="35" t="s">
        <v>54</v>
      </c>
      <c r="C4" s="35" t="s">
        <v>55</v>
      </c>
      <c r="D4" s="35" t="s">
        <v>56</v>
      </c>
      <c r="E4" s="35" t="s">
        <v>57</v>
      </c>
      <c r="F4" s="35" t="s">
        <v>1</v>
      </c>
      <c r="G4" s="35" t="s">
        <v>58</v>
      </c>
      <c r="H4" s="35" t="s">
        <v>53</v>
      </c>
      <c r="I4" s="35" t="s">
        <v>54</v>
      </c>
      <c r="J4" s="35" t="s">
        <v>55</v>
      </c>
      <c r="K4" s="35" t="s">
        <v>56</v>
      </c>
      <c r="L4" s="35" t="s">
        <v>57</v>
      </c>
      <c r="M4" s="35" t="s">
        <v>1</v>
      </c>
      <c r="N4" s="35" t="s">
        <v>58</v>
      </c>
      <c r="O4" s="35" t="s">
        <v>53</v>
      </c>
      <c r="P4" s="35" t="s">
        <v>54</v>
      </c>
      <c r="Q4" s="35" t="s">
        <v>55</v>
      </c>
      <c r="R4" s="35" t="s">
        <v>56</v>
      </c>
      <c r="S4" s="35" t="s">
        <v>57</v>
      </c>
      <c r="T4" s="35" t="s">
        <v>1</v>
      </c>
      <c r="U4" s="35" t="s">
        <v>58</v>
      </c>
      <c r="V4" s="35" t="s">
        <v>53</v>
      </c>
      <c r="W4" s="35" t="s">
        <v>54</v>
      </c>
      <c r="X4" s="35" t="s">
        <v>55</v>
      </c>
      <c r="Y4" s="35" t="s">
        <v>56</v>
      </c>
      <c r="Z4" s="35" t="s">
        <v>57</v>
      </c>
      <c r="AA4" s="35" t="s">
        <v>1</v>
      </c>
      <c r="AB4" s="35" t="s">
        <v>58</v>
      </c>
      <c r="AC4" s="35" t="s">
        <v>53</v>
      </c>
      <c r="AD4" s="35" t="s">
        <v>54</v>
      </c>
      <c r="AE4" s="35" t="s">
        <v>55</v>
      </c>
      <c r="AF4" s="35" t="s">
        <v>56</v>
      </c>
    </row>
    <row r="5" spans="1:32">
      <c r="A5" s="50" t="s">
        <v>42</v>
      </c>
      <c r="B5" s="34">
        <v>3</v>
      </c>
      <c r="C5" s="34">
        <v>3</v>
      </c>
      <c r="D5" s="34" t="s">
        <v>2</v>
      </c>
      <c r="E5" s="34" t="s">
        <v>2</v>
      </c>
      <c r="F5" s="34">
        <v>2</v>
      </c>
      <c r="G5" s="34">
        <v>2</v>
      </c>
      <c r="H5" s="34">
        <v>2</v>
      </c>
      <c r="I5" s="34">
        <v>2</v>
      </c>
      <c r="J5" s="34">
        <v>2</v>
      </c>
      <c r="K5" s="34">
        <v>2</v>
      </c>
      <c r="L5" s="34" t="s">
        <v>2</v>
      </c>
      <c r="M5" s="34" t="s">
        <v>2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  <c r="S5" s="34">
        <v>1</v>
      </c>
      <c r="T5" s="34" t="s">
        <v>2</v>
      </c>
      <c r="U5" s="34" t="s">
        <v>2</v>
      </c>
      <c r="V5" s="34">
        <v>3</v>
      </c>
      <c r="W5" s="34">
        <v>3</v>
      </c>
      <c r="X5" s="34">
        <v>3</v>
      </c>
      <c r="Y5" s="34">
        <v>3</v>
      </c>
      <c r="Z5" s="34">
        <v>3</v>
      </c>
      <c r="AA5" s="34">
        <v>3</v>
      </c>
      <c r="AB5" s="34" t="s">
        <v>2</v>
      </c>
      <c r="AC5" s="34" t="s">
        <v>2</v>
      </c>
      <c r="AD5" s="34">
        <v>2</v>
      </c>
      <c r="AE5" s="34">
        <v>2</v>
      </c>
      <c r="AF5" s="34">
        <v>2</v>
      </c>
    </row>
    <row r="6" spans="1:32">
      <c r="A6" s="50" t="s">
        <v>3</v>
      </c>
      <c r="B6" s="34" t="s">
        <v>2</v>
      </c>
      <c r="C6" s="34" t="s">
        <v>2</v>
      </c>
      <c r="D6" s="34">
        <v>3</v>
      </c>
      <c r="E6" s="34">
        <v>3</v>
      </c>
      <c r="F6" s="34">
        <v>3</v>
      </c>
      <c r="G6" s="34">
        <v>3</v>
      </c>
      <c r="H6" s="34">
        <v>3</v>
      </c>
      <c r="I6" s="34">
        <v>3</v>
      </c>
      <c r="J6" s="34" t="s">
        <v>2</v>
      </c>
      <c r="K6" s="34" t="s">
        <v>2</v>
      </c>
      <c r="L6" s="34">
        <v>2</v>
      </c>
      <c r="M6" s="34">
        <v>2</v>
      </c>
      <c r="N6" s="34">
        <v>2</v>
      </c>
      <c r="O6" s="34">
        <v>2</v>
      </c>
      <c r="P6" s="34">
        <v>2</v>
      </c>
      <c r="Q6" s="34">
        <v>2</v>
      </c>
      <c r="R6" s="34" t="s">
        <v>2</v>
      </c>
      <c r="S6" s="34" t="s">
        <v>2</v>
      </c>
      <c r="T6" s="34">
        <v>1</v>
      </c>
      <c r="U6" s="34">
        <v>1</v>
      </c>
      <c r="V6" s="34">
        <v>1</v>
      </c>
      <c r="W6" s="34">
        <v>1</v>
      </c>
      <c r="X6" s="34">
        <v>1</v>
      </c>
      <c r="Y6" s="34">
        <v>1</v>
      </c>
      <c r="Z6" s="34" t="s">
        <v>2</v>
      </c>
      <c r="AA6" s="34" t="s">
        <v>2</v>
      </c>
      <c r="AB6" s="34">
        <v>3</v>
      </c>
      <c r="AC6" s="34">
        <v>3</v>
      </c>
      <c r="AD6" s="34">
        <v>3</v>
      </c>
      <c r="AE6" s="34">
        <v>3</v>
      </c>
      <c r="AF6" s="34">
        <v>3</v>
      </c>
    </row>
    <row r="7" spans="1:32">
      <c r="A7" s="50" t="s">
        <v>4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 t="s">
        <v>2</v>
      </c>
      <c r="I7" s="34" t="s">
        <v>2</v>
      </c>
      <c r="J7" s="34">
        <v>3</v>
      </c>
      <c r="K7" s="34">
        <v>3</v>
      </c>
      <c r="L7" s="34">
        <v>3</v>
      </c>
      <c r="M7" s="34">
        <v>3</v>
      </c>
      <c r="N7" s="34">
        <v>3</v>
      </c>
      <c r="O7" s="34">
        <v>3</v>
      </c>
      <c r="P7" s="34" t="s">
        <v>2</v>
      </c>
      <c r="Q7" s="34" t="s">
        <v>2</v>
      </c>
      <c r="R7" s="34">
        <v>2</v>
      </c>
      <c r="S7" s="34">
        <v>2</v>
      </c>
      <c r="T7" s="34">
        <v>2</v>
      </c>
      <c r="U7" s="34">
        <v>2</v>
      </c>
      <c r="V7" s="34">
        <v>2</v>
      </c>
      <c r="W7" s="34">
        <v>2</v>
      </c>
      <c r="X7" s="34" t="s">
        <v>2</v>
      </c>
      <c r="Y7" s="34" t="s">
        <v>2</v>
      </c>
      <c r="Z7" s="34">
        <v>1</v>
      </c>
      <c r="AA7" s="34">
        <v>1</v>
      </c>
      <c r="AB7" s="34">
        <v>1</v>
      </c>
      <c r="AC7" s="34">
        <v>1</v>
      </c>
      <c r="AD7" s="34">
        <v>1</v>
      </c>
      <c r="AE7" s="34">
        <v>1</v>
      </c>
      <c r="AF7" s="34" t="s">
        <v>2</v>
      </c>
    </row>
    <row r="8" spans="1:32">
      <c r="A8" s="50" t="s">
        <v>5</v>
      </c>
      <c r="B8" s="34">
        <v>2</v>
      </c>
      <c r="C8" s="34">
        <v>2</v>
      </c>
      <c r="D8" s="34">
        <v>2</v>
      </c>
      <c r="E8" s="34">
        <v>2</v>
      </c>
      <c r="F8" s="34" t="s">
        <v>2</v>
      </c>
      <c r="G8" s="34" t="s">
        <v>2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 t="s">
        <v>2</v>
      </c>
      <c r="O8" s="34" t="s">
        <v>2</v>
      </c>
      <c r="P8" s="34">
        <v>3</v>
      </c>
      <c r="Q8" s="34">
        <v>3</v>
      </c>
      <c r="R8" s="34">
        <v>3</v>
      </c>
      <c r="S8" s="34">
        <v>3</v>
      </c>
      <c r="T8" s="34">
        <v>3</v>
      </c>
      <c r="U8" s="34">
        <v>3</v>
      </c>
      <c r="V8" s="34" t="s">
        <v>2</v>
      </c>
      <c r="W8" s="34" t="s">
        <v>2</v>
      </c>
      <c r="X8" s="34">
        <v>2</v>
      </c>
      <c r="Y8" s="34">
        <v>2</v>
      </c>
      <c r="Z8" s="34">
        <v>2</v>
      </c>
      <c r="AA8" s="34">
        <v>2</v>
      </c>
      <c r="AB8" s="34">
        <v>2</v>
      </c>
      <c r="AC8" s="34">
        <v>2</v>
      </c>
      <c r="AD8" s="34" t="s">
        <v>2</v>
      </c>
      <c r="AE8" s="34" t="s">
        <v>2</v>
      </c>
      <c r="AF8" s="34">
        <v>1</v>
      </c>
    </row>
    <row r="10" spans="1:32">
      <c r="B10" s="48"/>
    </row>
    <row r="11" spans="1:32">
      <c r="A11" s="49" t="s">
        <v>6</v>
      </c>
      <c r="B11" s="36">
        <v>1</v>
      </c>
      <c r="C11" s="36">
        <v>2</v>
      </c>
      <c r="D11" s="36">
        <v>3</v>
      </c>
      <c r="E11" s="36">
        <v>4</v>
      </c>
      <c r="F11" s="36">
        <v>5</v>
      </c>
      <c r="G11" s="36">
        <v>6</v>
      </c>
      <c r="H11" s="36">
        <v>7</v>
      </c>
      <c r="I11" s="36">
        <v>8</v>
      </c>
      <c r="J11" s="36">
        <v>9</v>
      </c>
      <c r="K11" s="36">
        <v>10</v>
      </c>
      <c r="L11" s="36">
        <v>11</v>
      </c>
      <c r="M11" s="36">
        <v>12</v>
      </c>
      <c r="N11" s="36">
        <v>13</v>
      </c>
      <c r="O11" s="36">
        <v>14</v>
      </c>
      <c r="P11" s="36">
        <v>15</v>
      </c>
      <c r="Q11" s="36">
        <v>16</v>
      </c>
      <c r="R11" s="36">
        <v>17</v>
      </c>
      <c r="S11" s="36">
        <v>18</v>
      </c>
      <c r="T11" s="36">
        <v>19</v>
      </c>
      <c r="U11" s="36">
        <v>20</v>
      </c>
      <c r="V11" s="36">
        <v>21</v>
      </c>
      <c r="W11" s="36">
        <v>22</v>
      </c>
      <c r="X11" s="36">
        <v>23</v>
      </c>
      <c r="Y11" s="36">
        <v>24</v>
      </c>
      <c r="Z11" s="36">
        <v>25</v>
      </c>
      <c r="AA11" s="36">
        <v>26</v>
      </c>
      <c r="AB11" s="36">
        <v>27</v>
      </c>
      <c r="AC11" s="36">
        <v>28</v>
      </c>
      <c r="AD11" s="36">
        <v>29</v>
      </c>
    </row>
    <row r="12" spans="1:32">
      <c r="A12" s="50"/>
      <c r="B12" s="35" t="s">
        <v>57</v>
      </c>
      <c r="C12" s="35" t="s">
        <v>1</v>
      </c>
      <c r="D12" s="35" t="s">
        <v>58</v>
      </c>
      <c r="E12" s="35" t="s">
        <v>53</v>
      </c>
      <c r="F12" s="35" t="s">
        <v>54</v>
      </c>
      <c r="G12" s="35" t="s">
        <v>55</v>
      </c>
      <c r="H12" s="35" t="s">
        <v>56</v>
      </c>
      <c r="I12" s="35" t="s">
        <v>57</v>
      </c>
      <c r="J12" s="35" t="s">
        <v>1</v>
      </c>
      <c r="K12" s="35" t="s">
        <v>58</v>
      </c>
      <c r="L12" s="35" t="s">
        <v>53</v>
      </c>
      <c r="M12" s="35" t="s">
        <v>54</v>
      </c>
      <c r="N12" s="35" t="s">
        <v>55</v>
      </c>
      <c r="O12" s="35" t="s">
        <v>56</v>
      </c>
      <c r="P12" s="35" t="s">
        <v>57</v>
      </c>
      <c r="Q12" s="35" t="s">
        <v>1</v>
      </c>
      <c r="R12" s="35" t="s">
        <v>58</v>
      </c>
      <c r="S12" s="35" t="s">
        <v>53</v>
      </c>
      <c r="T12" s="35" t="s">
        <v>54</v>
      </c>
      <c r="U12" s="35" t="s">
        <v>55</v>
      </c>
      <c r="V12" s="35" t="s">
        <v>56</v>
      </c>
      <c r="W12" s="35" t="s">
        <v>57</v>
      </c>
      <c r="X12" s="35" t="s">
        <v>1</v>
      </c>
      <c r="Y12" s="35" t="s">
        <v>58</v>
      </c>
      <c r="Z12" s="35" t="s">
        <v>53</v>
      </c>
      <c r="AA12" s="35" t="s">
        <v>54</v>
      </c>
      <c r="AB12" s="35" t="s">
        <v>55</v>
      </c>
      <c r="AC12" s="35" t="s">
        <v>56</v>
      </c>
      <c r="AD12" s="35" t="s">
        <v>57</v>
      </c>
    </row>
    <row r="13" spans="1:32">
      <c r="A13" s="50" t="s">
        <v>42</v>
      </c>
      <c r="B13" s="34">
        <v>2</v>
      </c>
      <c r="C13" s="34">
        <v>2</v>
      </c>
      <c r="D13" s="34">
        <v>2</v>
      </c>
      <c r="E13" s="34" t="s">
        <v>2</v>
      </c>
      <c r="F13" s="34" t="s">
        <v>2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 t="s">
        <v>2</v>
      </c>
      <c r="N13" s="34" t="s">
        <v>2</v>
      </c>
      <c r="O13" s="34">
        <v>3</v>
      </c>
      <c r="P13" s="34">
        <v>3</v>
      </c>
      <c r="Q13" s="34">
        <v>3</v>
      </c>
      <c r="R13" s="34">
        <v>3</v>
      </c>
      <c r="S13" s="34">
        <v>3</v>
      </c>
      <c r="T13" s="34">
        <v>3</v>
      </c>
      <c r="U13" s="34" t="s">
        <v>2</v>
      </c>
      <c r="V13" s="34" t="s">
        <v>2</v>
      </c>
      <c r="W13" s="34">
        <v>2</v>
      </c>
      <c r="X13" s="34">
        <v>2</v>
      </c>
      <c r="Y13" s="34">
        <v>2</v>
      </c>
      <c r="Z13" s="34">
        <v>2</v>
      </c>
      <c r="AA13" s="34">
        <v>2</v>
      </c>
      <c r="AB13" s="34">
        <v>2</v>
      </c>
      <c r="AC13" s="34" t="s">
        <v>2</v>
      </c>
      <c r="AD13" s="34" t="s">
        <v>2</v>
      </c>
    </row>
    <row r="14" spans="1:32">
      <c r="A14" s="50" t="s">
        <v>3</v>
      </c>
      <c r="B14" s="34">
        <v>3</v>
      </c>
      <c r="C14" s="34" t="s">
        <v>2</v>
      </c>
      <c r="D14" s="34" t="s">
        <v>2</v>
      </c>
      <c r="E14" s="34">
        <v>2</v>
      </c>
      <c r="F14" s="34">
        <v>2</v>
      </c>
      <c r="G14" s="34">
        <v>2</v>
      </c>
      <c r="H14" s="34">
        <v>2</v>
      </c>
      <c r="I14" s="34">
        <v>2</v>
      </c>
      <c r="J14" s="34">
        <v>2</v>
      </c>
      <c r="K14" s="34" t="s">
        <v>2</v>
      </c>
      <c r="L14" s="34" t="s">
        <v>2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 t="s">
        <v>2</v>
      </c>
      <c r="T14" s="34" t="s">
        <v>2</v>
      </c>
      <c r="U14" s="34">
        <v>3</v>
      </c>
      <c r="V14" s="34">
        <v>3</v>
      </c>
      <c r="W14" s="34">
        <v>3</v>
      </c>
      <c r="X14" s="34">
        <v>3</v>
      </c>
      <c r="Y14" s="34">
        <v>3</v>
      </c>
      <c r="Z14" s="34">
        <v>3</v>
      </c>
      <c r="AA14" s="34" t="s">
        <v>2</v>
      </c>
      <c r="AB14" s="34" t="s">
        <v>2</v>
      </c>
      <c r="AC14" s="34">
        <v>2</v>
      </c>
      <c r="AD14" s="34">
        <v>2</v>
      </c>
    </row>
    <row r="15" spans="1:32">
      <c r="A15" s="50" t="s">
        <v>4</v>
      </c>
      <c r="B15" s="34" t="s">
        <v>2</v>
      </c>
      <c r="C15" s="34">
        <v>3</v>
      </c>
      <c r="D15" s="34">
        <v>3</v>
      </c>
      <c r="E15" s="34">
        <v>3</v>
      </c>
      <c r="F15" s="34">
        <v>3</v>
      </c>
      <c r="G15" s="34">
        <v>3</v>
      </c>
      <c r="H15" s="34">
        <v>3</v>
      </c>
      <c r="I15" s="34" t="s">
        <v>2</v>
      </c>
      <c r="J15" s="34" t="s">
        <v>2</v>
      </c>
      <c r="K15" s="34">
        <v>2</v>
      </c>
      <c r="L15" s="34">
        <v>2</v>
      </c>
      <c r="M15" s="34">
        <v>2</v>
      </c>
      <c r="N15" s="34">
        <v>2</v>
      </c>
      <c r="O15" s="34">
        <v>2</v>
      </c>
      <c r="P15" s="34">
        <v>2</v>
      </c>
      <c r="Q15" s="34" t="s">
        <v>2</v>
      </c>
      <c r="R15" s="34" t="s">
        <v>2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1</v>
      </c>
      <c r="Y15" s="34" t="s">
        <v>2</v>
      </c>
      <c r="Z15" s="34" t="s">
        <v>2</v>
      </c>
      <c r="AA15" s="34">
        <v>3</v>
      </c>
      <c r="AB15" s="34">
        <v>3</v>
      </c>
      <c r="AC15" s="34">
        <v>3</v>
      </c>
      <c r="AD15" s="34">
        <v>3</v>
      </c>
    </row>
    <row r="16" spans="1:32">
      <c r="A16" s="50" t="s">
        <v>5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 t="s">
        <v>2</v>
      </c>
      <c r="H16" s="34" t="s">
        <v>2</v>
      </c>
      <c r="I16" s="34">
        <v>3</v>
      </c>
      <c r="J16" s="34">
        <v>3</v>
      </c>
      <c r="K16" s="34">
        <v>3</v>
      </c>
      <c r="L16" s="34">
        <v>3</v>
      </c>
      <c r="M16" s="34">
        <v>3</v>
      </c>
      <c r="N16" s="34">
        <v>3</v>
      </c>
      <c r="O16" s="34" t="s">
        <v>2</v>
      </c>
      <c r="P16" s="34" t="s">
        <v>2</v>
      </c>
      <c r="Q16" s="34">
        <v>2</v>
      </c>
      <c r="R16" s="34">
        <v>2</v>
      </c>
      <c r="S16" s="34">
        <v>2</v>
      </c>
      <c r="T16" s="34">
        <v>2</v>
      </c>
      <c r="U16" s="34">
        <v>2</v>
      </c>
      <c r="V16" s="34">
        <v>2</v>
      </c>
      <c r="W16" s="34" t="s">
        <v>2</v>
      </c>
      <c r="X16" s="34" t="s">
        <v>2</v>
      </c>
      <c r="Y16" s="34">
        <v>1</v>
      </c>
      <c r="Z16" s="34">
        <v>1</v>
      </c>
      <c r="AA16" s="34">
        <v>1</v>
      </c>
      <c r="AB16" s="34">
        <v>1</v>
      </c>
      <c r="AC16" s="34">
        <v>1</v>
      </c>
      <c r="AD16" s="34">
        <v>1</v>
      </c>
    </row>
    <row r="18" spans="1:32">
      <c r="B18" s="48"/>
    </row>
    <row r="19" spans="1:32">
      <c r="A19" s="49" t="s">
        <v>7</v>
      </c>
      <c r="B19" s="36">
        <v>1</v>
      </c>
      <c r="C19" s="36">
        <v>2</v>
      </c>
      <c r="D19" s="36">
        <v>3</v>
      </c>
      <c r="E19" s="36">
        <v>4</v>
      </c>
      <c r="F19" s="36">
        <v>5</v>
      </c>
      <c r="G19" s="36">
        <v>6</v>
      </c>
      <c r="H19" s="36">
        <v>7</v>
      </c>
      <c r="I19" s="36">
        <v>8</v>
      </c>
      <c r="J19" s="36">
        <v>9</v>
      </c>
      <c r="K19" s="36">
        <v>10</v>
      </c>
      <c r="L19" s="36">
        <v>11</v>
      </c>
      <c r="M19" s="36">
        <v>12</v>
      </c>
      <c r="N19" s="36">
        <v>13</v>
      </c>
      <c r="O19" s="36">
        <v>14</v>
      </c>
      <c r="P19" s="56">
        <v>15</v>
      </c>
      <c r="Q19" s="36">
        <v>16</v>
      </c>
      <c r="R19" s="36">
        <v>17</v>
      </c>
      <c r="S19" s="36">
        <v>18</v>
      </c>
      <c r="T19" s="36">
        <v>19</v>
      </c>
      <c r="U19" s="36">
        <v>20</v>
      </c>
      <c r="V19" s="36">
        <v>21</v>
      </c>
      <c r="W19" s="36">
        <v>22</v>
      </c>
      <c r="X19" s="36">
        <v>23</v>
      </c>
      <c r="Y19" s="36">
        <v>24</v>
      </c>
      <c r="Z19" s="36">
        <v>25</v>
      </c>
      <c r="AA19" s="36">
        <v>26</v>
      </c>
      <c r="AB19" s="36">
        <v>27</v>
      </c>
      <c r="AC19" s="36">
        <v>28</v>
      </c>
      <c r="AD19" s="36">
        <v>29</v>
      </c>
      <c r="AE19" s="36">
        <v>30</v>
      </c>
      <c r="AF19" s="36">
        <v>31</v>
      </c>
    </row>
    <row r="20" spans="1:32">
      <c r="A20" s="50"/>
      <c r="B20" s="35" t="s">
        <v>1</v>
      </c>
      <c r="C20" s="35" t="s">
        <v>58</v>
      </c>
      <c r="D20" s="35" t="s">
        <v>53</v>
      </c>
      <c r="E20" s="35" t="s">
        <v>54</v>
      </c>
      <c r="F20" s="35" t="s">
        <v>55</v>
      </c>
      <c r="G20" s="35" t="s">
        <v>56</v>
      </c>
      <c r="H20" s="35" t="s">
        <v>57</v>
      </c>
      <c r="I20" s="35" t="s">
        <v>1</v>
      </c>
      <c r="J20" s="35" t="s">
        <v>58</v>
      </c>
      <c r="K20" s="35" t="s">
        <v>53</v>
      </c>
      <c r="L20" s="35" t="s">
        <v>54</v>
      </c>
      <c r="M20" s="35" t="s">
        <v>55</v>
      </c>
      <c r="N20" s="35" t="s">
        <v>56</v>
      </c>
      <c r="O20" s="35" t="s">
        <v>57</v>
      </c>
      <c r="P20" s="35" t="s">
        <v>1</v>
      </c>
      <c r="Q20" s="35" t="s">
        <v>58</v>
      </c>
      <c r="R20" s="35" t="s">
        <v>53</v>
      </c>
      <c r="S20" s="35" t="s">
        <v>54</v>
      </c>
      <c r="T20" s="35" t="s">
        <v>55</v>
      </c>
      <c r="U20" s="35" t="s">
        <v>56</v>
      </c>
      <c r="V20" s="35" t="s">
        <v>57</v>
      </c>
      <c r="W20" s="35" t="s">
        <v>1</v>
      </c>
      <c r="X20" s="35" t="s">
        <v>58</v>
      </c>
      <c r="Y20" s="35" t="s">
        <v>53</v>
      </c>
      <c r="Z20" s="35" t="s">
        <v>54</v>
      </c>
      <c r="AA20" s="35" t="s">
        <v>55</v>
      </c>
      <c r="AB20" s="35" t="s">
        <v>56</v>
      </c>
      <c r="AC20" s="35" t="s">
        <v>57</v>
      </c>
      <c r="AD20" s="35" t="s">
        <v>1</v>
      </c>
      <c r="AE20" s="35" t="s">
        <v>58</v>
      </c>
      <c r="AF20" s="35" t="s">
        <v>53</v>
      </c>
    </row>
    <row r="21" spans="1:32">
      <c r="A21" s="50" t="s">
        <v>42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 t="s">
        <v>2</v>
      </c>
      <c r="I21" s="34" t="s">
        <v>2</v>
      </c>
      <c r="J21" s="34">
        <v>3</v>
      </c>
      <c r="K21" s="34">
        <v>3</v>
      </c>
      <c r="L21" s="34">
        <v>3</v>
      </c>
      <c r="M21" s="34">
        <v>3</v>
      </c>
      <c r="N21" s="34">
        <v>3</v>
      </c>
      <c r="O21" s="34">
        <v>3</v>
      </c>
      <c r="P21" s="34" t="s">
        <v>2</v>
      </c>
      <c r="Q21" s="34" t="s">
        <v>2</v>
      </c>
      <c r="R21" s="34">
        <v>2</v>
      </c>
      <c r="S21" s="34">
        <v>2</v>
      </c>
      <c r="T21" s="34">
        <v>2</v>
      </c>
      <c r="U21" s="34">
        <v>2</v>
      </c>
      <c r="V21" s="34">
        <v>2</v>
      </c>
      <c r="W21" s="34">
        <v>2</v>
      </c>
      <c r="X21" s="34" t="s">
        <v>2</v>
      </c>
      <c r="Y21" s="34" t="s">
        <v>2</v>
      </c>
      <c r="Z21" s="34">
        <v>1</v>
      </c>
      <c r="AA21" s="34">
        <v>1</v>
      </c>
      <c r="AB21" s="34">
        <v>1</v>
      </c>
      <c r="AC21" s="34">
        <v>1</v>
      </c>
      <c r="AD21" s="34">
        <v>1</v>
      </c>
      <c r="AE21" s="34">
        <v>1</v>
      </c>
      <c r="AF21" s="34" t="s">
        <v>2</v>
      </c>
    </row>
    <row r="22" spans="1:32">
      <c r="A22" s="50" t="s">
        <v>3</v>
      </c>
      <c r="B22" s="34">
        <v>2</v>
      </c>
      <c r="C22" s="34">
        <v>2</v>
      </c>
      <c r="D22" s="34">
        <v>2</v>
      </c>
      <c r="E22" s="34">
        <v>2</v>
      </c>
      <c r="F22" s="34" t="s">
        <v>2</v>
      </c>
      <c r="G22" s="34" t="s">
        <v>2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 t="s">
        <v>2</v>
      </c>
      <c r="O22" s="34" t="s">
        <v>2</v>
      </c>
      <c r="P22" s="34">
        <v>3</v>
      </c>
      <c r="Q22" s="34">
        <v>3</v>
      </c>
      <c r="R22" s="34">
        <v>3</v>
      </c>
      <c r="S22" s="34">
        <v>3</v>
      </c>
      <c r="T22" s="34">
        <v>3</v>
      </c>
      <c r="U22" s="34">
        <v>3</v>
      </c>
      <c r="V22" s="34" t="s">
        <v>2</v>
      </c>
      <c r="W22" s="34" t="s">
        <v>2</v>
      </c>
      <c r="X22" s="34">
        <v>2</v>
      </c>
      <c r="Y22" s="34">
        <v>2</v>
      </c>
      <c r="Z22" s="34">
        <v>2</v>
      </c>
      <c r="AA22" s="34">
        <v>2</v>
      </c>
      <c r="AB22" s="34">
        <v>2</v>
      </c>
      <c r="AC22" s="34">
        <v>2</v>
      </c>
      <c r="AD22" s="34" t="s">
        <v>2</v>
      </c>
      <c r="AE22" s="34" t="s">
        <v>2</v>
      </c>
      <c r="AF22" s="34">
        <v>1</v>
      </c>
    </row>
    <row r="23" spans="1:32">
      <c r="A23" s="50" t="s">
        <v>4</v>
      </c>
      <c r="B23" s="34">
        <v>3</v>
      </c>
      <c r="C23" s="34">
        <v>3</v>
      </c>
      <c r="D23" s="34" t="s">
        <v>2</v>
      </c>
      <c r="E23" s="34" t="s">
        <v>2</v>
      </c>
      <c r="F23" s="34">
        <v>2</v>
      </c>
      <c r="G23" s="34">
        <v>2</v>
      </c>
      <c r="H23" s="34">
        <v>2</v>
      </c>
      <c r="I23" s="34">
        <v>2</v>
      </c>
      <c r="J23" s="34">
        <v>2</v>
      </c>
      <c r="K23" s="34">
        <v>2</v>
      </c>
      <c r="L23" s="34" t="s">
        <v>2</v>
      </c>
      <c r="M23" s="34" t="s">
        <v>2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 t="s">
        <v>2</v>
      </c>
      <c r="U23" s="34" t="s">
        <v>2</v>
      </c>
      <c r="V23" s="34">
        <v>3</v>
      </c>
      <c r="W23" s="34">
        <v>3</v>
      </c>
      <c r="X23" s="34">
        <v>3</v>
      </c>
      <c r="Y23" s="34">
        <v>3</v>
      </c>
      <c r="Z23" s="34">
        <v>3</v>
      </c>
      <c r="AA23" s="34">
        <v>3</v>
      </c>
      <c r="AB23" s="34" t="s">
        <v>2</v>
      </c>
      <c r="AC23" s="34" t="s">
        <v>2</v>
      </c>
      <c r="AD23" s="34">
        <v>2</v>
      </c>
      <c r="AE23" s="34">
        <v>2</v>
      </c>
      <c r="AF23" s="34">
        <v>2</v>
      </c>
    </row>
    <row r="24" spans="1:32">
      <c r="A24" s="50" t="s">
        <v>5</v>
      </c>
      <c r="B24" s="34" t="s">
        <v>2</v>
      </c>
      <c r="C24" s="34" t="s">
        <v>2</v>
      </c>
      <c r="D24" s="34">
        <v>3</v>
      </c>
      <c r="E24" s="34">
        <v>3</v>
      </c>
      <c r="F24" s="34">
        <v>3</v>
      </c>
      <c r="G24" s="34">
        <v>3</v>
      </c>
      <c r="H24" s="34">
        <v>3</v>
      </c>
      <c r="I24" s="34">
        <v>3</v>
      </c>
      <c r="J24" s="34" t="s">
        <v>2</v>
      </c>
      <c r="K24" s="34" t="s">
        <v>2</v>
      </c>
      <c r="L24" s="34">
        <v>2</v>
      </c>
      <c r="M24" s="34">
        <v>2</v>
      </c>
      <c r="N24" s="34">
        <v>2</v>
      </c>
      <c r="O24" s="34">
        <v>2</v>
      </c>
      <c r="P24" s="34">
        <v>2</v>
      </c>
      <c r="Q24" s="34">
        <v>2</v>
      </c>
      <c r="R24" s="34" t="s">
        <v>2</v>
      </c>
      <c r="S24" s="34" t="s">
        <v>2</v>
      </c>
      <c r="T24" s="34">
        <v>1</v>
      </c>
      <c r="U24" s="34">
        <v>1</v>
      </c>
      <c r="V24" s="34">
        <v>1</v>
      </c>
      <c r="W24" s="34">
        <v>1</v>
      </c>
      <c r="X24" s="34">
        <v>1</v>
      </c>
      <c r="Y24" s="34">
        <v>1</v>
      </c>
      <c r="Z24" s="34" t="s">
        <v>2</v>
      </c>
      <c r="AA24" s="34" t="s">
        <v>2</v>
      </c>
      <c r="AB24" s="34">
        <v>3</v>
      </c>
      <c r="AC24" s="34">
        <v>3</v>
      </c>
      <c r="AD24" s="34">
        <v>3</v>
      </c>
      <c r="AE24" s="34">
        <v>3</v>
      </c>
      <c r="AF24" s="34">
        <v>3</v>
      </c>
    </row>
    <row r="27" spans="1:32">
      <c r="A27" s="49" t="s">
        <v>8</v>
      </c>
      <c r="B27" s="36">
        <v>1</v>
      </c>
      <c r="C27" s="36">
        <v>2</v>
      </c>
      <c r="D27" s="36">
        <v>3</v>
      </c>
      <c r="E27" s="36">
        <v>4</v>
      </c>
      <c r="F27" s="36">
        <v>5</v>
      </c>
      <c r="G27" s="36">
        <v>6</v>
      </c>
      <c r="H27" s="36">
        <v>7</v>
      </c>
      <c r="I27" s="36">
        <v>8</v>
      </c>
      <c r="J27" s="36">
        <v>9</v>
      </c>
      <c r="K27" s="56">
        <v>10</v>
      </c>
      <c r="L27" s="36">
        <v>11</v>
      </c>
      <c r="M27" s="56">
        <v>12</v>
      </c>
      <c r="N27" s="56">
        <v>13</v>
      </c>
      <c r="O27" s="36">
        <v>14</v>
      </c>
      <c r="P27" s="36">
        <v>15</v>
      </c>
      <c r="Q27" s="36">
        <v>16</v>
      </c>
      <c r="R27" s="36">
        <v>17</v>
      </c>
      <c r="S27" s="36">
        <v>18</v>
      </c>
      <c r="T27" s="36">
        <v>19</v>
      </c>
      <c r="U27" s="36">
        <v>20</v>
      </c>
      <c r="V27" s="36">
        <v>21</v>
      </c>
      <c r="W27" s="36">
        <v>22</v>
      </c>
      <c r="X27" s="36">
        <v>23</v>
      </c>
      <c r="Y27" s="36">
        <v>24</v>
      </c>
      <c r="Z27" s="36">
        <v>25</v>
      </c>
      <c r="AA27" s="36">
        <v>26</v>
      </c>
      <c r="AB27" s="36">
        <v>27</v>
      </c>
      <c r="AC27" s="36">
        <v>28</v>
      </c>
      <c r="AD27" s="36">
        <v>29</v>
      </c>
      <c r="AE27" s="36">
        <v>30</v>
      </c>
      <c r="AF27" s="2"/>
    </row>
    <row r="28" spans="1:32">
      <c r="A28" s="50"/>
      <c r="B28" s="35" t="s">
        <v>54</v>
      </c>
      <c r="C28" s="35" t="s">
        <v>55</v>
      </c>
      <c r="D28" s="35" t="s">
        <v>56</v>
      </c>
      <c r="E28" s="35" t="s">
        <v>57</v>
      </c>
      <c r="F28" s="35" t="s">
        <v>1</v>
      </c>
      <c r="G28" s="35" t="s">
        <v>58</v>
      </c>
      <c r="H28" s="35" t="s">
        <v>53</v>
      </c>
      <c r="I28" s="35" t="s">
        <v>54</v>
      </c>
      <c r="J28" s="35" t="s">
        <v>55</v>
      </c>
      <c r="K28" s="35" t="s">
        <v>56</v>
      </c>
      <c r="L28" s="35" t="s">
        <v>57</v>
      </c>
      <c r="M28" s="35" t="s">
        <v>1</v>
      </c>
      <c r="N28" s="35" t="s">
        <v>58</v>
      </c>
      <c r="O28" s="35" t="s">
        <v>53</v>
      </c>
      <c r="P28" s="35" t="s">
        <v>54</v>
      </c>
      <c r="Q28" s="35" t="s">
        <v>55</v>
      </c>
      <c r="R28" s="35" t="s">
        <v>56</v>
      </c>
      <c r="S28" s="35" t="s">
        <v>57</v>
      </c>
      <c r="T28" s="35" t="s">
        <v>1</v>
      </c>
      <c r="U28" s="35" t="s">
        <v>58</v>
      </c>
      <c r="V28" s="35" t="s">
        <v>53</v>
      </c>
      <c r="W28" s="35" t="s">
        <v>54</v>
      </c>
      <c r="X28" s="35" t="s">
        <v>55</v>
      </c>
      <c r="Y28" s="35" t="s">
        <v>56</v>
      </c>
      <c r="Z28" s="35" t="s">
        <v>57</v>
      </c>
      <c r="AA28" s="35" t="s">
        <v>1</v>
      </c>
      <c r="AB28" s="35" t="s">
        <v>58</v>
      </c>
      <c r="AC28" s="35" t="s">
        <v>53</v>
      </c>
      <c r="AD28" s="35" t="s">
        <v>54</v>
      </c>
      <c r="AE28" s="35" t="s">
        <v>55</v>
      </c>
      <c r="AF28" s="3"/>
    </row>
    <row r="29" spans="1:32">
      <c r="A29" s="50" t="s">
        <v>42</v>
      </c>
      <c r="B29" s="34" t="s">
        <v>2</v>
      </c>
      <c r="C29" s="34">
        <v>3</v>
      </c>
      <c r="D29" s="34">
        <v>3</v>
      </c>
      <c r="E29" s="34">
        <v>3</v>
      </c>
      <c r="F29" s="34">
        <v>3</v>
      </c>
      <c r="G29" s="34">
        <v>3</v>
      </c>
      <c r="H29" s="34">
        <v>3</v>
      </c>
      <c r="I29" s="34" t="s">
        <v>2</v>
      </c>
      <c r="J29" s="34" t="s">
        <v>2</v>
      </c>
      <c r="K29" s="34">
        <v>2</v>
      </c>
      <c r="L29" s="34">
        <v>2</v>
      </c>
      <c r="M29" s="34">
        <v>2</v>
      </c>
      <c r="N29" s="34">
        <v>2</v>
      </c>
      <c r="O29" s="34">
        <v>2</v>
      </c>
      <c r="P29" s="34">
        <v>2</v>
      </c>
      <c r="Q29" s="34" t="s">
        <v>2</v>
      </c>
      <c r="R29" s="34" t="s">
        <v>2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 t="s">
        <v>2</v>
      </c>
      <c r="Z29" s="34" t="s">
        <v>2</v>
      </c>
      <c r="AA29" s="34">
        <v>3</v>
      </c>
      <c r="AB29" s="34">
        <v>3</v>
      </c>
      <c r="AC29" s="34">
        <v>3</v>
      </c>
      <c r="AD29" s="34">
        <v>3</v>
      </c>
      <c r="AE29" s="34">
        <v>3</v>
      </c>
      <c r="AF29" s="3"/>
    </row>
    <row r="30" spans="1:32">
      <c r="A30" s="50" t="s">
        <v>3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 t="s">
        <v>2</v>
      </c>
      <c r="H30" s="34" t="s">
        <v>2</v>
      </c>
      <c r="I30" s="34">
        <v>3</v>
      </c>
      <c r="J30" s="34">
        <v>3</v>
      </c>
      <c r="K30" s="34">
        <v>3</v>
      </c>
      <c r="L30" s="34">
        <v>3</v>
      </c>
      <c r="M30" s="34">
        <v>3</v>
      </c>
      <c r="N30" s="34">
        <v>3</v>
      </c>
      <c r="O30" s="34" t="s">
        <v>2</v>
      </c>
      <c r="P30" s="34" t="s">
        <v>2</v>
      </c>
      <c r="Q30" s="34">
        <v>2</v>
      </c>
      <c r="R30" s="34">
        <v>2</v>
      </c>
      <c r="S30" s="34">
        <v>2</v>
      </c>
      <c r="T30" s="34">
        <v>2</v>
      </c>
      <c r="U30" s="34">
        <v>2</v>
      </c>
      <c r="V30" s="34">
        <v>2</v>
      </c>
      <c r="W30" s="34" t="s">
        <v>2</v>
      </c>
      <c r="X30" s="34" t="s">
        <v>2</v>
      </c>
      <c r="Y30" s="34">
        <v>1</v>
      </c>
      <c r="Z30" s="34">
        <v>1</v>
      </c>
      <c r="AA30" s="34">
        <v>1</v>
      </c>
      <c r="AB30" s="34">
        <v>1</v>
      </c>
      <c r="AC30" s="34">
        <v>1</v>
      </c>
      <c r="AD30" s="34">
        <v>1</v>
      </c>
      <c r="AE30" s="34" t="s">
        <v>2</v>
      </c>
      <c r="AF30" s="3"/>
    </row>
    <row r="31" spans="1:32">
      <c r="A31" s="50" t="s">
        <v>4</v>
      </c>
      <c r="B31" s="34">
        <v>2</v>
      </c>
      <c r="C31" s="34">
        <v>2</v>
      </c>
      <c r="D31" s="34">
        <v>2</v>
      </c>
      <c r="E31" s="34" t="s">
        <v>2</v>
      </c>
      <c r="F31" s="34" t="s">
        <v>2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 t="s">
        <v>2</v>
      </c>
      <c r="N31" s="34" t="s">
        <v>2</v>
      </c>
      <c r="O31" s="34">
        <v>3</v>
      </c>
      <c r="P31" s="34">
        <v>3</v>
      </c>
      <c r="Q31" s="34">
        <v>3</v>
      </c>
      <c r="R31" s="34">
        <v>3</v>
      </c>
      <c r="S31" s="34">
        <v>3</v>
      </c>
      <c r="T31" s="34">
        <v>3</v>
      </c>
      <c r="U31" s="34" t="s">
        <v>2</v>
      </c>
      <c r="V31" s="34" t="s">
        <v>2</v>
      </c>
      <c r="W31" s="34">
        <v>2</v>
      </c>
      <c r="X31" s="34">
        <v>2</v>
      </c>
      <c r="Y31" s="34">
        <v>2</v>
      </c>
      <c r="Z31" s="34">
        <v>2</v>
      </c>
      <c r="AA31" s="34">
        <v>2</v>
      </c>
      <c r="AB31" s="34">
        <v>2</v>
      </c>
      <c r="AC31" s="34" t="s">
        <v>2</v>
      </c>
      <c r="AD31" s="34" t="s">
        <v>2</v>
      </c>
      <c r="AE31" s="34">
        <v>1</v>
      </c>
      <c r="AF31" s="3"/>
    </row>
    <row r="32" spans="1:32">
      <c r="A32" s="50" t="s">
        <v>5</v>
      </c>
      <c r="B32" s="34">
        <v>3</v>
      </c>
      <c r="C32" s="34" t="s">
        <v>2</v>
      </c>
      <c r="D32" s="34" t="s">
        <v>2</v>
      </c>
      <c r="E32" s="34">
        <v>2</v>
      </c>
      <c r="F32" s="34">
        <v>2</v>
      </c>
      <c r="G32" s="34">
        <v>2</v>
      </c>
      <c r="H32" s="34">
        <v>2</v>
      </c>
      <c r="I32" s="34">
        <v>2</v>
      </c>
      <c r="J32" s="34">
        <v>2</v>
      </c>
      <c r="K32" s="34" t="s">
        <v>2</v>
      </c>
      <c r="L32" s="34" t="s">
        <v>2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 t="s">
        <v>2</v>
      </c>
      <c r="T32" s="34" t="s">
        <v>2</v>
      </c>
      <c r="U32" s="34">
        <v>3</v>
      </c>
      <c r="V32" s="34">
        <v>3</v>
      </c>
      <c r="W32" s="34">
        <v>3</v>
      </c>
      <c r="X32" s="34">
        <v>3</v>
      </c>
      <c r="Y32" s="34">
        <v>3</v>
      </c>
      <c r="Z32" s="34">
        <v>3</v>
      </c>
      <c r="AA32" s="34" t="s">
        <v>2</v>
      </c>
      <c r="AB32" s="34" t="s">
        <v>2</v>
      </c>
      <c r="AC32" s="34">
        <v>2</v>
      </c>
      <c r="AD32" s="34">
        <v>2</v>
      </c>
      <c r="AE32" s="34">
        <v>2</v>
      </c>
      <c r="AF32" s="3"/>
    </row>
    <row r="35" spans="1:32">
      <c r="A35" s="49" t="s">
        <v>9</v>
      </c>
      <c r="B35" s="56">
        <v>1</v>
      </c>
      <c r="C35" s="36">
        <v>2</v>
      </c>
      <c r="D35" s="36">
        <v>3</v>
      </c>
      <c r="E35" s="36">
        <v>4</v>
      </c>
      <c r="F35" s="36">
        <v>5</v>
      </c>
      <c r="G35" s="36">
        <v>6</v>
      </c>
      <c r="H35" s="36">
        <v>7</v>
      </c>
      <c r="I35" s="36">
        <v>8</v>
      </c>
      <c r="J35" s="36">
        <v>9</v>
      </c>
      <c r="K35" s="36">
        <v>10</v>
      </c>
      <c r="L35" s="36">
        <v>11</v>
      </c>
      <c r="M35" s="36">
        <v>12</v>
      </c>
      <c r="N35" s="36">
        <v>13</v>
      </c>
      <c r="O35" s="36">
        <v>14</v>
      </c>
      <c r="P35" s="36">
        <v>15</v>
      </c>
      <c r="Q35" s="36">
        <v>16</v>
      </c>
      <c r="R35" s="36">
        <v>17</v>
      </c>
      <c r="S35" s="36">
        <v>18</v>
      </c>
      <c r="T35" s="36">
        <v>19</v>
      </c>
      <c r="U35" s="36">
        <v>20</v>
      </c>
      <c r="V35" s="36">
        <v>21</v>
      </c>
      <c r="W35" s="36">
        <v>22</v>
      </c>
      <c r="X35" s="36">
        <v>23</v>
      </c>
      <c r="Y35" s="36">
        <v>24</v>
      </c>
      <c r="Z35" s="36">
        <v>25</v>
      </c>
      <c r="AA35" s="36">
        <v>26</v>
      </c>
      <c r="AB35" s="36">
        <v>27</v>
      </c>
      <c r="AC35" s="36">
        <v>28</v>
      </c>
      <c r="AD35" s="36">
        <v>29</v>
      </c>
      <c r="AE35" s="36">
        <v>30</v>
      </c>
      <c r="AF35" s="56">
        <v>31</v>
      </c>
    </row>
    <row r="36" spans="1:32">
      <c r="A36" s="50"/>
      <c r="B36" s="35" t="s">
        <v>56</v>
      </c>
      <c r="C36" s="35" t="s">
        <v>57</v>
      </c>
      <c r="D36" s="35" t="s">
        <v>1</v>
      </c>
      <c r="E36" s="35" t="s">
        <v>58</v>
      </c>
      <c r="F36" s="35" t="s">
        <v>53</v>
      </c>
      <c r="G36" s="35" t="s">
        <v>54</v>
      </c>
      <c r="H36" s="35" t="s">
        <v>55</v>
      </c>
      <c r="I36" s="35" t="s">
        <v>56</v>
      </c>
      <c r="J36" s="35" t="s">
        <v>57</v>
      </c>
      <c r="K36" s="35" t="s">
        <v>1</v>
      </c>
      <c r="L36" s="35" t="s">
        <v>58</v>
      </c>
      <c r="M36" s="35" t="s">
        <v>53</v>
      </c>
      <c r="N36" s="35" t="s">
        <v>54</v>
      </c>
      <c r="O36" s="35" t="s">
        <v>55</v>
      </c>
      <c r="P36" s="35" t="s">
        <v>56</v>
      </c>
      <c r="Q36" s="35" t="s">
        <v>57</v>
      </c>
      <c r="R36" s="35" t="s">
        <v>1</v>
      </c>
      <c r="S36" s="35" t="s">
        <v>58</v>
      </c>
      <c r="T36" s="35" t="s">
        <v>53</v>
      </c>
      <c r="U36" s="35" t="s">
        <v>54</v>
      </c>
      <c r="V36" s="35" t="s">
        <v>55</v>
      </c>
      <c r="W36" s="35" t="s">
        <v>56</v>
      </c>
      <c r="X36" s="35" t="s">
        <v>57</v>
      </c>
      <c r="Y36" s="35" t="s">
        <v>1</v>
      </c>
      <c r="Z36" s="35" t="s">
        <v>58</v>
      </c>
      <c r="AA36" s="35" t="s">
        <v>53</v>
      </c>
      <c r="AB36" s="35" t="s">
        <v>54</v>
      </c>
      <c r="AC36" s="35" t="s">
        <v>55</v>
      </c>
      <c r="AD36" s="35" t="s">
        <v>56</v>
      </c>
      <c r="AE36" s="35" t="s">
        <v>57</v>
      </c>
      <c r="AF36" s="35" t="s">
        <v>1</v>
      </c>
    </row>
    <row r="37" spans="1:32">
      <c r="A37" s="50" t="s">
        <v>42</v>
      </c>
      <c r="B37" s="34">
        <v>3</v>
      </c>
      <c r="C37" s="34" t="s">
        <v>2</v>
      </c>
      <c r="D37" s="34" t="s">
        <v>2</v>
      </c>
      <c r="E37" s="34">
        <v>2</v>
      </c>
      <c r="F37" s="34">
        <v>2</v>
      </c>
      <c r="G37" s="34">
        <v>2</v>
      </c>
      <c r="H37" s="34">
        <v>2</v>
      </c>
      <c r="I37" s="34">
        <v>2</v>
      </c>
      <c r="J37" s="34">
        <v>2</v>
      </c>
      <c r="K37" s="34" t="s">
        <v>2</v>
      </c>
      <c r="L37" s="34" t="s">
        <v>2</v>
      </c>
      <c r="M37" s="34">
        <v>1</v>
      </c>
      <c r="N37" s="34">
        <v>1</v>
      </c>
      <c r="O37" s="34">
        <v>1</v>
      </c>
      <c r="P37" s="34">
        <v>1</v>
      </c>
      <c r="Q37" s="34">
        <v>1</v>
      </c>
      <c r="R37" s="34">
        <v>1</v>
      </c>
      <c r="S37" s="34" t="s">
        <v>2</v>
      </c>
      <c r="T37" s="34" t="s">
        <v>2</v>
      </c>
      <c r="U37" s="34">
        <v>3</v>
      </c>
      <c r="V37" s="34">
        <v>3</v>
      </c>
      <c r="W37" s="34">
        <v>3</v>
      </c>
      <c r="X37" s="34">
        <v>3</v>
      </c>
      <c r="Y37" s="34">
        <v>3</v>
      </c>
      <c r="Z37" s="34">
        <v>3</v>
      </c>
      <c r="AA37" s="34" t="s">
        <v>2</v>
      </c>
      <c r="AB37" s="34" t="s">
        <v>2</v>
      </c>
      <c r="AC37" s="34">
        <v>2</v>
      </c>
      <c r="AD37" s="34">
        <v>2</v>
      </c>
      <c r="AE37" s="34">
        <v>2</v>
      </c>
      <c r="AF37" s="34">
        <v>2</v>
      </c>
    </row>
    <row r="38" spans="1:32">
      <c r="A38" s="50" t="s">
        <v>3</v>
      </c>
      <c r="B38" s="34" t="s">
        <v>2</v>
      </c>
      <c r="C38" s="34">
        <v>3</v>
      </c>
      <c r="D38" s="34">
        <v>3</v>
      </c>
      <c r="E38" s="34">
        <v>3</v>
      </c>
      <c r="F38" s="34">
        <v>3</v>
      </c>
      <c r="G38" s="34">
        <v>3</v>
      </c>
      <c r="H38" s="34">
        <v>3</v>
      </c>
      <c r="I38" s="34" t="s">
        <v>2</v>
      </c>
      <c r="J38" s="34" t="s">
        <v>2</v>
      </c>
      <c r="K38" s="34">
        <v>2</v>
      </c>
      <c r="L38" s="34">
        <v>2</v>
      </c>
      <c r="M38" s="34">
        <v>2</v>
      </c>
      <c r="N38" s="34">
        <v>2</v>
      </c>
      <c r="O38" s="34">
        <v>2</v>
      </c>
      <c r="P38" s="34">
        <v>2</v>
      </c>
      <c r="Q38" s="34" t="s">
        <v>2</v>
      </c>
      <c r="R38" s="34" t="s">
        <v>2</v>
      </c>
      <c r="S38" s="34">
        <v>1</v>
      </c>
      <c r="T38" s="34">
        <v>1</v>
      </c>
      <c r="U38" s="34">
        <v>1</v>
      </c>
      <c r="V38" s="34">
        <v>1</v>
      </c>
      <c r="W38" s="34">
        <v>1</v>
      </c>
      <c r="X38" s="34">
        <v>1</v>
      </c>
      <c r="Y38" s="34" t="s">
        <v>2</v>
      </c>
      <c r="Z38" s="34" t="s">
        <v>2</v>
      </c>
      <c r="AA38" s="34">
        <v>3</v>
      </c>
      <c r="AB38" s="34">
        <v>3</v>
      </c>
      <c r="AC38" s="34">
        <v>3</v>
      </c>
      <c r="AD38" s="34">
        <v>3</v>
      </c>
      <c r="AE38" s="34">
        <v>3</v>
      </c>
      <c r="AF38" s="34">
        <v>3</v>
      </c>
    </row>
    <row r="39" spans="1:32">
      <c r="A39" s="50" t="s">
        <v>4</v>
      </c>
      <c r="B39" s="34">
        <v>1</v>
      </c>
      <c r="C39" s="34">
        <v>1</v>
      </c>
      <c r="D39" s="34">
        <v>1</v>
      </c>
      <c r="E39" s="34">
        <v>1</v>
      </c>
      <c r="F39" s="34">
        <v>1</v>
      </c>
      <c r="G39" s="34" t="s">
        <v>2</v>
      </c>
      <c r="H39" s="34" t="s">
        <v>2</v>
      </c>
      <c r="I39" s="34">
        <v>3</v>
      </c>
      <c r="J39" s="34">
        <v>3</v>
      </c>
      <c r="K39" s="34">
        <v>3</v>
      </c>
      <c r="L39" s="34">
        <v>3</v>
      </c>
      <c r="M39" s="34">
        <v>3</v>
      </c>
      <c r="N39" s="34">
        <v>3</v>
      </c>
      <c r="O39" s="34" t="s">
        <v>2</v>
      </c>
      <c r="P39" s="34" t="s">
        <v>2</v>
      </c>
      <c r="Q39" s="34">
        <v>2</v>
      </c>
      <c r="R39" s="34">
        <v>2</v>
      </c>
      <c r="S39" s="34">
        <v>2</v>
      </c>
      <c r="T39" s="34">
        <v>2</v>
      </c>
      <c r="U39" s="34">
        <v>2</v>
      </c>
      <c r="V39" s="34">
        <v>2</v>
      </c>
      <c r="W39" s="34" t="s">
        <v>2</v>
      </c>
      <c r="X39" s="34" t="s">
        <v>2</v>
      </c>
      <c r="Y39" s="34">
        <v>1</v>
      </c>
      <c r="Z39" s="34">
        <v>1</v>
      </c>
      <c r="AA39" s="34">
        <v>1</v>
      </c>
      <c r="AB39" s="34">
        <v>1</v>
      </c>
      <c r="AC39" s="34">
        <v>1</v>
      </c>
      <c r="AD39" s="34">
        <v>1</v>
      </c>
      <c r="AE39" s="34" t="s">
        <v>2</v>
      </c>
      <c r="AF39" s="34" t="s">
        <v>2</v>
      </c>
    </row>
    <row r="40" spans="1:32">
      <c r="A40" s="50" t="s">
        <v>5</v>
      </c>
      <c r="B40" s="34">
        <v>2</v>
      </c>
      <c r="C40" s="34">
        <v>2</v>
      </c>
      <c r="D40" s="34">
        <v>2</v>
      </c>
      <c r="E40" s="34" t="s">
        <v>2</v>
      </c>
      <c r="F40" s="34" t="s">
        <v>2</v>
      </c>
      <c r="G40" s="34">
        <v>1</v>
      </c>
      <c r="H40" s="34">
        <v>1</v>
      </c>
      <c r="I40" s="34">
        <v>1</v>
      </c>
      <c r="J40" s="34">
        <v>1</v>
      </c>
      <c r="K40" s="34">
        <v>1</v>
      </c>
      <c r="L40" s="34">
        <v>1</v>
      </c>
      <c r="M40" s="34" t="s">
        <v>2</v>
      </c>
      <c r="N40" s="34" t="s">
        <v>2</v>
      </c>
      <c r="O40" s="34">
        <v>3</v>
      </c>
      <c r="P40" s="34">
        <v>3</v>
      </c>
      <c r="Q40" s="34">
        <v>3</v>
      </c>
      <c r="R40" s="34">
        <v>3</v>
      </c>
      <c r="S40" s="34">
        <v>3</v>
      </c>
      <c r="T40" s="34">
        <v>3</v>
      </c>
      <c r="U40" s="34" t="s">
        <v>2</v>
      </c>
      <c r="V40" s="34" t="s">
        <v>2</v>
      </c>
      <c r="W40" s="34">
        <v>2</v>
      </c>
      <c r="X40" s="34">
        <v>2</v>
      </c>
      <c r="Y40" s="34">
        <v>2</v>
      </c>
      <c r="Z40" s="34">
        <v>2</v>
      </c>
      <c r="AA40" s="34">
        <v>2</v>
      </c>
      <c r="AB40" s="34">
        <v>2</v>
      </c>
      <c r="AC40" s="34" t="s">
        <v>2</v>
      </c>
      <c r="AD40" s="34" t="s">
        <v>2</v>
      </c>
      <c r="AE40" s="34">
        <v>1</v>
      </c>
      <c r="AF40" s="34">
        <v>1</v>
      </c>
    </row>
    <row r="43" spans="1:32">
      <c r="A43" s="49" t="s">
        <v>10</v>
      </c>
      <c r="B43" s="56">
        <v>1</v>
      </c>
      <c r="C43" s="36">
        <v>2</v>
      </c>
      <c r="D43" s="36">
        <v>3</v>
      </c>
      <c r="E43" s="36">
        <v>4</v>
      </c>
      <c r="F43" s="36">
        <v>5</v>
      </c>
      <c r="G43" s="36">
        <v>6</v>
      </c>
      <c r="H43" s="36">
        <v>7</v>
      </c>
      <c r="I43" s="36">
        <v>8</v>
      </c>
      <c r="J43" s="36">
        <v>9</v>
      </c>
      <c r="K43" s="36">
        <v>10</v>
      </c>
      <c r="L43" s="36">
        <v>11</v>
      </c>
      <c r="M43" s="36">
        <v>12</v>
      </c>
      <c r="N43" s="36">
        <v>13</v>
      </c>
      <c r="O43" s="36">
        <v>14</v>
      </c>
      <c r="P43" s="36">
        <v>15</v>
      </c>
      <c r="Q43" s="36">
        <v>16</v>
      </c>
      <c r="R43" s="36">
        <v>17</v>
      </c>
      <c r="S43" s="36">
        <v>18</v>
      </c>
      <c r="T43" s="36">
        <v>19</v>
      </c>
      <c r="U43" s="36">
        <v>20</v>
      </c>
      <c r="V43" s="36">
        <v>21</v>
      </c>
      <c r="W43" s="36">
        <v>22</v>
      </c>
      <c r="X43" s="36">
        <v>23</v>
      </c>
      <c r="Y43" s="36">
        <v>24</v>
      </c>
      <c r="Z43" s="36">
        <v>25</v>
      </c>
      <c r="AA43" s="36">
        <v>26</v>
      </c>
      <c r="AB43" s="36">
        <v>27</v>
      </c>
      <c r="AC43" s="36">
        <v>28</v>
      </c>
      <c r="AD43" s="36">
        <v>29</v>
      </c>
      <c r="AE43" s="36">
        <v>30</v>
      </c>
      <c r="AF43" s="2"/>
    </row>
    <row r="44" spans="1:32">
      <c r="A44" s="50"/>
      <c r="B44" s="35" t="s">
        <v>58</v>
      </c>
      <c r="C44" s="35" t="s">
        <v>53</v>
      </c>
      <c r="D44" s="35" t="s">
        <v>54</v>
      </c>
      <c r="E44" s="35" t="s">
        <v>55</v>
      </c>
      <c r="F44" s="35" t="s">
        <v>56</v>
      </c>
      <c r="G44" s="35" t="s">
        <v>57</v>
      </c>
      <c r="H44" s="35" t="s">
        <v>1</v>
      </c>
      <c r="I44" s="35" t="s">
        <v>58</v>
      </c>
      <c r="J44" s="35" t="s">
        <v>53</v>
      </c>
      <c r="K44" s="35" t="s">
        <v>54</v>
      </c>
      <c r="L44" s="35" t="s">
        <v>55</v>
      </c>
      <c r="M44" s="35" t="s">
        <v>56</v>
      </c>
      <c r="N44" s="35" t="s">
        <v>57</v>
      </c>
      <c r="O44" s="35" t="s">
        <v>1</v>
      </c>
      <c r="P44" s="35" t="s">
        <v>58</v>
      </c>
      <c r="Q44" s="35" t="s">
        <v>53</v>
      </c>
      <c r="R44" s="35" t="s">
        <v>54</v>
      </c>
      <c r="S44" s="35" t="s">
        <v>55</v>
      </c>
      <c r="T44" s="35" t="s">
        <v>56</v>
      </c>
      <c r="U44" s="35" t="s">
        <v>57</v>
      </c>
      <c r="V44" s="35" t="s">
        <v>1</v>
      </c>
      <c r="W44" s="35" t="s">
        <v>58</v>
      </c>
      <c r="X44" s="35" t="s">
        <v>53</v>
      </c>
      <c r="Y44" s="35" t="s">
        <v>54</v>
      </c>
      <c r="Z44" s="35" t="s">
        <v>55</v>
      </c>
      <c r="AA44" s="35" t="s">
        <v>56</v>
      </c>
      <c r="AB44" s="35" t="s">
        <v>57</v>
      </c>
      <c r="AC44" s="35" t="s">
        <v>1</v>
      </c>
      <c r="AD44" s="35" t="s">
        <v>58</v>
      </c>
      <c r="AE44" s="35" t="s">
        <v>53</v>
      </c>
      <c r="AF44" s="2"/>
    </row>
    <row r="45" spans="1:32">
      <c r="A45" s="50" t="s">
        <v>42</v>
      </c>
      <c r="B45" s="34">
        <v>2</v>
      </c>
      <c r="C45" s="34">
        <v>2</v>
      </c>
      <c r="D45" s="34" t="s">
        <v>2</v>
      </c>
      <c r="E45" s="34" t="s">
        <v>2</v>
      </c>
      <c r="F45" s="34">
        <v>1</v>
      </c>
      <c r="G45" s="34">
        <v>1</v>
      </c>
      <c r="H45" s="34">
        <v>1</v>
      </c>
      <c r="I45" s="34">
        <v>1</v>
      </c>
      <c r="J45" s="34">
        <v>1</v>
      </c>
      <c r="K45" s="34">
        <v>1</v>
      </c>
      <c r="L45" s="34" t="s">
        <v>2</v>
      </c>
      <c r="M45" s="34" t="s">
        <v>2</v>
      </c>
      <c r="N45" s="34">
        <v>3</v>
      </c>
      <c r="O45" s="34">
        <v>3</v>
      </c>
      <c r="P45" s="34">
        <v>3</v>
      </c>
      <c r="Q45" s="34">
        <v>3</v>
      </c>
      <c r="R45" s="34">
        <v>3</v>
      </c>
      <c r="S45" s="34">
        <v>3</v>
      </c>
      <c r="T45" s="34" t="s">
        <v>2</v>
      </c>
      <c r="U45" s="34" t="s">
        <v>2</v>
      </c>
      <c r="V45" s="34">
        <v>2</v>
      </c>
      <c r="W45" s="34">
        <v>2</v>
      </c>
      <c r="X45" s="34">
        <v>2</v>
      </c>
      <c r="Y45" s="34">
        <v>2</v>
      </c>
      <c r="Z45" s="34">
        <v>2</v>
      </c>
      <c r="AA45" s="34">
        <v>2</v>
      </c>
      <c r="AB45" s="34" t="s">
        <v>2</v>
      </c>
      <c r="AC45" s="34" t="s">
        <v>2</v>
      </c>
      <c r="AD45" s="34">
        <v>1</v>
      </c>
      <c r="AE45" s="34">
        <v>1</v>
      </c>
      <c r="AF45" s="2"/>
    </row>
    <row r="46" spans="1:32">
      <c r="A46" s="50" t="s">
        <v>3</v>
      </c>
      <c r="B46" s="34" t="s">
        <v>2</v>
      </c>
      <c r="C46" s="34" t="s">
        <v>2</v>
      </c>
      <c r="D46" s="34">
        <v>2</v>
      </c>
      <c r="E46" s="34">
        <v>2</v>
      </c>
      <c r="F46" s="34">
        <v>2</v>
      </c>
      <c r="G46" s="34">
        <v>2</v>
      </c>
      <c r="H46" s="34">
        <v>2</v>
      </c>
      <c r="I46" s="34">
        <v>2</v>
      </c>
      <c r="J46" s="34" t="s">
        <v>2</v>
      </c>
      <c r="K46" s="34" t="s">
        <v>2</v>
      </c>
      <c r="L46" s="34">
        <v>1</v>
      </c>
      <c r="M46" s="34">
        <v>1</v>
      </c>
      <c r="N46" s="34">
        <v>1</v>
      </c>
      <c r="O46" s="34">
        <v>1</v>
      </c>
      <c r="P46" s="34">
        <v>1</v>
      </c>
      <c r="Q46" s="34">
        <v>1</v>
      </c>
      <c r="R46" s="34" t="s">
        <v>2</v>
      </c>
      <c r="S46" s="34" t="s">
        <v>2</v>
      </c>
      <c r="T46" s="34">
        <v>3</v>
      </c>
      <c r="U46" s="34">
        <v>3</v>
      </c>
      <c r="V46" s="34">
        <v>3</v>
      </c>
      <c r="W46" s="34">
        <v>3</v>
      </c>
      <c r="X46" s="34">
        <v>3</v>
      </c>
      <c r="Y46" s="34">
        <v>3</v>
      </c>
      <c r="Z46" s="34" t="s">
        <v>2</v>
      </c>
      <c r="AA46" s="34" t="s">
        <v>2</v>
      </c>
      <c r="AB46" s="34">
        <v>2</v>
      </c>
      <c r="AC46" s="34">
        <v>2</v>
      </c>
      <c r="AD46" s="34">
        <v>2</v>
      </c>
      <c r="AE46" s="34">
        <v>2</v>
      </c>
      <c r="AF46" s="2"/>
    </row>
    <row r="47" spans="1:32">
      <c r="A47" s="50" t="s">
        <v>4</v>
      </c>
      <c r="B47" s="34">
        <v>3</v>
      </c>
      <c r="C47" s="34">
        <v>3</v>
      </c>
      <c r="D47" s="34">
        <v>3</v>
      </c>
      <c r="E47" s="34">
        <v>3</v>
      </c>
      <c r="F47" s="34">
        <v>3</v>
      </c>
      <c r="G47" s="34">
        <v>3</v>
      </c>
      <c r="H47" s="34" t="s">
        <v>2</v>
      </c>
      <c r="I47" s="34" t="s">
        <v>2</v>
      </c>
      <c r="J47" s="34">
        <v>2</v>
      </c>
      <c r="K47" s="34">
        <v>2</v>
      </c>
      <c r="L47" s="34">
        <v>2</v>
      </c>
      <c r="M47" s="34">
        <v>2</v>
      </c>
      <c r="N47" s="34">
        <v>2</v>
      </c>
      <c r="O47" s="34">
        <v>2</v>
      </c>
      <c r="P47" s="34" t="s">
        <v>2</v>
      </c>
      <c r="Q47" s="34" t="s">
        <v>2</v>
      </c>
      <c r="R47" s="34">
        <v>1</v>
      </c>
      <c r="S47" s="34">
        <v>1</v>
      </c>
      <c r="T47" s="34">
        <v>1</v>
      </c>
      <c r="U47" s="34">
        <v>1</v>
      </c>
      <c r="V47" s="34">
        <v>1</v>
      </c>
      <c r="W47" s="34">
        <v>1</v>
      </c>
      <c r="X47" s="34" t="s">
        <v>2</v>
      </c>
      <c r="Y47" s="34" t="s">
        <v>2</v>
      </c>
      <c r="Z47" s="34">
        <v>3</v>
      </c>
      <c r="AA47" s="34">
        <v>3</v>
      </c>
      <c r="AB47" s="34">
        <v>3</v>
      </c>
      <c r="AC47" s="34">
        <v>3</v>
      </c>
      <c r="AD47" s="34">
        <v>3</v>
      </c>
      <c r="AE47" s="34">
        <v>3</v>
      </c>
      <c r="AF47" s="3"/>
    </row>
    <row r="48" spans="1:32">
      <c r="A48" s="50" t="s">
        <v>5</v>
      </c>
      <c r="B48" s="34">
        <v>1</v>
      </c>
      <c r="C48" s="34">
        <v>1</v>
      </c>
      <c r="D48" s="34">
        <v>1</v>
      </c>
      <c r="E48" s="34">
        <v>1</v>
      </c>
      <c r="F48" s="34" t="s">
        <v>2</v>
      </c>
      <c r="G48" s="34" t="s">
        <v>2</v>
      </c>
      <c r="H48" s="34">
        <v>3</v>
      </c>
      <c r="I48" s="34">
        <v>3</v>
      </c>
      <c r="J48" s="34">
        <v>3</v>
      </c>
      <c r="K48" s="34">
        <v>3</v>
      </c>
      <c r="L48" s="34">
        <v>3</v>
      </c>
      <c r="M48" s="34">
        <v>3</v>
      </c>
      <c r="N48" s="34" t="s">
        <v>2</v>
      </c>
      <c r="O48" s="34" t="s">
        <v>2</v>
      </c>
      <c r="P48" s="34">
        <v>2</v>
      </c>
      <c r="Q48" s="34">
        <v>2</v>
      </c>
      <c r="R48" s="34">
        <v>2</v>
      </c>
      <c r="S48" s="34">
        <v>2</v>
      </c>
      <c r="T48" s="34">
        <v>2</v>
      </c>
      <c r="U48" s="34">
        <v>2</v>
      </c>
      <c r="V48" s="34" t="s">
        <v>2</v>
      </c>
      <c r="W48" s="34" t="s">
        <v>2</v>
      </c>
      <c r="X48" s="34">
        <v>1</v>
      </c>
      <c r="Y48" s="34">
        <v>1</v>
      </c>
      <c r="Z48" s="34">
        <v>1</v>
      </c>
      <c r="AA48" s="34">
        <v>1</v>
      </c>
      <c r="AB48" s="34">
        <v>1</v>
      </c>
      <c r="AC48" s="34">
        <v>1</v>
      </c>
      <c r="AD48" s="34" t="s">
        <v>2</v>
      </c>
      <c r="AE48" s="34" t="s">
        <v>2</v>
      </c>
      <c r="AF48" s="3"/>
    </row>
    <row r="51" spans="1:32">
      <c r="A51" s="49" t="s">
        <v>11</v>
      </c>
      <c r="B51" s="36">
        <v>1</v>
      </c>
      <c r="C51" s="36">
        <v>2</v>
      </c>
      <c r="D51" s="36">
        <v>3</v>
      </c>
      <c r="E51" s="36">
        <v>4</v>
      </c>
      <c r="F51" s="36">
        <v>5</v>
      </c>
      <c r="G51" s="36">
        <v>6</v>
      </c>
      <c r="H51" s="36">
        <v>7</v>
      </c>
      <c r="I51" s="36">
        <v>8</v>
      </c>
      <c r="J51" s="36">
        <v>9</v>
      </c>
      <c r="K51" s="36">
        <v>10</v>
      </c>
      <c r="L51" s="36">
        <v>11</v>
      </c>
      <c r="M51" s="36">
        <v>12</v>
      </c>
      <c r="N51" s="36">
        <v>13</v>
      </c>
      <c r="O51" s="36">
        <v>14</v>
      </c>
      <c r="P51" s="36">
        <v>15</v>
      </c>
      <c r="Q51" s="36">
        <v>16</v>
      </c>
      <c r="R51" s="36">
        <v>17</v>
      </c>
      <c r="S51" s="36">
        <v>18</v>
      </c>
      <c r="T51" s="36">
        <v>19</v>
      </c>
      <c r="U51" s="36">
        <v>20</v>
      </c>
      <c r="V51" s="36">
        <v>21</v>
      </c>
      <c r="W51" s="36">
        <v>22</v>
      </c>
      <c r="X51" s="36">
        <v>23</v>
      </c>
      <c r="Y51" s="36">
        <v>24</v>
      </c>
      <c r="Z51" s="36">
        <v>25</v>
      </c>
      <c r="AA51" s="36">
        <v>26</v>
      </c>
      <c r="AB51" s="36">
        <v>27</v>
      </c>
      <c r="AC51" s="36">
        <v>28</v>
      </c>
      <c r="AD51" s="36">
        <v>29</v>
      </c>
      <c r="AE51" s="36">
        <v>30</v>
      </c>
      <c r="AF51" s="36">
        <v>31</v>
      </c>
    </row>
    <row r="52" spans="1:32">
      <c r="A52" s="50"/>
      <c r="B52" s="35" t="s">
        <v>54</v>
      </c>
      <c r="C52" s="35" t="s">
        <v>55</v>
      </c>
      <c r="D52" s="35" t="s">
        <v>56</v>
      </c>
      <c r="E52" s="35" t="s">
        <v>57</v>
      </c>
      <c r="F52" s="35" t="s">
        <v>1</v>
      </c>
      <c r="G52" s="35" t="s">
        <v>58</v>
      </c>
      <c r="H52" s="35" t="s">
        <v>53</v>
      </c>
      <c r="I52" s="35" t="s">
        <v>54</v>
      </c>
      <c r="J52" s="35" t="s">
        <v>55</v>
      </c>
      <c r="K52" s="35" t="s">
        <v>56</v>
      </c>
      <c r="L52" s="35" t="s">
        <v>57</v>
      </c>
      <c r="M52" s="35" t="s">
        <v>1</v>
      </c>
      <c r="N52" s="35" t="s">
        <v>58</v>
      </c>
      <c r="O52" s="35" t="s">
        <v>53</v>
      </c>
      <c r="P52" s="35" t="s">
        <v>54</v>
      </c>
      <c r="Q52" s="35" t="s">
        <v>55</v>
      </c>
      <c r="R52" s="35" t="s">
        <v>56</v>
      </c>
      <c r="S52" s="35" t="s">
        <v>57</v>
      </c>
      <c r="T52" s="35" t="s">
        <v>1</v>
      </c>
      <c r="U52" s="35" t="s">
        <v>58</v>
      </c>
      <c r="V52" s="35" t="s">
        <v>53</v>
      </c>
      <c r="W52" s="35" t="s">
        <v>54</v>
      </c>
      <c r="X52" s="35" t="s">
        <v>55</v>
      </c>
      <c r="Y52" s="35" t="s">
        <v>56</v>
      </c>
      <c r="Z52" s="35" t="s">
        <v>57</v>
      </c>
      <c r="AA52" s="35" t="s">
        <v>1</v>
      </c>
      <c r="AB52" s="35" t="s">
        <v>58</v>
      </c>
      <c r="AC52" s="35" t="s">
        <v>53</v>
      </c>
      <c r="AD52" s="35" t="s">
        <v>54</v>
      </c>
      <c r="AE52" s="35" t="s">
        <v>55</v>
      </c>
      <c r="AF52" s="35" t="s">
        <v>56</v>
      </c>
    </row>
    <row r="53" spans="1:32">
      <c r="A53" s="50" t="s">
        <v>42</v>
      </c>
      <c r="B53" s="34">
        <v>1</v>
      </c>
      <c r="C53" s="34">
        <v>1</v>
      </c>
      <c r="D53" s="34">
        <v>1</v>
      </c>
      <c r="E53" s="34">
        <v>1</v>
      </c>
      <c r="F53" s="34" t="s">
        <v>2</v>
      </c>
      <c r="G53" s="34" t="s">
        <v>2</v>
      </c>
      <c r="H53" s="34">
        <v>3</v>
      </c>
      <c r="I53" s="34">
        <v>3</v>
      </c>
      <c r="J53" s="34">
        <v>3</v>
      </c>
      <c r="K53" s="34">
        <v>3</v>
      </c>
      <c r="L53" s="34">
        <v>3</v>
      </c>
      <c r="M53" s="34">
        <v>3</v>
      </c>
      <c r="N53" s="34" t="s">
        <v>2</v>
      </c>
      <c r="O53" s="34" t="s">
        <v>2</v>
      </c>
      <c r="P53" s="34">
        <v>2</v>
      </c>
      <c r="Q53" s="34">
        <v>2</v>
      </c>
      <c r="R53" s="34">
        <v>2</v>
      </c>
      <c r="S53" s="34">
        <v>2</v>
      </c>
      <c r="T53" s="34">
        <v>2</v>
      </c>
      <c r="U53" s="34">
        <v>2</v>
      </c>
      <c r="V53" s="34" t="s">
        <v>2</v>
      </c>
      <c r="W53" s="34" t="s">
        <v>2</v>
      </c>
      <c r="X53" s="34">
        <v>1</v>
      </c>
      <c r="Y53" s="34">
        <v>1</v>
      </c>
      <c r="Z53" s="34">
        <v>1</v>
      </c>
      <c r="AA53" s="34">
        <v>1</v>
      </c>
      <c r="AB53" s="34">
        <v>1</v>
      </c>
      <c r="AC53" s="34">
        <v>1</v>
      </c>
      <c r="AD53" s="34" t="s">
        <v>2</v>
      </c>
      <c r="AE53" s="34" t="s">
        <v>2</v>
      </c>
      <c r="AF53" s="34">
        <v>3</v>
      </c>
    </row>
    <row r="54" spans="1:32">
      <c r="A54" s="50" t="s">
        <v>3</v>
      </c>
      <c r="B54" s="34">
        <v>2</v>
      </c>
      <c r="C54" s="34">
        <v>2</v>
      </c>
      <c r="D54" s="34" t="s">
        <v>2</v>
      </c>
      <c r="E54" s="34" t="s">
        <v>2</v>
      </c>
      <c r="F54" s="34">
        <v>1</v>
      </c>
      <c r="G54" s="34">
        <v>1</v>
      </c>
      <c r="H54" s="34">
        <v>1</v>
      </c>
      <c r="I54" s="34">
        <v>1</v>
      </c>
      <c r="J54" s="34">
        <v>1</v>
      </c>
      <c r="K54" s="34">
        <v>1</v>
      </c>
      <c r="L54" s="34" t="s">
        <v>2</v>
      </c>
      <c r="M54" s="34" t="s">
        <v>2</v>
      </c>
      <c r="N54" s="34">
        <v>3</v>
      </c>
      <c r="O54" s="34">
        <v>3</v>
      </c>
      <c r="P54" s="34">
        <v>3</v>
      </c>
      <c r="Q54" s="34">
        <v>3</v>
      </c>
      <c r="R54" s="34">
        <v>3</v>
      </c>
      <c r="S54" s="34">
        <v>3</v>
      </c>
      <c r="T54" s="34" t="s">
        <v>2</v>
      </c>
      <c r="U54" s="34" t="s">
        <v>2</v>
      </c>
      <c r="V54" s="34">
        <v>2</v>
      </c>
      <c r="W54" s="34">
        <v>2</v>
      </c>
      <c r="X54" s="34">
        <v>2</v>
      </c>
      <c r="Y54" s="34">
        <v>2</v>
      </c>
      <c r="Z54" s="34">
        <v>2</v>
      </c>
      <c r="AA54" s="34">
        <v>2</v>
      </c>
      <c r="AB54" s="34" t="s">
        <v>2</v>
      </c>
      <c r="AC54" s="34" t="s">
        <v>2</v>
      </c>
      <c r="AD54" s="34">
        <v>1</v>
      </c>
      <c r="AE54" s="34">
        <v>1</v>
      </c>
      <c r="AF54" s="34">
        <v>1</v>
      </c>
    </row>
    <row r="55" spans="1:32">
      <c r="A55" s="50" t="s">
        <v>4</v>
      </c>
      <c r="B55" s="34" t="s">
        <v>2</v>
      </c>
      <c r="C55" s="34" t="s">
        <v>2</v>
      </c>
      <c r="D55" s="34">
        <v>2</v>
      </c>
      <c r="E55" s="34">
        <v>2</v>
      </c>
      <c r="F55" s="34">
        <v>2</v>
      </c>
      <c r="G55" s="34">
        <v>2</v>
      </c>
      <c r="H55" s="34">
        <v>2</v>
      </c>
      <c r="I55" s="34">
        <v>2</v>
      </c>
      <c r="J55" s="34" t="s">
        <v>2</v>
      </c>
      <c r="K55" s="34" t="s">
        <v>2</v>
      </c>
      <c r="L55" s="34">
        <v>1</v>
      </c>
      <c r="M55" s="34">
        <v>1</v>
      </c>
      <c r="N55" s="34">
        <v>1</v>
      </c>
      <c r="O55" s="34">
        <v>1</v>
      </c>
      <c r="P55" s="34">
        <v>1</v>
      </c>
      <c r="Q55" s="34">
        <v>1</v>
      </c>
      <c r="R55" s="34" t="s">
        <v>2</v>
      </c>
      <c r="S55" s="34" t="s">
        <v>2</v>
      </c>
      <c r="T55" s="34">
        <v>3</v>
      </c>
      <c r="U55" s="34">
        <v>3</v>
      </c>
      <c r="V55" s="34">
        <v>3</v>
      </c>
      <c r="W55" s="34">
        <v>3</v>
      </c>
      <c r="X55" s="34">
        <v>3</v>
      </c>
      <c r="Y55" s="34">
        <v>3</v>
      </c>
      <c r="Z55" s="34" t="s">
        <v>2</v>
      </c>
      <c r="AA55" s="34" t="s">
        <v>2</v>
      </c>
      <c r="AB55" s="34">
        <v>2</v>
      </c>
      <c r="AC55" s="34">
        <v>2</v>
      </c>
      <c r="AD55" s="34">
        <v>2</v>
      </c>
      <c r="AE55" s="34">
        <v>2</v>
      </c>
      <c r="AF55" s="34">
        <v>2</v>
      </c>
    </row>
    <row r="56" spans="1:32">
      <c r="A56" s="50" t="s">
        <v>5</v>
      </c>
      <c r="B56" s="34">
        <v>3</v>
      </c>
      <c r="C56" s="34">
        <v>3</v>
      </c>
      <c r="D56" s="34">
        <v>3</v>
      </c>
      <c r="E56" s="34">
        <v>3</v>
      </c>
      <c r="F56" s="34">
        <v>3</v>
      </c>
      <c r="G56" s="34">
        <v>3</v>
      </c>
      <c r="H56" s="34" t="s">
        <v>2</v>
      </c>
      <c r="I56" s="34" t="s">
        <v>2</v>
      </c>
      <c r="J56" s="34">
        <v>2</v>
      </c>
      <c r="K56" s="34">
        <v>2</v>
      </c>
      <c r="L56" s="34">
        <v>2</v>
      </c>
      <c r="M56" s="34">
        <v>2</v>
      </c>
      <c r="N56" s="34">
        <v>2</v>
      </c>
      <c r="O56" s="34">
        <v>2</v>
      </c>
      <c r="P56" s="34" t="s">
        <v>2</v>
      </c>
      <c r="Q56" s="34" t="s">
        <v>2</v>
      </c>
      <c r="R56" s="34">
        <v>1</v>
      </c>
      <c r="S56" s="34">
        <v>1</v>
      </c>
      <c r="T56" s="34">
        <v>1</v>
      </c>
      <c r="U56" s="34">
        <v>1</v>
      </c>
      <c r="V56" s="34">
        <v>1</v>
      </c>
      <c r="W56" s="34">
        <v>1</v>
      </c>
      <c r="X56" s="34" t="s">
        <v>2</v>
      </c>
      <c r="Y56" s="34" t="s">
        <v>2</v>
      </c>
      <c r="Z56" s="34">
        <v>3</v>
      </c>
      <c r="AA56" s="34">
        <v>3</v>
      </c>
      <c r="AB56" s="34">
        <v>3</v>
      </c>
      <c r="AC56" s="34">
        <v>3</v>
      </c>
      <c r="AD56" s="34">
        <v>3</v>
      </c>
      <c r="AE56" s="34">
        <v>3</v>
      </c>
      <c r="AF56" s="34" t="s">
        <v>2</v>
      </c>
    </row>
    <row r="59" spans="1:32" ht="12" customHeight="1">
      <c r="A59" s="49" t="s">
        <v>12</v>
      </c>
      <c r="B59" s="36">
        <v>1</v>
      </c>
      <c r="C59" s="36">
        <v>2</v>
      </c>
      <c r="D59" s="36">
        <v>3</v>
      </c>
      <c r="E59" s="36">
        <v>4</v>
      </c>
      <c r="F59" s="36">
        <v>5</v>
      </c>
      <c r="G59" s="36">
        <v>6</v>
      </c>
      <c r="H59" s="36">
        <v>7</v>
      </c>
      <c r="I59" s="36">
        <v>8</v>
      </c>
      <c r="J59" s="36">
        <v>9</v>
      </c>
      <c r="K59" s="36">
        <v>10</v>
      </c>
      <c r="L59" s="36">
        <v>11</v>
      </c>
      <c r="M59" s="36">
        <v>12</v>
      </c>
      <c r="N59" s="36">
        <v>13</v>
      </c>
      <c r="O59" s="36">
        <v>14</v>
      </c>
      <c r="P59" s="36">
        <v>15</v>
      </c>
      <c r="Q59" s="36">
        <v>16</v>
      </c>
      <c r="R59" s="36">
        <v>17</v>
      </c>
      <c r="S59" s="36">
        <v>18</v>
      </c>
      <c r="T59" s="36">
        <v>19</v>
      </c>
      <c r="U59" s="56">
        <v>20</v>
      </c>
      <c r="V59" s="36">
        <v>21</v>
      </c>
      <c r="W59" s="36">
        <v>22</v>
      </c>
      <c r="X59" s="36">
        <v>23</v>
      </c>
      <c r="Y59" s="36">
        <v>24</v>
      </c>
      <c r="Z59" s="36">
        <v>25</v>
      </c>
      <c r="AA59" s="36">
        <v>26</v>
      </c>
      <c r="AB59" s="36">
        <v>27</v>
      </c>
      <c r="AC59" s="36">
        <v>28</v>
      </c>
      <c r="AD59" s="36">
        <v>29</v>
      </c>
      <c r="AE59" s="36">
        <v>30</v>
      </c>
      <c r="AF59" s="36">
        <v>31</v>
      </c>
    </row>
    <row r="60" spans="1:32" ht="11.25" customHeight="1">
      <c r="A60" s="50"/>
      <c r="B60" s="35" t="s">
        <v>57</v>
      </c>
      <c r="C60" s="35" t="s">
        <v>1</v>
      </c>
      <c r="D60" s="35" t="s">
        <v>58</v>
      </c>
      <c r="E60" s="35" t="s">
        <v>53</v>
      </c>
      <c r="F60" s="35" t="s">
        <v>54</v>
      </c>
      <c r="G60" s="35" t="s">
        <v>55</v>
      </c>
      <c r="H60" s="35" t="s">
        <v>56</v>
      </c>
      <c r="I60" s="35" t="s">
        <v>57</v>
      </c>
      <c r="J60" s="35" t="s">
        <v>1</v>
      </c>
      <c r="K60" s="35" t="s">
        <v>58</v>
      </c>
      <c r="L60" s="35" t="s">
        <v>53</v>
      </c>
      <c r="M60" s="35" t="s">
        <v>54</v>
      </c>
      <c r="N60" s="35" t="s">
        <v>55</v>
      </c>
      <c r="O60" s="35" t="s">
        <v>56</v>
      </c>
      <c r="P60" s="35" t="s">
        <v>57</v>
      </c>
      <c r="Q60" s="35" t="s">
        <v>1</v>
      </c>
      <c r="R60" s="35" t="s">
        <v>58</v>
      </c>
      <c r="S60" s="35" t="s">
        <v>53</v>
      </c>
      <c r="T60" s="35" t="s">
        <v>54</v>
      </c>
      <c r="U60" s="35" t="s">
        <v>55</v>
      </c>
      <c r="V60" s="35" t="s">
        <v>56</v>
      </c>
      <c r="W60" s="35" t="s">
        <v>57</v>
      </c>
      <c r="X60" s="35" t="s">
        <v>1</v>
      </c>
      <c r="Y60" s="35" t="s">
        <v>58</v>
      </c>
      <c r="Z60" s="35" t="s">
        <v>53</v>
      </c>
      <c r="AA60" s="35" t="s">
        <v>54</v>
      </c>
      <c r="AB60" s="35" t="s">
        <v>55</v>
      </c>
      <c r="AC60" s="35" t="s">
        <v>56</v>
      </c>
      <c r="AD60" s="35" t="s">
        <v>57</v>
      </c>
      <c r="AE60" s="35" t="s">
        <v>1</v>
      </c>
      <c r="AF60" s="35" t="s">
        <v>58</v>
      </c>
    </row>
    <row r="61" spans="1:32">
      <c r="A61" s="50" t="s">
        <v>42</v>
      </c>
      <c r="B61" s="34">
        <v>3</v>
      </c>
      <c r="C61" s="34">
        <v>3</v>
      </c>
      <c r="D61" s="34">
        <v>3</v>
      </c>
      <c r="E61" s="34">
        <v>3</v>
      </c>
      <c r="F61" s="34">
        <v>3</v>
      </c>
      <c r="G61" s="34" t="s">
        <v>2</v>
      </c>
      <c r="H61" s="34" t="s">
        <v>2</v>
      </c>
      <c r="I61" s="34">
        <v>2</v>
      </c>
      <c r="J61" s="34">
        <v>2</v>
      </c>
      <c r="K61" s="34">
        <v>2</v>
      </c>
      <c r="L61" s="34">
        <v>2</v>
      </c>
      <c r="M61" s="34">
        <v>2</v>
      </c>
      <c r="N61" s="34">
        <v>2</v>
      </c>
      <c r="O61" s="34" t="s">
        <v>2</v>
      </c>
      <c r="P61" s="34" t="s">
        <v>2</v>
      </c>
      <c r="Q61" s="34">
        <v>1</v>
      </c>
      <c r="R61" s="34">
        <v>1</v>
      </c>
      <c r="S61" s="34">
        <v>1</v>
      </c>
      <c r="T61" s="34">
        <v>1</v>
      </c>
      <c r="U61" s="34">
        <v>1</v>
      </c>
      <c r="V61" s="34">
        <v>1</v>
      </c>
      <c r="W61" s="34" t="s">
        <v>2</v>
      </c>
      <c r="X61" s="34" t="s">
        <v>2</v>
      </c>
      <c r="Y61" s="34">
        <v>3</v>
      </c>
      <c r="Z61" s="34">
        <v>3</v>
      </c>
      <c r="AA61" s="34">
        <v>3</v>
      </c>
      <c r="AB61" s="34">
        <v>3</v>
      </c>
      <c r="AC61" s="34">
        <v>3</v>
      </c>
      <c r="AD61" s="34">
        <v>3</v>
      </c>
      <c r="AE61" s="34" t="s">
        <v>2</v>
      </c>
      <c r="AF61" s="34" t="s">
        <v>2</v>
      </c>
    </row>
    <row r="62" spans="1:32">
      <c r="A62" s="50" t="s">
        <v>3</v>
      </c>
      <c r="B62" s="34">
        <v>1</v>
      </c>
      <c r="C62" s="34">
        <v>1</v>
      </c>
      <c r="D62" s="34">
        <v>1</v>
      </c>
      <c r="E62" s="34" t="s">
        <v>2</v>
      </c>
      <c r="F62" s="34" t="s">
        <v>2</v>
      </c>
      <c r="G62" s="34">
        <v>3</v>
      </c>
      <c r="H62" s="34">
        <v>3</v>
      </c>
      <c r="I62" s="34">
        <v>3</v>
      </c>
      <c r="J62" s="34">
        <v>3</v>
      </c>
      <c r="K62" s="34">
        <v>3</v>
      </c>
      <c r="L62" s="34">
        <v>3</v>
      </c>
      <c r="M62" s="34" t="s">
        <v>2</v>
      </c>
      <c r="N62" s="34" t="s">
        <v>2</v>
      </c>
      <c r="O62" s="34">
        <v>2</v>
      </c>
      <c r="P62" s="34">
        <v>2</v>
      </c>
      <c r="Q62" s="34">
        <v>2</v>
      </c>
      <c r="R62" s="34">
        <v>2</v>
      </c>
      <c r="S62" s="34">
        <v>2</v>
      </c>
      <c r="T62" s="34">
        <v>2</v>
      </c>
      <c r="U62" s="34" t="s">
        <v>2</v>
      </c>
      <c r="V62" s="34" t="s">
        <v>2</v>
      </c>
      <c r="W62" s="34">
        <v>1</v>
      </c>
      <c r="X62" s="34">
        <v>1</v>
      </c>
      <c r="Y62" s="34">
        <v>1</v>
      </c>
      <c r="Z62" s="34">
        <v>1</v>
      </c>
      <c r="AA62" s="34">
        <v>1</v>
      </c>
      <c r="AB62" s="34">
        <v>1</v>
      </c>
      <c r="AC62" s="34" t="s">
        <v>2</v>
      </c>
      <c r="AD62" s="34" t="s">
        <v>2</v>
      </c>
      <c r="AE62" s="34">
        <v>3</v>
      </c>
      <c r="AF62" s="34">
        <v>3</v>
      </c>
    </row>
    <row r="63" spans="1:32">
      <c r="A63" s="50" t="s">
        <v>4</v>
      </c>
      <c r="B63" s="34">
        <v>2</v>
      </c>
      <c r="C63" s="34" t="s">
        <v>2</v>
      </c>
      <c r="D63" s="34" t="s">
        <v>2</v>
      </c>
      <c r="E63" s="34">
        <v>1</v>
      </c>
      <c r="F63" s="34">
        <v>1</v>
      </c>
      <c r="G63" s="34">
        <v>1</v>
      </c>
      <c r="H63" s="34">
        <v>1</v>
      </c>
      <c r="I63" s="34">
        <v>1</v>
      </c>
      <c r="J63" s="34">
        <v>1</v>
      </c>
      <c r="K63" s="34" t="s">
        <v>2</v>
      </c>
      <c r="L63" s="34" t="s">
        <v>2</v>
      </c>
      <c r="M63" s="34">
        <v>3</v>
      </c>
      <c r="N63" s="34">
        <v>3</v>
      </c>
      <c r="O63" s="34">
        <v>3</v>
      </c>
      <c r="P63" s="34">
        <v>3</v>
      </c>
      <c r="Q63" s="34">
        <v>3</v>
      </c>
      <c r="R63" s="34">
        <v>3</v>
      </c>
      <c r="S63" s="34" t="s">
        <v>2</v>
      </c>
      <c r="T63" s="34" t="s">
        <v>2</v>
      </c>
      <c r="U63" s="34">
        <v>2</v>
      </c>
      <c r="V63" s="34">
        <v>2</v>
      </c>
      <c r="W63" s="34">
        <v>2</v>
      </c>
      <c r="X63" s="34">
        <v>2</v>
      </c>
      <c r="Y63" s="34">
        <v>2</v>
      </c>
      <c r="Z63" s="34">
        <v>2</v>
      </c>
      <c r="AA63" s="34" t="s">
        <v>2</v>
      </c>
      <c r="AB63" s="34" t="s">
        <v>2</v>
      </c>
      <c r="AC63" s="34">
        <v>1</v>
      </c>
      <c r="AD63" s="34">
        <v>1</v>
      </c>
      <c r="AE63" s="34">
        <v>1</v>
      </c>
      <c r="AF63" s="34">
        <v>1</v>
      </c>
    </row>
    <row r="64" spans="1:32">
      <c r="A64" s="50" t="s">
        <v>5</v>
      </c>
      <c r="B64" s="34" t="s">
        <v>2</v>
      </c>
      <c r="C64" s="34">
        <v>2</v>
      </c>
      <c r="D64" s="34">
        <v>2</v>
      </c>
      <c r="E64" s="34">
        <v>2</v>
      </c>
      <c r="F64" s="34">
        <v>2</v>
      </c>
      <c r="G64" s="34">
        <v>2</v>
      </c>
      <c r="H64" s="34">
        <v>2</v>
      </c>
      <c r="I64" s="34" t="s">
        <v>2</v>
      </c>
      <c r="J64" s="34" t="s">
        <v>2</v>
      </c>
      <c r="K64" s="34">
        <v>1</v>
      </c>
      <c r="L64" s="34">
        <v>1</v>
      </c>
      <c r="M64" s="34">
        <v>1</v>
      </c>
      <c r="N64" s="34">
        <v>1</v>
      </c>
      <c r="O64" s="34">
        <v>1</v>
      </c>
      <c r="P64" s="34">
        <v>1</v>
      </c>
      <c r="Q64" s="34" t="s">
        <v>2</v>
      </c>
      <c r="R64" s="34" t="s">
        <v>2</v>
      </c>
      <c r="S64" s="34">
        <v>3</v>
      </c>
      <c r="T64" s="34">
        <v>3</v>
      </c>
      <c r="U64" s="34">
        <v>3</v>
      </c>
      <c r="V64" s="34">
        <v>3</v>
      </c>
      <c r="W64" s="34">
        <v>3</v>
      </c>
      <c r="X64" s="34">
        <v>3</v>
      </c>
      <c r="Y64" s="34" t="s">
        <v>2</v>
      </c>
      <c r="Z64" s="34" t="s">
        <v>2</v>
      </c>
      <c r="AA64" s="34">
        <v>2</v>
      </c>
      <c r="AB64" s="34">
        <v>2</v>
      </c>
      <c r="AC64" s="34">
        <v>2</v>
      </c>
      <c r="AD64" s="34">
        <v>2</v>
      </c>
      <c r="AE64" s="34">
        <v>2</v>
      </c>
      <c r="AF64" s="34">
        <v>2</v>
      </c>
    </row>
    <row r="67" spans="1:32">
      <c r="A67" s="49" t="s">
        <v>13</v>
      </c>
      <c r="B67" s="36">
        <v>1</v>
      </c>
      <c r="C67" s="36">
        <v>2</v>
      </c>
      <c r="D67" s="36">
        <v>3</v>
      </c>
      <c r="E67" s="36">
        <v>4</v>
      </c>
      <c r="F67" s="36">
        <v>5</v>
      </c>
      <c r="G67" s="36">
        <v>6</v>
      </c>
      <c r="H67" s="36">
        <v>7</v>
      </c>
      <c r="I67" s="36">
        <v>8</v>
      </c>
      <c r="J67" s="36">
        <v>9</v>
      </c>
      <c r="K67" s="36">
        <v>10</v>
      </c>
      <c r="L67" s="36">
        <v>11</v>
      </c>
      <c r="M67" s="36">
        <v>12</v>
      </c>
      <c r="N67" s="36">
        <v>13</v>
      </c>
      <c r="O67" s="36">
        <v>14</v>
      </c>
      <c r="P67" s="36">
        <v>15</v>
      </c>
      <c r="Q67" s="36">
        <v>16</v>
      </c>
      <c r="R67" s="36">
        <v>17</v>
      </c>
      <c r="S67" s="36">
        <v>18</v>
      </c>
      <c r="T67" s="36">
        <v>19</v>
      </c>
      <c r="U67" s="36">
        <v>20</v>
      </c>
      <c r="V67" s="36">
        <v>21</v>
      </c>
      <c r="W67" s="36">
        <v>22</v>
      </c>
      <c r="X67" s="36">
        <v>23</v>
      </c>
      <c r="Y67" s="36">
        <v>24</v>
      </c>
      <c r="Z67" s="36">
        <v>25</v>
      </c>
      <c r="AA67" s="36">
        <v>26</v>
      </c>
      <c r="AB67" s="36">
        <v>27</v>
      </c>
      <c r="AC67" s="36">
        <v>28</v>
      </c>
      <c r="AD67" s="36">
        <v>29</v>
      </c>
      <c r="AE67" s="36">
        <v>30</v>
      </c>
      <c r="AF67" s="2"/>
    </row>
    <row r="68" spans="1:32">
      <c r="A68" s="50"/>
      <c r="B68" s="35" t="s">
        <v>53</v>
      </c>
      <c r="C68" s="35" t="s">
        <v>54</v>
      </c>
      <c r="D68" s="35" t="s">
        <v>55</v>
      </c>
      <c r="E68" s="35" t="s">
        <v>56</v>
      </c>
      <c r="F68" s="35" t="s">
        <v>57</v>
      </c>
      <c r="G68" s="35" t="s">
        <v>1</v>
      </c>
      <c r="H68" s="35" t="s">
        <v>58</v>
      </c>
      <c r="I68" s="35" t="s">
        <v>53</v>
      </c>
      <c r="J68" s="35" t="s">
        <v>54</v>
      </c>
      <c r="K68" s="35" t="s">
        <v>55</v>
      </c>
      <c r="L68" s="35" t="s">
        <v>56</v>
      </c>
      <c r="M68" s="35" t="s">
        <v>57</v>
      </c>
      <c r="N68" s="35" t="s">
        <v>1</v>
      </c>
      <c r="O68" s="35" t="s">
        <v>58</v>
      </c>
      <c r="P68" s="35" t="s">
        <v>53</v>
      </c>
      <c r="Q68" s="35" t="s">
        <v>54</v>
      </c>
      <c r="R68" s="35" t="s">
        <v>55</v>
      </c>
      <c r="S68" s="35" t="s">
        <v>56</v>
      </c>
      <c r="T68" s="35" t="s">
        <v>57</v>
      </c>
      <c r="U68" s="35" t="s">
        <v>1</v>
      </c>
      <c r="V68" s="35" t="s">
        <v>58</v>
      </c>
      <c r="W68" s="35" t="s">
        <v>53</v>
      </c>
      <c r="X68" s="35" t="s">
        <v>54</v>
      </c>
      <c r="Y68" s="35" t="s">
        <v>55</v>
      </c>
      <c r="Z68" s="35" t="s">
        <v>56</v>
      </c>
      <c r="AA68" s="35" t="s">
        <v>57</v>
      </c>
      <c r="AB68" s="35" t="s">
        <v>1</v>
      </c>
      <c r="AC68" s="35" t="s">
        <v>58</v>
      </c>
      <c r="AD68" s="35" t="s">
        <v>53</v>
      </c>
      <c r="AE68" s="35" t="s">
        <v>54</v>
      </c>
      <c r="AF68" s="3"/>
    </row>
    <row r="69" spans="1:32">
      <c r="A69" s="50" t="s">
        <v>42</v>
      </c>
      <c r="B69" s="34">
        <v>2</v>
      </c>
      <c r="C69" s="34">
        <v>2</v>
      </c>
      <c r="D69" s="34">
        <v>2</v>
      </c>
      <c r="E69" s="34">
        <v>2</v>
      </c>
      <c r="F69" s="34">
        <v>2</v>
      </c>
      <c r="G69" s="34">
        <v>2</v>
      </c>
      <c r="H69" s="34" t="s">
        <v>2</v>
      </c>
      <c r="I69" s="34" t="s">
        <v>2</v>
      </c>
      <c r="J69" s="34">
        <v>1</v>
      </c>
      <c r="K69" s="34">
        <v>1</v>
      </c>
      <c r="L69" s="34">
        <v>1</v>
      </c>
      <c r="M69" s="34">
        <v>1</v>
      </c>
      <c r="N69" s="34">
        <v>1</v>
      </c>
      <c r="O69" s="34">
        <v>1</v>
      </c>
      <c r="P69" s="34" t="s">
        <v>2</v>
      </c>
      <c r="Q69" s="34" t="s">
        <v>2</v>
      </c>
      <c r="R69" s="34">
        <v>3</v>
      </c>
      <c r="S69" s="34">
        <v>3</v>
      </c>
      <c r="T69" s="34">
        <v>3</v>
      </c>
      <c r="U69" s="34">
        <v>3</v>
      </c>
      <c r="V69" s="34">
        <v>3</v>
      </c>
      <c r="W69" s="34">
        <v>3</v>
      </c>
      <c r="X69" s="34" t="s">
        <v>2</v>
      </c>
      <c r="Y69" s="34" t="s">
        <v>2</v>
      </c>
      <c r="Z69" s="34">
        <v>2</v>
      </c>
      <c r="AA69" s="34">
        <v>2</v>
      </c>
      <c r="AB69" s="34">
        <v>2</v>
      </c>
      <c r="AC69" s="34">
        <v>2</v>
      </c>
      <c r="AD69" s="34">
        <v>2</v>
      </c>
      <c r="AE69" s="34">
        <v>2</v>
      </c>
      <c r="AF69" s="3"/>
    </row>
    <row r="70" spans="1:32">
      <c r="A70" s="50" t="s">
        <v>3</v>
      </c>
      <c r="B70" s="34">
        <v>3</v>
      </c>
      <c r="C70" s="34">
        <v>3</v>
      </c>
      <c r="D70" s="34">
        <v>3</v>
      </c>
      <c r="E70" s="34">
        <v>3</v>
      </c>
      <c r="F70" s="34" t="s">
        <v>2</v>
      </c>
      <c r="G70" s="34" t="s">
        <v>2</v>
      </c>
      <c r="H70" s="34">
        <v>2</v>
      </c>
      <c r="I70" s="34">
        <v>2</v>
      </c>
      <c r="J70" s="34">
        <v>2</v>
      </c>
      <c r="K70" s="34">
        <v>2</v>
      </c>
      <c r="L70" s="34">
        <v>2</v>
      </c>
      <c r="M70" s="34">
        <v>2</v>
      </c>
      <c r="N70" s="34" t="s">
        <v>2</v>
      </c>
      <c r="O70" s="34" t="s">
        <v>2</v>
      </c>
      <c r="P70" s="34">
        <v>1</v>
      </c>
      <c r="Q70" s="34">
        <v>1</v>
      </c>
      <c r="R70" s="34">
        <v>1</v>
      </c>
      <c r="S70" s="34">
        <v>1</v>
      </c>
      <c r="T70" s="34">
        <v>1</v>
      </c>
      <c r="U70" s="34">
        <v>1</v>
      </c>
      <c r="V70" s="34" t="s">
        <v>2</v>
      </c>
      <c r="W70" s="34" t="s">
        <v>2</v>
      </c>
      <c r="X70" s="34">
        <v>3</v>
      </c>
      <c r="Y70" s="34">
        <v>3</v>
      </c>
      <c r="Z70" s="34">
        <v>3</v>
      </c>
      <c r="AA70" s="34">
        <v>3</v>
      </c>
      <c r="AB70" s="34">
        <v>3</v>
      </c>
      <c r="AC70" s="34">
        <v>3</v>
      </c>
      <c r="AD70" s="34" t="s">
        <v>2</v>
      </c>
      <c r="AE70" s="34" t="s">
        <v>2</v>
      </c>
      <c r="AF70" s="3"/>
    </row>
    <row r="71" spans="1:32">
      <c r="A71" s="50" t="s">
        <v>4</v>
      </c>
      <c r="B71" s="34">
        <v>1</v>
      </c>
      <c r="C71" s="34">
        <v>1</v>
      </c>
      <c r="D71" s="34" t="s">
        <v>2</v>
      </c>
      <c r="E71" s="34" t="s">
        <v>2</v>
      </c>
      <c r="F71" s="34">
        <v>3</v>
      </c>
      <c r="G71" s="34">
        <v>3</v>
      </c>
      <c r="H71" s="34">
        <v>3</v>
      </c>
      <c r="I71" s="34">
        <v>3</v>
      </c>
      <c r="J71" s="34">
        <v>3</v>
      </c>
      <c r="K71" s="34">
        <v>3</v>
      </c>
      <c r="L71" s="34" t="s">
        <v>2</v>
      </c>
      <c r="M71" s="34" t="s">
        <v>2</v>
      </c>
      <c r="N71" s="34">
        <v>2</v>
      </c>
      <c r="O71" s="34">
        <v>2</v>
      </c>
      <c r="P71" s="34">
        <v>2</v>
      </c>
      <c r="Q71" s="34">
        <v>2</v>
      </c>
      <c r="R71" s="34">
        <v>2</v>
      </c>
      <c r="S71" s="34">
        <v>2</v>
      </c>
      <c r="T71" s="34" t="s">
        <v>2</v>
      </c>
      <c r="U71" s="34" t="s">
        <v>2</v>
      </c>
      <c r="V71" s="34">
        <v>1</v>
      </c>
      <c r="W71" s="34">
        <v>1</v>
      </c>
      <c r="X71" s="34">
        <v>1</v>
      </c>
      <c r="Y71" s="34">
        <v>1</v>
      </c>
      <c r="Z71" s="34">
        <v>1</v>
      </c>
      <c r="AA71" s="34">
        <v>1</v>
      </c>
      <c r="AB71" s="34" t="s">
        <v>2</v>
      </c>
      <c r="AC71" s="34" t="s">
        <v>2</v>
      </c>
      <c r="AD71" s="34">
        <v>3</v>
      </c>
      <c r="AE71" s="34">
        <v>3</v>
      </c>
      <c r="AF71" s="3"/>
    </row>
    <row r="72" spans="1:32">
      <c r="A72" s="50" t="s">
        <v>5</v>
      </c>
      <c r="B72" s="34" t="s">
        <v>2</v>
      </c>
      <c r="C72" s="34" t="s">
        <v>2</v>
      </c>
      <c r="D72" s="34">
        <v>1</v>
      </c>
      <c r="E72" s="34">
        <v>1</v>
      </c>
      <c r="F72" s="34">
        <v>1</v>
      </c>
      <c r="G72" s="34">
        <v>1</v>
      </c>
      <c r="H72" s="34">
        <v>1</v>
      </c>
      <c r="I72" s="34">
        <v>1</v>
      </c>
      <c r="J72" s="34" t="s">
        <v>2</v>
      </c>
      <c r="K72" s="34" t="s">
        <v>2</v>
      </c>
      <c r="L72" s="34">
        <v>3</v>
      </c>
      <c r="M72" s="34">
        <v>3</v>
      </c>
      <c r="N72" s="34">
        <v>3</v>
      </c>
      <c r="O72" s="34">
        <v>3</v>
      </c>
      <c r="P72" s="34">
        <v>3</v>
      </c>
      <c r="Q72" s="34">
        <v>3</v>
      </c>
      <c r="R72" s="34" t="s">
        <v>2</v>
      </c>
      <c r="S72" s="34" t="s">
        <v>2</v>
      </c>
      <c r="T72" s="34">
        <v>2</v>
      </c>
      <c r="U72" s="34">
        <v>2</v>
      </c>
      <c r="V72" s="34">
        <v>2</v>
      </c>
      <c r="W72" s="34">
        <v>2</v>
      </c>
      <c r="X72" s="34">
        <v>2</v>
      </c>
      <c r="Y72" s="34">
        <v>2</v>
      </c>
      <c r="Z72" s="34" t="s">
        <v>2</v>
      </c>
      <c r="AA72" s="34" t="s">
        <v>2</v>
      </c>
      <c r="AB72" s="34">
        <v>1</v>
      </c>
      <c r="AC72" s="34">
        <v>1</v>
      </c>
      <c r="AD72" s="34">
        <v>1</v>
      </c>
      <c r="AE72" s="34">
        <v>1</v>
      </c>
      <c r="AF72" s="3"/>
    </row>
    <row r="75" spans="1:32">
      <c r="A75" s="49" t="s">
        <v>14</v>
      </c>
      <c r="B75" s="36">
        <v>1</v>
      </c>
      <c r="C75" s="36">
        <v>2</v>
      </c>
      <c r="D75" s="36">
        <v>3</v>
      </c>
      <c r="E75" s="36">
        <v>4</v>
      </c>
      <c r="F75" s="36">
        <v>5</v>
      </c>
      <c r="G75" s="36">
        <v>6</v>
      </c>
      <c r="H75" s="36">
        <v>7</v>
      </c>
      <c r="I75" s="36">
        <v>8</v>
      </c>
      <c r="J75" s="36">
        <v>9</v>
      </c>
      <c r="K75" s="36">
        <v>10</v>
      </c>
      <c r="L75" s="36">
        <v>11</v>
      </c>
      <c r="M75" s="36">
        <v>12</v>
      </c>
      <c r="N75" s="36">
        <v>13</v>
      </c>
      <c r="O75" s="36">
        <v>14</v>
      </c>
      <c r="P75" s="36">
        <v>15</v>
      </c>
      <c r="Q75" s="36">
        <v>16</v>
      </c>
      <c r="R75" s="36">
        <v>17</v>
      </c>
      <c r="S75" s="36">
        <v>18</v>
      </c>
      <c r="T75" s="36">
        <v>19</v>
      </c>
      <c r="U75" s="36">
        <v>20</v>
      </c>
      <c r="V75" s="36">
        <v>21</v>
      </c>
      <c r="W75" s="36">
        <v>22</v>
      </c>
      <c r="X75" s="56">
        <v>23</v>
      </c>
      <c r="Y75" s="36">
        <v>24</v>
      </c>
      <c r="Z75" s="36">
        <v>25</v>
      </c>
      <c r="AA75" s="36">
        <v>26</v>
      </c>
      <c r="AB75" s="36">
        <v>27</v>
      </c>
      <c r="AC75" s="36">
        <v>28</v>
      </c>
      <c r="AD75" s="36">
        <v>29</v>
      </c>
      <c r="AE75" s="36">
        <v>30</v>
      </c>
      <c r="AF75" s="36">
        <v>31</v>
      </c>
    </row>
    <row r="76" spans="1:32">
      <c r="A76" s="50"/>
      <c r="B76" s="35" t="s">
        <v>55</v>
      </c>
      <c r="C76" s="35" t="s">
        <v>56</v>
      </c>
      <c r="D76" s="35" t="s">
        <v>57</v>
      </c>
      <c r="E76" s="35" t="s">
        <v>1</v>
      </c>
      <c r="F76" s="35" t="s">
        <v>58</v>
      </c>
      <c r="G76" s="35" t="s">
        <v>53</v>
      </c>
      <c r="H76" s="35" t="s">
        <v>54</v>
      </c>
      <c r="I76" s="35" t="s">
        <v>55</v>
      </c>
      <c r="J76" s="35" t="s">
        <v>56</v>
      </c>
      <c r="K76" s="35" t="s">
        <v>57</v>
      </c>
      <c r="L76" s="35" t="s">
        <v>1</v>
      </c>
      <c r="M76" s="35" t="s">
        <v>58</v>
      </c>
      <c r="N76" s="35" t="s">
        <v>53</v>
      </c>
      <c r="O76" s="35" t="s">
        <v>54</v>
      </c>
      <c r="P76" s="35" t="s">
        <v>55</v>
      </c>
      <c r="Q76" s="35" t="s">
        <v>56</v>
      </c>
      <c r="R76" s="35" t="s">
        <v>57</v>
      </c>
      <c r="S76" s="35" t="s">
        <v>1</v>
      </c>
      <c r="T76" s="35" t="s">
        <v>58</v>
      </c>
      <c r="U76" s="35" t="s">
        <v>53</v>
      </c>
      <c r="V76" s="35" t="s">
        <v>54</v>
      </c>
      <c r="W76" s="35" t="s">
        <v>55</v>
      </c>
      <c r="X76" s="35" t="s">
        <v>56</v>
      </c>
      <c r="Y76" s="35" t="s">
        <v>57</v>
      </c>
      <c r="Z76" s="35" t="s">
        <v>1</v>
      </c>
      <c r="AA76" s="35" t="s">
        <v>58</v>
      </c>
      <c r="AB76" s="35" t="s">
        <v>53</v>
      </c>
      <c r="AC76" s="35" t="s">
        <v>54</v>
      </c>
      <c r="AD76" s="35" t="s">
        <v>55</v>
      </c>
      <c r="AE76" s="35" t="s">
        <v>56</v>
      </c>
      <c r="AF76" s="35" t="s">
        <v>57</v>
      </c>
    </row>
    <row r="77" spans="1:32">
      <c r="A77" s="50" t="s">
        <v>42</v>
      </c>
      <c r="B77" s="34" t="s">
        <v>2</v>
      </c>
      <c r="C77" s="34" t="s">
        <v>2</v>
      </c>
      <c r="D77" s="34">
        <v>1</v>
      </c>
      <c r="E77" s="34">
        <v>1</v>
      </c>
      <c r="F77" s="34">
        <v>1</v>
      </c>
      <c r="G77" s="34">
        <v>1</v>
      </c>
      <c r="H77" s="34">
        <v>1</v>
      </c>
      <c r="I77" s="34">
        <v>1</v>
      </c>
      <c r="J77" s="34" t="s">
        <v>2</v>
      </c>
      <c r="K77" s="34" t="s">
        <v>2</v>
      </c>
      <c r="L77" s="34">
        <v>3</v>
      </c>
      <c r="M77" s="34">
        <v>3</v>
      </c>
      <c r="N77" s="34">
        <v>3</v>
      </c>
      <c r="O77" s="34">
        <v>3</v>
      </c>
      <c r="P77" s="34">
        <v>3</v>
      </c>
      <c r="Q77" s="34">
        <v>3</v>
      </c>
      <c r="R77" s="34" t="s">
        <v>2</v>
      </c>
      <c r="S77" s="34" t="s">
        <v>2</v>
      </c>
      <c r="T77" s="34">
        <v>2</v>
      </c>
      <c r="U77" s="34">
        <v>2</v>
      </c>
      <c r="V77" s="34">
        <v>2</v>
      </c>
      <c r="W77" s="34">
        <v>2</v>
      </c>
      <c r="X77" s="34">
        <v>2</v>
      </c>
      <c r="Y77" s="34">
        <v>2</v>
      </c>
      <c r="Z77" s="34" t="s">
        <v>2</v>
      </c>
      <c r="AA77" s="34" t="s">
        <v>2</v>
      </c>
      <c r="AB77" s="34">
        <v>1</v>
      </c>
      <c r="AC77" s="34">
        <v>1</v>
      </c>
      <c r="AD77" s="34">
        <v>1</v>
      </c>
      <c r="AE77" s="34">
        <v>1</v>
      </c>
      <c r="AF77" s="34">
        <v>1</v>
      </c>
    </row>
    <row r="78" spans="1:32">
      <c r="A78" s="50" t="s">
        <v>3</v>
      </c>
      <c r="B78" s="34">
        <v>2</v>
      </c>
      <c r="C78" s="34">
        <v>2</v>
      </c>
      <c r="D78" s="34">
        <v>2</v>
      </c>
      <c r="E78" s="34">
        <v>2</v>
      </c>
      <c r="F78" s="34">
        <v>2</v>
      </c>
      <c r="G78" s="34">
        <v>2</v>
      </c>
      <c r="H78" s="34" t="s">
        <v>2</v>
      </c>
      <c r="I78" s="34" t="s">
        <v>2</v>
      </c>
      <c r="J78" s="34">
        <v>1</v>
      </c>
      <c r="K78" s="34">
        <v>1</v>
      </c>
      <c r="L78" s="34">
        <v>1</v>
      </c>
      <c r="M78" s="34">
        <v>1</v>
      </c>
      <c r="N78" s="34">
        <v>1</v>
      </c>
      <c r="O78" s="34">
        <v>1</v>
      </c>
      <c r="P78" s="34" t="s">
        <v>2</v>
      </c>
      <c r="Q78" s="34" t="s">
        <v>2</v>
      </c>
      <c r="R78" s="34">
        <v>3</v>
      </c>
      <c r="S78" s="34">
        <v>3</v>
      </c>
      <c r="T78" s="34">
        <v>3</v>
      </c>
      <c r="U78" s="34">
        <v>3</v>
      </c>
      <c r="V78" s="34">
        <v>3</v>
      </c>
      <c r="W78" s="34">
        <v>3</v>
      </c>
      <c r="X78" s="34" t="s">
        <v>2</v>
      </c>
      <c r="Y78" s="34" t="s">
        <v>2</v>
      </c>
      <c r="Z78" s="34">
        <v>2</v>
      </c>
      <c r="AA78" s="34">
        <v>2</v>
      </c>
      <c r="AB78" s="34">
        <v>2</v>
      </c>
      <c r="AC78" s="34">
        <v>2</v>
      </c>
      <c r="AD78" s="34">
        <v>2</v>
      </c>
      <c r="AE78" s="34">
        <v>2</v>
      </c>
      <c r="AF78" s="34" t="s">
        <v>2</v>
      </c>
    </row>
    <row r="79" spans="1:32">
      <c r="A79" s="50" t="s">
        <v>4</v>
      </c>
      <c r="B79" s="34">
        <v>3</v>
      </c>
      <c r="C79" s="34">
        <v>3</v>
      </c>
      <c r="D79" s="34">
        <v>3</v>
      </c>
      <c r="E79" s="34">
        <v>3</v>
      </c>
      <c r="F79" s="34" t="s">
        <v>2</v>
      </c>
      <c r="G79" s="34" t="s">
        <v>2</v>
      </c>
      <c r="H79" s="34">
        <v>2</v>
      </c>
      <c r="I79" s="34">
        <v>2</v>
      </c>
      <c r="J79" s="34">
        <v>2</v>
      </c>
      <c r="K79" s="34">
        <v>2</v>
      </c>
      <c r="L79" s="34">
        <v>2</v>
      </c>
      <c r="M79" s="34">
        <v>2</v>
      </c>
      <c r="N79" s="34" t="s">
        <v>2</v>
      </c>
      <c r="O79" s="34" t="s">
        <v>2</v>
      </c>
      <c r="P79" s="34">
        <v>1</v>
      </c>
      <c r="Q79" s="34">
        <v>1</v>
      </c>
      <c r="R79" s="34">
        <v>1</v>
      </c>
      <c r="S79" s="34">
        <v>1</v>
      </c>
      <c r="T79" s="34">
        <v>1</v>
      </c>
      <c r="U79" s="34">
        <v>1</v>
      </c>
      <c r="V79" s="34" t="s">
        <v>2</v>
      </c>
      <c r="W79" s="34" t="s">
        <v>2</v>
      </c>
      <c r="X79" s="34">
        <v>3</v>
      </c>
      <c r="Y79" s="34">
        <v>3</v>
      </c>
      <c r="Z79" s="34">
        <v>3</v>
      </c>
      <c r="AA79" s="34">
        <v>3</v>
      </c>
      <c r="AB79" s="34">
        <v>3</v>
      </c>
      <c r="AC79" s="34">
        <v>3</v>
      </c>
      <c r="AD79" s="34" t="s">
        <v>2</v>
      </c>
      <c r="AE79" s="34" t="s">
        <v>2</v>
      </c>
      <c r="AF79" s="34">
        <v>2</v>
      </c>
    </row>
    <row r="80" spans="1:32">
      <c r="A80" s="50" t="s">
        <v>5</v>
      </c>
      <c r="B80" s="34">
        <v>1</v>
      </c>
      <c r="C80" s="34">
        <v>1</v>
      </c>
      <c r="D80" s="34" t="s">
        <v>2</v>
      </c>
      <c r="E80" s="34" t="s">
        <v>2</v>
      </c>
      <c r="F80" s="34">
        <v>3</v>
      </c>
      <c r="G80" s="34">
        <v>3</v>
      </c>
      <c r="H80" s="34">
        <v>3</v>
      </c>
      <c r="I80" s="34">
        <v>3</v>
      </c>
      <c r="J80" s="34">
        <v>3</v>
      </c>
      <c r="K80" s="34">
        <v>3</v>
      </c>
      <c r="L80" s="34" t="s">
        <v>2</v>
      </c>
      <c r="M80" s="34" t="s">
        <v>2</v>
      </c>
      <c r="N80" s="34">
        <v>2</v>
      </c>
      <c r="O80" s="34">
        <v>2</v>
      </c>
      <c r="P80" s="34">
        <v>2</v>
      </c>
      <c r="Q80" s="34">
        <v>2</v>
      </c>
      <c r="R80" s="34">
        <v>2</v>
      </c>
      <c r="S80" s="34">
        <v>2</v>
      </c>
      <c r="T80" s="34" t="s">
        <v>2</v>
      </c>
      <c r="U80" s="34" t="s">
        <v>2</v>
      </c>
      <c r="V80" s="34">
        <v>1</v>
      </c>
      <c r="W80" s="34">
        <v>1</v>
      </c>
      <c r="X80" s="34">
        <v>1</v>
      </c>
      <c r="Y80" s="34">
        <v>1</v>
      </c>
      <c r="Z80" s="34">
        <v>1</v>
      </c>
      <c r="AA80" s="34">
        <v>1</v>
      </c>
      <c r="AB80" s="34" t="s">
        <v>2</v>
      </c>
      <c r="AC80" s="34" t="s">
        <v>2</v>
      </c>
      <c r="AD80" s="34">
        <v>3</v>
      </c>
      <c r="AE80" s="34">
        <v>3</v>
      </c>
      <c r="AF80" s="34">
        <v>3</v>
      </c>
    </row>
    <row r="83" spans="1:32">
      <c r="A83" s="49" t="s">
        <v>15</v>
      </c>
      <c r="B83" s="56">
        <v>1</v>
      </c>
      <c r="C83" s="36">
        <v>2</v>
      </c>
      <c r="D83" s="36">
        <v>3</v>
      </c>
      <c r="E83" s="36">
        <v>4</v>
      </c>
      <c r="F83" s="36">
        <v>5</v>
      </c>
      <c r="G83" s="36">
        <v>6</v>
      </c>
      <c r="H83" s="36">
        <v>7</v>
      </c>
      <c r="I83" s="36">
        <v>8</v>
      </c>
      <c r="J83" s="36">
        <v>9</v>
      </c>
      <c r="K83" s="36">
        <v>10</v>
      </c>
      <c r="L83" s="36">
        <v>11</v>
      </c>
      <c r="M83" s="36">
        <v>12</v>
      </c>
      <c r="N83" s="36">
        <v>13</v>
      </c>
      <c r="O83" s="36">
        <v>14</v>
      </c>
      <c r="P83" s="36">
        <v>15</v>
      </c>
      <c r="Q83" s="36">
        <v>16</v>
      </c>
      <c r="R83" s="36">
        <v>17</v>
      </c>
      <c r="S83" s="36">
        <v>18</v>
      </c>
      <c r="T83" s="36">
        <v>19</v>
      </c>
      <c r="U83" s="36">
        <v>20</v>
      </c>
      <c r="V83" s="36">
        <v>21</v>
      </c>
      <c r="W83" s="36">
        <v>22</v>
      </c>
      <c r="X83" s="36">
        <v>23</v>
      </c>
      <c r="Y83" s="36">
        <v>24</v>
      </c>
      <c r="Z83" s="36">
        <v>25</v>
      </c>
      <c r="AA83" s="36">
        <v>26</v>
      </c>
      <c r="AB83" s="36">
        <v>27</v>
      </c>
      <c r="AC83" s="36">
        <v>28</v>
      </c>
      <c r="AD83" s="36">
        <v>29</v>
      </c>
      <c r="AE83" s="36">
        <v>30</v>
      </c>
      <c r="AF83" s="2"/>
    </row>
    <row r="84" spans="1:32">
      <c r="A84" s="50"/>
      <c r="B84" s="35" t="s">
        <v>1</v>
      </c>
      <c r="C84" s="35" t="s">
        <v>58</v>
      </c>
      <c r="D84" s="35" t="s">
        <v>53</v>
      </c>
      <c r="E84" s="35" t="s">
        <v>54</v>
      </c>
      <c r="F84" s="35" t="s">
        <v>55</v>
      </c>
      <c r="G84" s="35" t="s">
        <v>56</v>
      </c>
      <c r="H84" s="35" t="s">
        <v>57</v>
      </c>
      <c r="I84" s="35" t="s">
        <v>1</v>
      </c>
      <c r="J84" s="35" t="s">
        <v>58</v>
      </c>
      <c r="K84" s="35" t="s">
        <v>53</v>
      </c>
      <c r="L84" s="35" t="s">
        <v>54</v>
      </c>
      <c r="M84" s="35" t="s">
        <v>55</v>
      </c>
      <c r="N84" s="35" t="s">
        <v>56</v>
      </c>
      <c r="O84" s="35" t="s">
        <v>57</v>
      </c>
      <c r="P84" s="35" t="s">
        <v>1</v>
      </c>
      <c r="Q84" s="35" t="s">
        <v>58</v>
      </c>
      <c r="R84" s="35" t="s">
        <v>53</v>
      </c>
      <c r="S84" s="35" t="s">
        <v>54</v>
      </c>
      <c r="T84" s="35" t="s">
        <v>55</v>
      </c>
      <c r="U84" s="35" t="s">
        <v>56</v>
      </c>
      <c r="V84" s="35" t="s">
        <v>57</v>
      </c>
      <c r="W84" s="35" t="s">
        <v>1</v>
      </c>
      <c r="X84" s="35" t="s">
        <v>58</v>
      </c>
      <c r="Y84" s="35" t="s">
        <v>53</v>
      </c>
      <c r="Z84" s="35" t="s">
        <v>54</v>
      </c>
      <c r="AA84" s="35" t="s">
        <v>55</v>
      </c>
      <c r="AB84" s="35" t="s">
        <v>56</v>
      </c>
      <c r="AC84" s="35" t="s">
        <v>57</v>
      </c>
      <c r="AD84" s="35" t="s">
        <v>1</v>
      </c>
      <c r="AE84" s="35" t="s">
        <v>58</v>
      </c>
      <c r="AF84" s="3"/>
    </row>
    <row r="85" spans="1:32">
      <c r="A85" s="50" t="s">
        <v>42</v>
      </c>
      <c r="B85" s="34">
        <v>1</v>
      </c>
      <c r="C85" s="34" t="s">
        <v>2</v>
      </c>
      <c r="D85" s="34" t="s">
        <v>2</v>
      </c>
      <c r="E85" s="34">
        <v>3</v>
      </c>
      <c r="F85" s="34">
        <v>3</v>
      </c>
      <c r="G85" s="34">
        <v>3</v>
      </c>
      <c r="H85" s="34">
        <v>3</v>
      </c>
      <c r="I85" s="34">
        <v>3</v>
      </c>
      <c r="J85" s="34">
        <v>3</v>
      </c>
      <c r="K85" s="34" t="s">
        <v>2</v>
      </c>
      <c r="L85" s="34" t="s">
        <v>2</v>
      </c>
      <c r="M85" s="34">
        <v>2</v>
      </c>
      <c r="N85" s="34">
        <v>2</v>
      </c>
      <c r="O85" s="34">
        <v>2</v>
      </c>
      <c r="P85" s="34">
        <v>2</v>
      </c>
      <c r="Q85" s="34">
        <v>2</v>
      </c>
      <c r="R85" s="34">
        <v>2</v>
      </c>
      <c r="S85" s="34" t="s">
        <v>2</v>
      </c>
      <c r="T85" s="34" t="s">
        <v>2</v>
      </c>
      <c r="U85" s="34">
        <v>1</v>
      </c>
      <c r="V85" s="34">
        <v>1</v>
      </c>
      <c r="W85" s="34">
        <v>1</v>
      </c>
      <c r="X85" s="34">
        <v>1</v>
      </c>
      <c r="Y85" s="34">
        <v>1</v>
      </c>
      <c r="Z85" s="34">
        <v>1</v>
      </c>
      <c r="AA85" s="34" t="s">
        <v>2</v>
      </c>
      <c r="AB85" s="34" t="s">
        <v>2</v>
      </c>
      <c r="AC85" s="34">
        <v>3</v>
      </c>
      <c r="AD85" s="34">
        <v>3</v>
      </c>
      <c r="AE85" s="34">
        <v>3</v>
      </c>
      <c r="AF85" s="3"/>
    </row>
    <row r="86" spans="1:32">
      <c r="A86" s="50" t="s">
        <v>3</v>
      </c>
      <c r="B86" s="34" t="s">
        <v>2</v>
      </c>
      <c r="C86" s="34">
        <v>1</v>
      </c>
      <c r="D86" s="34">
        <v>1</v>
      </c>
      <c r="E86" s="34">
        <v>1</v>
      </c>
      <c r="F86" s="34">
        <v>1</v>
      </c>
      <c r="G86" s="34">
        <v>1</v>
      </c>
      <c r="H86" s="34">
        <v>1</v>
      </c>
      <c r="I86" s="34" t="s">
        <v>2</v>
      </c>
      <c r="J86" s="34" t="s">
        <v>2</v>
      </c>
      <c r="K86" s="34">
        <v>3</v>
      </c>
      <c r="L86" s="34">
        <v>3</v>
      </c>
      <c r="M86" s="34">
        <v>3</v>
      </c>
      <c r="N86" s="34">
        <v>3</v>
      </c>
      <c r="O86" s="34">
        <v>3</v>
      </c>
      <c r="P86" s="34">
        <v>3</v>
      </c>
      <c r="Q86" s="34" t="s">
        <v>2</v>
      </c>
      <c r="R86" s="34" t="s">
        <v>2</v>
      </c>
      <c r="S86" s="34">
        <v>2</v>
      </c>
      <c r="T86" s="34">
        <v>2</v>
      </c>
      <c r="U86" s="34">
        <v>2</v>
      </c>
      <c r="V86" s="34">
        <v>2</v>
      </c>
      <c r="W86" s="34">
        <v>2</v>
      </c>
      <c r="X86" s="34">
        <v>2</v>
      </c>
      <c r="Y86" s="34" t="s">
        <v>2</v>
      </c>
      <c r="Z86" s="34" t="s">
        <v>2</v>
      </c>
      <c r="AA86" s="34">
        <v>1</v>
      </c>
      <c r="AB86" s="34">
        <v>1</v>
      </c>
      <c r="AC86" s="34">
        <v>1</v>
      </c>
      <c r="AD86" s="34">
        <v>1</v>
      </c>
      <c r="AE86" s="34">
        <v>1</v>
      </c>
      <c r="AF86" s="3"/>
    </row>
    <row r="87" spans="1:32">
      <c r="A87" s="50" t="s">
        <v>4</v>
      </c>
      <c r="B87" s="34">
        <v>2</v>
      </c>
      <c r="C87" s="34">
        <v>2</v>
      </c>
      <c r="D87" s="34">
        <v>2</v>
      </c>
      <c r="E87" s="34">
        <v>2</v>
      </c>
      <c r="F87" s="34">
        <v>2</v>
      </c>
      <c r="G87" s="34" t="s">
        <v>2</v>
      </c>
      <c r="H87" s="34" t="s">
        <v>2</v>
      </c>
      <c r="I87" s="34">
        <v>1</v>
      </c>
      <c r="J87" s="34">
        <v>1</v>
      </c>
      <c r="K87" s="34">
        <v>1</v>
      </c>
      <c r="L87" s="34">
        <v>1</v>
      </c>
      <c r="M87" s="34">
        <v>1</v>
      </c>
      <c r="N87" s="34">
        <v>1</v>
      </c>
      <c r="O87" s="34" t="s">
        <v>2</v>
      </c>
      <c r="P87" s="34" t="s">
        <v>2</v>
      </c>
      <c r="Q87" s="34">
        <v>3</v>
      </c>
      <c r="R87" s="34">
        <v>3</v>
      </c>
      <c r="S87" s="34">
        <v>3</v>
      </c>
      <c r="T87" s="34">
        <v>3</v>
      </c>
      <c r="U87" s="34">
        <v>3</v>
      </c>
      <c r="V87" s="34">
        <v>3</v>
      </c>
      <c r="W87" s="34" t="s">
        <v>2</v>
      </c>
      <c r="X87" s="34" t="s">
        <v>2</v>
      </c>
      <c r="Y87" s="34">
        <v>2</v>
      </c>
      <c r="Z87" s="34">
        <v>2</v>
      </c>
      <c r="AA87" s="34">
        <v>2</v>
      </c>
      <c r="AB87" s="34">
        <v>2</v>
      </c>
      <c r="AC87" s="34">
        <v>2</v>
      </c>
      <c r="AD87" s="34">
        <v>2</v>
      </c>
      <c r="AE87" s="34" t="s">
        <v>2</v>
      </c>
      <c r="AF87" s="3"/>
    </row>
    <row r="88" spans="1:32">
      <c r="A88" s="50" t="s">
        <v>5</v>
      </c>
      <c r="B88" s="34">
        <v>3</v>
      </c>
      <c r="C88" s="34">
        <v>3</v>
      </c>
      <c r="D88" s="34">
        <v>3</v>
      </c>
      <c r="E88" s="34" t="s">
        <v>2</v>
      </c>
      <c r="F88" s="34" t="s">
        <v>2</v>
      </c>
      <c r="G88" s="34">
        <v>2</v>
      </c>
      <c r="H88" s="34">
        <v>2</v>
      </c>
      <c r="I88" s="34">
        <v>2</v>
      </c>
      <c r="J88" s="34">
        <v>2</v>
      </c>
      <c r="K88" s="34">
        <v>2</v>
      </c>
      <c r="L88" s="34">
        <v>2</v>
      </c>
      <c r="M88" s="34" t="s">
        <v>2</v>
      </c>
      <c r="N88" s="34" t="s">
        <v>2</v>
      </c>
      <c r="O88" s="34">
        <v>1</v>
      </c>
      <c r="P88" s="34">
        <v>1</v>
      </c>
      <c r="Q88" s="34">
        <v>1</v>
      </c>
      <c r="R88" s="34">
        <v>1</v>
      </c>
      <c r="S88" s="34">
        <v>1</v>
      </c>
      <c r="T88" s="34">
        <v>1</v>
      </c>
      <c r="U88" s="34" t="s">
        <v>2</v>
      </c>
      <c r="V88" s="34" t="s">
        <v>2</v>
      </c>
      <c r="W88" s="34">
        <v>3</v>
      </c>
      <c r="X88" s="34">
        <v>3</v>
      </c>
      <c r="Y88" s="34">
        <v>3</v>
      </c>
      <c r="Z88" s="34">
        <v>3</v>
      </c>
      <c r="AA88" s="34">
        <v>3</v>
      </c>
      <c r="AB88" s="34">
        <v>3</v>
      </c>
      <c r="AC88" s="34" t="s">
        <v>2</v>
      </c>
      <c r="AD88" s="34" t="s">
        <v>2</v>
      </c>
      <c r="AE88" s="34">
        <v>2</v>
      </c>
      <c r="AF88" s="3"/>
    </row>
    <row r="91" spans="1:32">
      <c r="A91" s="49" t="s">
        <v>16</v>
      </c>
      <c r="B91" s="36">
        <v>1</v>
      </c>
      <c r="C91" s="36">
        <v>2</v>
      </c>
      <c r="D91" s="36">
        <v>3</v>
      </c>
      <c r="E91" s="36">
        <v>4</v>
      </c>
      <c r="F91" s="36">
        <v>5</v>
      </c>
      <c r="G91" s="36">
        <v>6</v>
      </c>
      <c r="H91" s="36">
        <v>7</v>
      </c>
      <c r="I91" s="36">
        <v>8</v>
      </c>
      <c r="J91" s="36">
        <v>9</v>
      </c>
      <c r="K91" s="36">
        <v>10</v>
      </c>
      <c r="L91" s="36">
        <v>11</v>
      </c>
      <c r="M91" s="36">
        <v>12</v>
      </c>
      <c r="N91" s="36">
        <v>13</v>
      </c>
      <c r="O91" s="36">
        <v>14</v>
      </c>
      <c r="P91" s="36">
        <v>15</v>
      </c>
      <c r="Q91" s="36">
        <v>16</v>
      </c>
      <c r="R91" s="36">
        <v>17</v>
      </c>
      <c r="S91" s="36">
        <v>18</v>
      </c>
      <c r="T91" s="36">
        <v>19</v>
      </c>
      <c r="U91" s="36">
        <v>20</v>
      </c>
      <c r="V91" s="36">
        <v>21</v>
      </c>
      <c r="W91" s="36">
        <v>22</v>
      </c>
      <c r="X91" s="36">
        <v>23</v>
      </c>
      <c r="Y91" s="36">
        <v>24</v>
      </c>
      <c r="Z91" s="56">
        <v>25</v>
      </c>
      <c r="AA91" s="56">
        <v>26</v>
      </c>
      <c r="AB91" s="36">
        <v>27</v>
      </c>
      <c r="AC91" s="36">
        <v>28</v>
      </c>
      <c r="AD91" s="36">
        <v>29</v>
      </c>
      <c r="AE91" s="36">
        <v>30</v>
      </c>
      <c r="AF91" s="36">
        <v>31</v>
      </c>
    </row>
    <row r="92" spans="1:32">
      <c r="A92" s="50"/>
      <c r="B92" s="35" t="s">
        <v>53</v>
      </c>
      <c r="C92" s="35" t="s">
        <v>54</v>
      </c>
      <c r="D92" s="35" t="s">
        <v>55</v>
      </c>
      <c r="E92" s="35" t="s">
        <v>56</v>
      </c>
      <c r="F92" s="35" t="s">
        <v>57</v>
      </c>
      <c r="G92" s="35" t="s">
        <v>1</v>
      </c>
      <c r="H92" s="35" t="s">
        <v>58</v>
      </c>
      <c r="I92" s="35" t="s">
        <v>53</v>
      </c>
      <c r="J92" s="35" t="s">
        <v>54</v>
      </c>
      <c r="K92" s="35" t="s">
        <v>55</v>
      </c>
      <c r="L92" s="35" t="s">
        <v>56</v>
      </c>
      <c r="M92" s="35" t="s">
        <v>57</v>
      </c>
      <c r="N92" s="35" t="s">
        <v>1</v>
      </c>
      <c r="O92" s="35" t="s">
        <v>58</v>
      </c>
      <c r="P92" s="35" t="s">
        <v>53</v>
      </c>
      <c r="Q92" s="35" t="s">
        <v>54</v>
      </c>
      <c r="R92" s="35" t="s">
        <v>55</v>
      </c>
      <c r="S92" s="35" t="s">
        <v>56</v>
      </c>
      <c r="T92" s="35" t="s">
        <v>57</v>
      </c>
      <c r="U92" s="35" t="s">
        <v>1</v>
      </c>
      <c r="V92" s="35" t="s">
        <v>58</v>
      </c>
      <c r="W92" s="35" t="s">
        <v>53</v>
      </c>
      <c r="X92" s="35" t="s">
        <v>54</v>
      </c>
      <c r="Y92" s="35" t="s">
        <v>55</v>
      </c>
      <c r="Z92" s="35" t="s">
        <v>56</v>
      </c>
      <c r="AA92" s="35" t="s">
        <v>57</v>
      </c>
      <c r="AB92" s="35" t="s">
        <v>1</v>
      </c>
      <c r="AC92" s="35" t="s">
        <v>58</v>
      </c>
      <c r="AD92" s="35" t="s">
        <v>53</v>
      </c>
      <c r="AE92" s="35" t="s">
        <v>54</v>
      </c>
      <c r="AF92" s="35" t="s">
        <v>55</v>
      </c>
    </row>
    <row r="93" spans="1:32">
      <c r="A93" s="50" t="s">
        <v>42</v>
      </c>
      <c r="B93" s="34">
        <v>3</v>
      </c>
      <c r="C93" s="34">
        <v>3</v>
      </c>
      <c r="D93" s="34">
        <v>3</v>
      </c>
      <c r="E93" s="34" t="s">
        <v>2</v>
      </c>
      <c r="F93" s="34" t="s">
        <v>2</v>
      </c>
      <c r="G93" s="34">
        <v>2</v>
      </c>
      <c r="H93" s="34">
        <v>2</v>
      </c>
      <c r="I93" s="34">
        <v>2</v>
      </c>
      <c r="J93" s="34">
        <v>2</v>
      </c>
      <c r="K93" s="34">
        <v>2</v>
      </c>
      <c r="L93" s="34">
        <v>2</v>
      </c>
      <c r="M93" s="34" t="s">
        <v>2</v>
      </c>
      <c r="N93" s="34" t="s">
        <v>2</v>
      </c>
      <c r="O93" s="34">
        <v>1</v>
      </c>
      <c r="P93" s="34">
        <v>1</v>
      </c>
      <c r="Q93" s="34">
        <v>1</v>
      </c>
      <c r="R93" s="34">
        <v>1</v>
      </c>
      <c r="S93" s="34">
        <v>1</v>
      </c>
      <c r="T93" s="34">
        <v>1</v>
      </c>
      <c r="U93" s="34" t="s">
        <v>2</v>
      </c>
      <c r="V93" s="34" t="s">
        <v>2</v>
      </c>
      <c r="W93" s="34">
        <v>3</v>
      </c>
      <c r="X93" s="34">
        <v>3</v>
      </c>
      <c r="Y93" s="34">
        <v>3</v>
      </c>
      <c r="Z93" s="34">
        <v>3</v>
      </c>
      <c r="AA93" s="34">
        <v>3</v>
      </c>
      <c r="AB93" s="34">
        <v>3</v>
      </c>
      <c r="AC93" s="34" t="s">
        <v>2</v>
      </c>
      <c r="AD93" s="34" t="s">
        <v>2</v>
      </c>
      <c r="AE93" s="34">
        <v>2</v>
      </c>
      <c r="AF93" s="34">
        <v>2</v>
      </c>
    </row>
    <row r="94" spans="1:32">
      <c r="A94" s="50" t="s">
        <v>3</v>
      </c>
      <c r="B94" s="34">
        <v>1</v>
      </c>
      <c r="C94" s="34" t="s">
        <v>2</v>
      </c>
      <c r="D94" s="34" t="s">
        <v>2</v>
      </c>
      <c r="E94" s="34">
        <v>3</v>
      </c>
      <c r="F94" s="34">
        <v>3</v>
      </c>
      <c r="G94" s="34">
        <v>3</v>
      </c>
      <c r="H94" s="34">
        <v>3</v>
      </c>
      <c r="I94" s="34">
        <v>3</v>
      </c>
      <c r="J94" s="34">
        <v>3</v>
      </c>
      <c r="K94" s="34" t="s">
        <v>2</v>
      </c>
      <c r="L94" s="34" t="s">
        <v>2</v>
      </c>
      <c r="M94" s="34">
        <v>2</v>
      </c>
      <c r="N94" s="34">
        <v>2</v>
      </c>
      <c r="O94" s="34">
        <v>2</v>
      </c>
      <c r="P94" s="34">
        <v>2</v>
      </c>
      <c r="Q94" s="34">
        <v>2</v>
      </c>
      <c r="R94" s="34">
        <v>2</v>
      </c>
      <c r="S94" s="34" t="s">
        <v>2</v>
      </c>
      <c r="T94" s="34" t="s">
        <v>2</v>
      </c>
      <c r="U94" s="34">
        <v>1</v>
      </c>
      <c r="V94" s="34">
        <v>1</v>
      </c>
      <c r="W94" s="34">
        <v>1</v>
      </c>
      <c r="X94" s="34">
        <v>1</v>
      </c>
      <c r="Y94" s="34">
        <v>1</v>
      </c>
      <c r="Z94" s="34">
        <v>1</v>
      </c>
      <c r="AA94" s="34" t="s">
        <v>2</v>
      </c>
      <c r="AB94" s="34" t="s">
        <v>2</v>
      </c>
      <c r="AC94" s="34">
        <v>3</v>
      </c>
      <c r="AD94" s="34">
        <v>3</v>
      </c>
      <c r="AE94" s="34">
        <v>3</v>
      </c>
      <c r="AF94" s="34">
        <v>3</v>
      </c>
    </row>
    <row r="95" spans="1:32">
      <c r="A95" s="50" t="s">
        <v>4</v>
      </c>
      <c r="B95" s="34" t="s">
        <v>2</v>
      </c>
      <c r="C95" s="34">
        <v>1</v>
      </c>
      <c r="D95" s="34">
        <v>1</v>
      </c>
      <c r="E95" s="34">
        <v>1</v>
      </c>
      <c r="F95" s="34">
        <v>1</v>
      </c>
      <c r="G95" s="34">
        <v>1</v>
      </c>
      <c r="H95" s="34">
        <v>1</v>
      </c>
      <c r="I95" s="34" t="s">
        <v>2</v>
      </c>
      <c r="J95" s="34" t="s">
        <v>2</v>
      </c>
      <c r="K95" s="34">
        <v>3</v>
      </c>
      <c r="L95" s="34">
        <v>3</v>
      </c>
      <c r="M95" s="34">
        <v>3</v>
      </c>
      <c r="N95" s="34">
        <v>3</v>
      </c>
      <c r="O95" s="34">
        <v>3</v>
      </c>
      <c r="P95" s="34">
        <v>3</v>
      </c>
      <c r="Q95" s="34" t="s">
        <v>2</v>
      </c>
      <c r="R95" s="34" t="s">
        <v>2</v>
      </c>
      <c r="S95" s="34">
        <v>2</v>
      </c>
      <c r="T95" s="34">
        <v>2</v>
      </c>
      <c r="U95" s="34">
        <v>2</v>
      </c>
      <c r="V95" s="34">
        <v>2</v>
      </c>
      <c r="W95" s="34">
        <v>2</v>
      </c>
      <c r="X95" s="34">
        <v>2</v>
      </c>
      <c r="Y95" s="34" t="s">
        <v>2</v>
      </c>
      <c r="Z95" s="34" t="s">
        <v>2</v>
      </c>
      <c r="AA95" s="34">
        <v>1</v>
      </c>
      <c r="AB95" s="34">
        <v>1</v>
      </c>
      <c r="AC95" s="34">
        <v>1</v>
      </c>
      <c r="AD95" s="34">
        <v>1</v>
      </c>
      <c r="AE95" s="34">
        <v>1</v>
      </c>
      <c r="AF95" s="34">
        <v>1</v>
      </c>
    </row>
    <row r="96" spans="1:32">
      <c r="A96" s="50" t="s">
        <v>5</v>
      </c>
      <c r="B96" s="34">
        <v>2</v>
      </c>
      <c r="C96" s="34">
        <v>2</v>
      </c>
      <c r="D96" s="34">
        <v>2</v>
      </c>
      <c r="E96" s="34">
        <v>2</v>
      </c>
      <c r="F96" s="34">
        <v>2</v>
      </c>
      <c r="G96" s="34" t="s">
        <v>2</v>
      </c>
      <c r="H96" s="34" t="s">
        <v>2</v>
      </c>
      <c r="I96" s="34">
        <v>1</v>
      </c>
      <c r="J96" s="34">
        <v>1</v>
      </c>
      <c r="K96" s="34">
        <v>1</v>
      </c>
      <c r="L96" s="34">
        <v>1</v>
      </c>
      <c r="M96" s="34">
        <v>1</v>
      </c>
      <c r="N96" s="34">
        <v>1</v>
      </c>
      <c r="O96" s="34" t="s">
        <v>2</v>
      </c>
      <c r="P96" s="34" t="s">
        <v>2</v>
      </c>
      <c r="Q96" s="34">
        <v>3</v>
      </c>
      <c r="R96" s="34">
        <v>3</v>
      </c>
      <c r="S96" s="34">
        <v>3</v>
      </c>
      <c r="T96" s="34">
        <v>3</v>
      </c>
      <c r="U96" s="34">
        <v>3</v>
      </c>
      <c r="V96" s="34">
        <v>3</v>
      </c>
      <c r="W96" s="34" t="s">
        <v>2</v>
      </c>
      <c r="X96" s="34" t="s">
        <v>2</v>
      </c>
      <c r="Y96" s="34">
        <v>2</v>
      </c>
      <c r="Z96" s="34">
        <v>2</v>
      </c>
      <c r="AA96" s="34">
        <v>2</v>
      </c>
      <c r="AB96" s="34">
        <v>2</v>
      </c>
      <c r="AC96" s="34">
        <v>2</v>
      </c>
      <c r="AD96" s="34">
        <v>2</v>
      </c>
      <c r="AE96" s="34" t="s">
        <v>2</v>
      </c>
      <c r="AF96" s="34" t="s">
        <v>2</v>
      </c>
    </row>
    <row r="97" ht="11.25" customHeight="1"/>
  </sheetData>
  <sheetProtection password="DD6F" sheet="1" objects="1" scenarios="1"/>
  <phoneticPr fontId="0" type="noConversion"/>
  <conditionalFormatting sqref="L8">
    <cfRule type="cellIs" dxfId="2165" priority="11" operator="equal">
      <formula>"X"</formula>
    </cfRule>
  </conditionalFormatting>
  <conditionalFormatting sqref="I5">
    <cfRule type="cellIs" dxfId="2164" priority="10" operator="equal">
      <formula>"X"</formula>
    </cfRule>
  </conditionalFormatting>
  <conditionalFormatting sqref="J5">
    <cfRule type="cellIs" dxfId="2163" priority="9" operator="equal">
      <formula>"X"</formula>
    </cfRule>
  </conditionalFormatting>
  <conditionalFormatting sqref="A112:XFD1048576 D98:XFD111 A1:XFD97">
    <cfRule type="cellIs" dxfId="2162" priority="8" operator="equal">
      <formula>"X"</formula>
    </cfRule>
  </conditionalFormatting>
  <conditionalFormatting sqref="F7">
    <cfRule type="cellIs" dxfId="2161" priority="7" operator="equal">
      <formula>"x"</formula>
    </cfRule>
  </conditionalFormatting>
  <conditionalFormatting sqref="AG96">
    <cfRule type="cellIs" dxfId="2160" priority="5" operator="equal">
      <formula>"Szo"</formula>
    </cfRule>
  </conditionalFormatting>
  <conditionalFormatting sqref="E4">
    <cfRule type="containsText" dxfId="2159" priority="4" operator="containsText" text="Szo">
      <formula>NOT(ISERROR(SEARCH("Szo",E4)))</formula>
    </cfRule>
  </conditionalFormatting>
  <conditionalFormatting sqref="F4">
    <cfRule type="containsText" dxfId="2158" priority="3" operator="containsText" text="V">
      <formula>NOT(ISERROR(SEARCH("V",F4)))</formula>
    </cfRule>
  </conditionalFormatting>
  <conditionalFormatting sqref="A1:XFD1048576">
    <cfRule type="cellIs" dxfId="2157" priority="1" operator="equal">
      <formula>"V"</formula>
    </cfRule>
    <cfRule type="cellIs" dxfId="2156" priority="2" operator="equal">
      <formula>"Szo"</formula>
    </cfRule>
  </conditionalFormatting>
  <printOptions horizontalCentered="1" verticalCentered="1"/>
  <pageMargins left="0.39370078740157483" right="0.39370078740157483" top="0.38" bottom="0.3" header="0.27" footer="0.3"/>
  <pageSetup paperSize="9" scale="70" orientation="portrait" r:id="rId1"/>
  <headerFooter alignWithMargins="0">
    <oddFooter>&amp;RCim: C:\besse\szab_szn\szabi.xls</oddFooter>
  </headerFooter>
  <rowBreaks count="1" manualBreakCount="1">
    <brk id="9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4"/>
  <sheetViews>
    <sheetView showGridLines="0" workbookViewId="0">
      <selection activeCell="S7" sqref="S7"/>
    </sheetView>
  </sheetViews>
  <sheetFormatPr defaultColWidth="12" defaultRowHeight="12.75"/>
  <cols>
    <col min="1" max="1" width="21.85546875" style="42" customWidth="1"/>
    <col min="2" max="4" width="4.85546875" style="46" customWidth="1"/>
    <col min="5" max="5" width="4.140625" style="42" customWidth="1"/>
    <col min="6" max="17" width="3.140625" style="20" customWidth="1"/>
    <col min="18" max="19" width="4.42578125" style="42" customWidth="1"/>
    <col min="20" max="20" width="3.140625" style="42" customWidth="1"/>
    <col min="21" max="21" width="4.140625" style="20" customWidth="1"/>
    <col min="22" max="32" width="3.140625" style="20" customWidth="1"/>
    <col min="33" max="34" width="4.42578125" style="42" customWidth="1"/>
    <col min="35" max="16384" width="12" style="42"/>
  </cols>
  <sheetData>
    <row r="1" spans="1:34" ht="20.100000000000001" customHeight="1">
      <c r="A1" s="86" t="s">
        <v>40</v>
      </c>
      <c r="B1" s="85" t="s">
        <v>21</v>
      </c>
      <c r="C1" s="85">
        <v>2020</v>
      </c>
      <c r="D1" s="87" t="s">
        <v>41</v>
      </c>
      <c r="E1" s="39" t="s">
        <v>22</v>
      </c>
      <c r="F1" s="40" t="s">
        <v>23</v>
      </c>
      <c r="G1" s="40" t="s">
        <v>25</v>
      </c>
      <c r="H1" s="40" t="s">
        <v>27</v>
      </c>
      <c r="I1" s="40" t="s">
        <v>29</v>
      </c>
      <c r="J1" s="40" t="s">
        <v>30</v>
      </c>
      <c r="K1" s="40" t="s">
        <v>32</v>
      </c>
      <c r="L1" s="40" t="s">
        <v>33</v>
      </c>
      <c r="M1" s="40" t="s">
        <v>34</v>
      </c>
      <c r="N1" s="40" t="s">
        <v>35</v>
      </c>
      <c r="O1" s="40" t="s">
        <v>2</v>
      </c>
      <c r="P1" s="40" t="s">
        <v>36</v>
      </c>
      <c r="Q1" s="40" t="s">
        <v>37</v>
      </c>
      <c r="R1" s="85" t="s">
        <v>39</v>
      </c>
      <c r="S1" s="41" t="s">
        <v>38</v>
      </c>
      <c r="U1" s="40" t="s">
        <v>23</v>
      </c>
      <c r="V1" s="40" t="s">
        <v>24</v>
      </c>
      <c r="W1" s="40" t="s">
        <v>26</v>
      </c>
      <c r="X1" s="40" t="s">
        <v>28</v>
      </c>
      <c r="Y1" s="40" t="s">
        <v>1</v>
      </c>
      <c r="Z1" s="40" t="s">
        <v>31</v>
      </c>
      <c r="AA1" s="40" t="s">
        <v>33</v>
      </c>
      <c r="AB1" s="40" t="s">
        <v>34</v>
      </c>
      <c r="AC1" s="40" t="s">
        <v>35</v>
      </c>
      <c r="AD1" s="40" t="s">
        <v>2</v>
      </c>
      <c r="AE1" s="40" t="s">
        <v>36</v>
      </c>
      <c r="AF1" s="40" t="s">
        <v>37</v>
      </c>
      <c r="AG1" s="85" t="s">
        <v>18</v>
      </c>
      <c r="AH1" s="41" t="s">
        <v>38</v>
      </c>
    </row>
    <row r="2" spans="1:34" ht="20.100000000000001" customHeight="1">
      <c r="A2" s="86"/>
      <c r="B2" s="85"/>
      <c r="C2" s="85"/>
      <c r="D2" s="87"/>
      <c r="E2" s="39"/>
      <c r="F2" s="40" t="s">
        <v>20</v>
      </c>
      <c r="G2" s="40" t="s">
        <v>20</v>
      </c>
      <c r="H2" s="40" t="s">
        <v>20</v>
      </c>
      <c r="I2" s="40" t="s">
        <v>20</v>
      </c>
      <c r="J2" s="40" t="s">
        <v>20</v>
      </c>
      <c r="K2" s="40" t="s">
        <v>20</v>
      </c>
      <c r="L2" s="40" t="s">
        <v>20</v>
      </c>
      <c r="M2" s="40" t="s">
        <v>20</v>
      </c>
      <c r="N2" s="40" t="s">
        <v>20</v>
      </c>
      <c r="O2" s="40" t="s">
        <v>20</v>
      </c>
      <c r="P2" s="40" t="s">
        <v>20</v>
      </c>
      <c r="Q2" s="40" t="s">
        <v>20</v>
      </c>
      <c r="R2" s="85"/>
      <c r="S2" s="41" t="s">
        <v>20</v>
      </c>
      <c r="U2" s="40" t="s">
        <v>18</v>
      </c>
      <c r="V2" s="40" t="s">
        <v>18</v>
      </c>
      <c r="W2" s="40" t="s">
        <v>18</v>
      </c>
      <c r="X2" s="40" t="s">
        <v>18</v>
      </c>
      <c r="Y2" s="40" t="s">
        <v>18</v>
      </c>
      <c r="Z2" s="40" t="s">
        <v>18</v>
      </c>
      <c r="AA2" s="40" t="s">
        <v>18</v>
      </c>
      <c r="AB2" s="40" t="s">
        <v>18</v>
      </c>
      <c r="AC2" s="40" t="s">
        <v>18</v>
      </c>
      <c r="AD2" s="40" t="s">
        <v>18</v>
      </c>
      <c r="AE2" s="40" t="s">
        <v>18</v>
      </c>
      <c r="AF2" s="40" t="s">
        <v>18</v>
      </c>
      <c r="AG2" s="85"/>
      <c r="AH2" s="41" t="s">
        <v>18</v>
      </c>
    </row>
    <row r="3" spans="1:34" ht="20.100000000000001" customHeight="1">
      <c r="A3" s="18" t="s">
        <v>111</v>
      </c>
      <c r="B3" s="16"/>
      <c r="C3" s="16">
        <v>30</v>
      </c>
      <c r="D3" s="16"/>
      <c r="E3" s="43">
        <f t="shared" ref="E3:E22" si="0">SUM(B3:D3)</f>
        <v>30</v>
      </c>
      <c r="F3" s="44">
        <f>A!AI4</f>
        <v>1</v>
      </c>
      <c r="G3" s="44">
        <f>A!AI28</f>
        <v>1</v>
      </c>
      <c r="H3" s="44">
        <f>A!AI52</f>
        <v>3</v>
      </c>
      <c r="I3" s="44">
        <f>A!AI76</f>
        <v>1</v>
      </c>
      <c r="J3" s="44">
        <f>A!AI100</f>
        <v>0</v>
      </c>
      <c r="K3" s="44">
        <f>A!AI124</f>
        <v>0</v>
      </c>
      <c r="L3" s="44">
        <f>A!AI148</f>
        <v>0</v>
      </c>
      <c r="M3" s="44">
        <f>A!AI172</f>
        <v>0</v>
      </c>
      <c r="N3" s="44">
        <f>A!AI196</f>
        <v>0</v>
      </c>
      <c r="O3" s="44">
        <f>A!AI220</f>
        <v>0</v>
      </c>
      <c r="P3" s="44">
        <f>A!AI244</f>
        <v>0</v>
      </c>
      <c r="Q3" s="44">
        <f>A!AI268</f>
        <v>0</v>
      </c>
      <c r="R3" s="40">
        <f t="shared" ref="R3" si="1">SUM(F3+G3+H3+I3+J3+K3+L3+M3+N3+O3+P3+Q3)</f>
        <v>6</v>
      </c>
      <c r="S3" s="45">
        <f t="shared" ref="S3" si="2">SUM(E3-R3)</f>
        <v>24</v>
      </c>
      <c r="U3" s="44">
        <f>A!AH4</f>
        <v>1</v>
      </c>
      <c r="V3" s="44">
        <f>A!AH28</f>
        <v>1</v>
      </c>
      <c r="W3" s="44">
        <f>A!AH52</f>
        <v>2</v>
      </c>
      <c r="X3" s="44">
        <f>A!AH76</f>
        <v>1</v>
      </c>
      <c r="Y3" s="44">
        <f>A!AH100</f>
        <v>0</v>
      </c>
      <c r="Z3" s="44">
        <f>A!AH124</f>
        <v>0</v>
      </c>
      <c r="AA3" s="44">
        <f>A!AH148</f>
        <v>0</v>
      </c>
      <c r="AB3" s="44">
        <f>A!AH172</f>
        <v>0</v>
      </c>
      <c r="AC3" s="44">
        <f>A!AH196</f>
        <v>0</v>
      </c>
      <c r="AD3" s="44">
        <f>A!AH220</f>
        <v>0</v>
      </c>
      <c r="AE3" s="44">
        <f>A!AH244</f>
        <v>0</v>
      </c>
      <c r="AF3" s="44">
        <f>A!AH268</f>
        <v>0</v>
      </c>
      <c r="AG3" s="16">
        <f t="shared" ref="AG3" si="3">SUM(U3+V3+W3+X3+Y3+Z3+AA3+AB3+AC3+AD3+AE3+AF3)</f>
        <v>5</v>
      </c>
      <c r="AH3" s="45">
        <f>SUM(16-AG3)</f>
        <v>11</v>
      </c>
    </row>
    <row r="4" spans="1:34" ht="20.100000000000001" customHeight="1">
      <c r="A4" s="18" t="s">
        <v>77</v>
      </c>
      <c r="B4" s="16"/>
      <c r="C4" s="16">
        <v>25</v>
      </c>
      <c r="D4" s="16"/>
      <c r="E4" s="43">
        <f t="shared" si="0"/>
        <v>25</v>
      </c>
      <c r="F4" s="44">
        <f>A!AI5</f>
        <v>0</v>
      </c>
      <c r="G4" s="44">
        <f>A!AI29</f>
        <v>0</v>
      </c>
      <c r="H4" s="44">
        <f>A!AI53</f>
        <v>0</v>
      </c>
      <c r="I4" s="44">
        <f>A!AI77</f>
        <v>0</v>
      </c>
      <c r="J4" s="44">
        <f>A!AI101</f>
        <v>0</v>
      </c>
      <c r="K4" s="44">
        <f>A!AI125</f>
        <v>0</v>
      </c>
      <c r="L4" s="44">
        <f>A!AI149</f>
        <v>0</v>
      </c>
      <c r="M4" s="44">
        <f>A!AI173</f>
        <v>0</v>
      </c>
      <c r="N4" s="44">
        <f>A!AI197</f>
        <v>0</v>
      </c>
      <c r="O4" s="44">
        <f>A!AI221</f>
        <v>0</v>
      </c>
      <c r="P4" s="44">
        <f>A!AI245</f>
        <v>0</v>
      </c>
      <c r="Q4" s="44">
        <f>A!AI269</f>
        <v>0</v>
      </c>
      <c r="R4" s="40">
        <f t="shared" ref="R4:R22" si="4">SUM(F4+G4+H4+I4+J4+K4+L4+M4+N4+O4+P4+Q4)</f>
        <v>0</v>
      </c>
      <c r="S4" s="45">
        <f t="shared" ref="S4:S22" si="5">SUM(E4-R4)</f>
        <v>25</v>
      </c>
      <c r="U4" s="44">
        <f>A!AH5</f>
        <v>1</v>
      </c>
      <c r="V4" s="44">
        <f>A!AH29</f>
        <v>2</v>
      </c>
      <c r="W4" s="44">
        <f>A!AH53</f>
        <v>0</v>
      </c>
      <c r="X4" s="44">
        <f>A!AH77</f>
        <v>2</v>
      </c>
      <c r="Y4" s="44">
        <f>A!AH101</f>
        <v>0</v>
      </c>
      <c r="Z4" s="44">
        <f>A!AH125</f>
        <v>0</v>
      </c>
      <c r="AA4" s="44">
        <f>A!AH149</f>
        <v>0</v>
      </c>
      <c r="AB4" s="44">
        <f>A!AH173</f>
        <v>0</v>
      </c>
      <c r="AC4" s="44">
        <f>A!AH197</f>
        <v>0</v>
      </c>
      <c r="AD4" s="44">
        <f>A!AH221</f>
        <v>0</v>
      </c>
      <c r="AE4" s="44">
        <f>A!AH245</f>
        <v>0</v>
      </c>
      <c r="AF4" s="44">
        <f>A!AH269</f>
        <v>0</v>
      </c>
      <c r="AG4" s="16">
        <f t="shared" ref="AG4:AG22" si="6">SUM(U4+V4+W4+X4+Y4+Z4+AA4+AB4+AC4+AD4+AE4+AF4)</f>
        <v>5</v>
      </c>
      <c r="AH4" s="45">
        <f>SUM(16-AG4)</f>
        <v>11</v>
      </c>
    </row>
    <row r="5" spans="1:34" ht="20.100000000000001" customHeight="1">
      <c r="A5" s="18" t="s">
        <v>115</v>
      </c>
      <c r="B5" s="64">
        <v>1</v>
      </c>
      <c r="C5" s="16">
        <v>21</v>
      </c>
      <c r="D5" s="16"/>
      <c r="E5" s="43">
        <f t="shared" si="0"/>
        <v>22</v>
      </c>
      <c r="F5" s="44">
        <f>A!AI6</f>
        <v>1</v>
      </c>
      <c r="G5" s="44">
        <f>A!AI30</f>
        <v>0</v>
      </c>
      <c r="H5" s="44">
        <f>A!AI54</f>
        <v>0</v>
      </c>
      <c r="I5" s="44">
        <f>A!AI78</f>
        <v>1</v>
      </c>
      <c r="J5" s="44">
        <f>A!AI102</f>
        <v>0</v>
      </c>
      <c r="K5" s="44">
        <f>A!AI126</f>
        <v>0</v>
      </c>
      <c r="L5" s="44">
        <f>A!AI150</f>
        <v>0</v>
      </c>
      <c r="M5" s="44">
        <f>A!AI174</f>
        <v>0</v>
      </c>
      <c r="N5" s="44">
        <f>A!AI198</f>
        <v>0</v>
      </c>
      <c r="O5" s="44">
        <f>A!AI222</f>
        <v>0</v>
      </c>
      <c r="P5" s="44">
        <f>A!AI246</f>
        <v>0</v>
      </c>
      <c r="Q5" s="44">
        <f>A!AI270</f>
        <v>0</v>
      </c>
      <c r="R5" s="40">
        <f t="shared" si="4"/>
        <v>2</v>
      </c>
      <c r="S5" s="45">
        <f t="shared" si="5"/>
        <v>20</v>
      </c>
      <c r="U5" s="44">
        <f>A!AH6</f>
        <v>1</v>
      </c>
      <c r="V5" s="44">
        <f>A!AH30</f>
        <v>0</v>
      </c>
      <c r="W5" s="44">
        <f>A!AH54</f>
        <v>1</v>
      </c>
      <c r="X5" s="44">
        <f>A!AH78</f>
        <v>2</v>
      </c>
      <c r="Y5" s="44">
        <f>A!AH102</f>
        <v>0</v>
      </c>
      <c r="Z5" s="44">
        <f>A!AH126</f>
        <v>0</v>
      </c>
      <c r="AA5" s="44">
        <f>A!AH150</f>
        <v>0</v>
      </c>
      <c r="AB5" s="44">
        <f>A!AH174</f>
        <v>0</v>
      </c>
      <c r="AC5" s="44">
        <f>A!AH198</f>
        <v>0</v>
      </c>
      <c r="AD5" s="44">
        <f>A!AH222</f>
        <v>0</v>
      </c>
      <c r="AE5" s="44">
        <f>A!AH246</f>
        <v>0</v>
      </c>
      <c r="AF5" s="44">
        <f>A!AH270</f>
        <v>0</v>
      </c>
      <c r="AG5" s="16">
        <f t="shared" si="6"/>
        <v>4</v>
      </c>
      <c r="AH5" s="45">
        <f t="shared" ref="AH5:AH10" si="7">SUM(16-AG5)</f>
        <v>12</v>
      </c>
    </row>
    <row r="6" spans="1:34" ht="20.100000000000001" customHeight="1">
      <c r="A6" s="18" t="s">
        <v>79</v>
      </c>
      <c r="B6" s="16"/>
      <c r="C6" s="16">
        <v>25</v>
      </c>
      <c r="D6" s="16">
        <v>4</v>
      </c>
      <c r="E6" s="43">
        <f t="shared" si="0"/>
        <v>29</v>
      </c>
      <c r="F6" s="44">
        <f>A!AI7</f>
        <v>0</v>
      </c>
      <c r="G6" s="44">
        <f>A!AI31</f>
        <v>1</v>
      </c>
      <c r="H6" s="44">
        <f>A!AI55</f>
        <v>0</v>
      </c>
      <c r="I6" s="44">
        <f>A!AI79</f>
        <v>0</v>
      </c>
      <c r="J6" s="44">
        <f>A!AI103</f>
        <v>3</v>
      </c>
      <c r="K6" s="44">
        <f>A!AI127</f>
        <v>0</v>
      </c>
      <c r="L6" s="44">
        <f>A!AI151</f>
        <v>0</v>
      </c>
      <c r="M6" s="44">
        <f>A!AI175</f>
        <v>0</v>
      </c>
      <c r="N6" s="44">
        <f>A!AI199</f>
        <v>0</v>
      </c>
      <c r="O6" s="44">
        <f>A!AI223</f>
        <v>0</v>
      </c>
      <c r="P6" s="44">
        <f>A!AI247</f>
        <v>0</v>
      </c>
      <c r="Q6" s="44">
        <f>A!AI271</f>
        <v>0</v>
      </c>
      <c r="R6" s="40">
        <f t="shared" si="4"/>
        <v>4</v>
      </c>
      <c r="S6" s="45">
        <f t="shared" si="5"/>
        <v>25</v>
      </c>
      <c r="U6" s="44">
        <f>A!AH7</f>
        <v>0</v>
      </c>
      <c r="V6" s="44">
        <f>A!AH31</f>
        <v>1</v>
      </c>
      <c r="W6" s="44">
        <f>A!AH55</f>
        <v>0</v>
      </c>
      <c r="X6" s="44">
        <f>A!AH79</f>
        <v>0</v>
      </c>
      <c r="Y6" s="44">
        <f>A!AH103</f>
        <v>3</v>
      </c>
      <c r="Z6" s="44">
        <f>A!AH127</f>
        <v>0</v>
      </c>
      <c r="AA6" s="44">
        <f>A!AH151</f>
        <v>0</v>
      </c>
      <c r="AB6" s="44">
        <f>A!AH175</f>
        <v>0</v>
      </c>
      <c r="AC6" s="44">
        <f>A!AH199</f>
        <v>0</v>
      </c>
      <c r="AD6" s="44">
        <f>A!AH223</f>
        <v>0</v>
      </c>
      <c r="AE6" s="44">
        <f>A!AH247</f>
        <v>0</v>
      </c>
      <c r="AF6" s="44">
        <f>A!AH271</f>
        <v>0</v>
      </c>
      <c r="AG6" s="16">
        <f t="shared" si="6"/>
        <v>4</v>
      </c>
      <c r="AH6" s="45">
        <f t="shared" si="7"/>
        <v>12</v>
      </c>
    </row>
    <row r="7" spans="1:34" ht="20.100000000000001" customHeight="1">
      <c r="A7" s="18" t="s">
        <v>80</v>
      </c>
      <c r="B7" s="16"/>
      <c r="C7" s="16">
        <v>23</v>
      </c>
      <c r="D7" s="16"/>
      <c r="E7" s="43">
        <f t="shared" si="0"/>
        <v>23</v>
      </c>
      <c r="F7" s="44">
        <f>A!AI8</f>
        <v>1</v>
      </c>
      <c r="G7" s="44">
        <f>A!AI32</f>
        <v>3</v>
      </c>
      <c r="H7" s="44">
        <f>A!AI56</f>
        <v>2</v>
      </c>
      <c r="I7" s="44">
        <f>A!AI80</f>
        <v>0</v>
      </c>
      <c r="J7" s="44">
        <f>A!AI104</f>
        <v>1</v>
      </c>
      <c r="K7" s="44">
        <f>A!AI128</f>
        <v>0</v>
      </c>
      <c r="L7" s="44">
        <f>A!AI152</f>
        <v>0</v>
      </c>
      <c r="M7" s="44">
        <f>A!AI176</f>
        <v>0</v>
      </c>
      <c r="N7" s="44">
        <f>A!AI200</f>
        <v>0</v>
      </c>
      <c r="O7" s="44">
        <f>A!AI224</f>
        <v>0</v>
      </c>
      <c r="P7" s="44">
        <f>A!AI248</f>
        <v>0</v>
      </c>
      <c r="Q7" s="44">
        <f>A!AI272</f>
        <v>0</v>
      </c>
      <c r="R7" s="40">
        <f t="shared" si="4"/>
        <v>7</v>
      </c>
      <c r="S7" s="45">
        <f t="shared" si="5"/>
        <v>16</v>
      </c>
      <c r="U7" s="44">
        <f>A!AH8</f>
        <v>1</v>
      </c>
      <c r="V7" s="44">
        <f>A!AH32</f>
        <v>1</v>
      </c>
      <c r="W7" s="44">
        <f>A!AH56</f>
        <v>1</v>
      </c>
      <c r="X7" s="44">
        <f>A!AH80</f>
        <v>0</v>
      </c>
      <c r="Y7" s="44">
        <f>A!AH104</f>
        <v>1</v>
      </c>
      <c r="Z7" s="44">
        <f>A!AH128</f>
        <v>0</v>
      </c>
      <c r="AA7" s="44">
        <f>A!AH152</f>
        <v>0</v>
      </c>
      <c r="AB7" s="44">
        <f>A!AH176</f>
        <v>0</v>
      </c>
      <c r="AC7" s="44">
        <f>A!AH200</f>
        <v>0</v>
      </c>
      <c r="AD7" s="44">
        <f>A!AH224</f>
        <v>0</v>
      </c>
      <c r="AE7" s="44">
        <f>A!AH248</f>
        <v>0</v>
      </c>
      <c r="AF7" s="44">
        <f>A!AH272</f>
        <v>0</v>
      </c>
      <c r="AG7" s="16">
        <f t="shared" si="6"/>
        <v>4</v>
      </c>
      <c r="AH7" s="45">
        <f t="shared" si="7"/>
        <v>12</v>
      </c>
    </row>
    <row r="8" spans="1:34" ht="20.100000000000001" customHeight="1">
      <c r="A8" s="18" t="s">
        <v>81</v>
      </c>
      <c r="B8" s="16"/>
      <c r="C8" s="16">
        <v>25</v>
      </c>
      <c r="D8" s="16"/>
      <c r="E8" s="43">
        <f t="shared" si="0"/>
        <v>25</v>
      </c>
      <c r="F8" s="44">
        <f>A!AI9</f>
        <v>0</v>
      </c>
      <c r="G8" s="44">
        <f>A!AI33</f>
        <v>0</v>
      </c>
      <c r="H8" s="44">
        <f>A!AI57</f>
        <v>0</v>
      </c>
      <c r="I8" s="44">
        <f>A!AI81</f>
        <v>1</v>
      </c>
      <c r="J8" s="44">
        <f>A!AI105</f>
        <v>1</v>
      </c>
      <c r="K8" s="44">
        <f>A!AI129</f>
        <v>0</v>
      </c>
      <c r="L8" s="44">
        <f>A!AI153</f>
        <v>0</v>
      </c>
      <c r="M8" s="44">
        <f>A!AI177</f>
        <v>0</v>
      </c>
      <c r="N8" s="44">
        <f>A!AI201</f>
        <v>0</v>
      </c>
      <c r="O8" s="44">
        <f>A!AI225</f>
        <v>0</v>
      </c>
      <c r="P8" s="44">
        <f>A!AI249</f>
        <v>0</v>
      </c>
      <c r="Q8" s="44">
        <f>A!AI273</f>
        <v>0</v>
      </c>
      <c r="R8" s="40">
        <f t="shared" si="4"/>
        <v>2</v>
      </c>
      <c r="S8" s="45">
        <f t="shared" si="5"/>
        <v>23</v>
      </c>
      <c r="U8" s="44">
        <f>A!AH9</f>
        <v>1</v>
      </c>
      <c r="V8" s="44">
        <f>A!AH33</f>
        <v>1</v>
      </c>
      <c r="W8" s="44">
        <f>A!AH57</f>
        <v>0</v>
      </c>
      <c r="X8" s="44">
        <f>A!AH81</f>
        <v>2</v>
      </c>
      <c r="Y8" s="44">
        <f>A!AH105</f>
        <v>0</v>
      </c>
      <c r="Z8" s="44">
        <f>A!AH129</f>
        <v>0</v>
      </c>
      <c r="AA8" s="44">
        <f>A!AH153</f>
        <v>0</v>
      </c>
      <c r="AB8" s="44">
        <f>A!AH177</f>
        <v>0</v>
      </c>
      <c r="AC8" s="44">
        <f>A!AH201</f>
        <v>0</v>
      </c>
      <c r="AD8" s="44">
        <f>A!AH225</f>
        <v>0</v>
      </c>
      <c r="AE8" s="44">
        <f>A!AH249</f>
        <v>0</v>
      </c>
      <c r="AF8" s="44">
        <f>A!AH273</f>
        <v>0</v>
      </c>
      <c r="AG8" s="16">
        <f t="shared" si="6"/>
        <v>4</v>
      </c>
      <c r="AH8" s="45">
        <f t="shared" si="7"/>
        <v>12</v>
      </c>
    </row>
    <row r="9" spans="1:34" ht="20.100000000000001" hidden="1" customHeight="1">
      <c r="A9" s="18" t="s">
        <v>82</v>
      </c>
      <c r="B9" s="16"/>
      <c r="C9" s="16">
        <v>30</v>
      </c>
      <c r="D9" s="16"/>
      <c r="E9" s="43">
        <f t="shared" si="0"/>
        <v>30</v>
      </c>
      <c r="F9" s="44">
        <f>A!AI10</f>
        <v>0</v>
      </c>
      <c r="G9" s="44">
        <f>A!AI34</f>
        <v>0</v>
      </c>
      <c r="H9" s="44">
        <f>A!AI58</f>
        <v>0</v>
      </c>
      <c r="I9" s="44">
        <f>A!AI82</f>
        <v>0</v>
      </c>
      <c r="J9" s="44">
        <f>A!AI106</f>
        <v>0</v>
      </c>
      <c r="K9" s="44">
        <f>A!AI130</f>
        <v>0</v>
      </c>
      <c r="L9" s="44">
        <f>A!AI154</f>
        <v>0</v>
      </c>
      <c r="M9" s="44">
        <f>A!AI178</f>
        <v>0</v>
      </c>
      <c r="N9" s="44">
        <f>A!AI202</f>
        <v>0</v>
      </c>
      <c r="O9" s="44">
        <f>A!AI226</f>
        <v>0</v>
      </c>
      <c r="P9" s="44">
        <f>A!AI250</f>
        <v>0</v>
      </c>
      <c r="Q9" s="44">
        <f>A!AI274</f>
        <v>0</v>
      </c>
      <c r="R9" s="40">
        <f t="shared" si="4"/>
        <v>0</v>
      </c>
      <c r="S9" s="45">
        <f t="shared" si="5"/>
        <v>30</v>
      </c>
      <c r="U9" s="44">
        <f>A!AH10</f>
        <v>1</v>
      </c>
      <c r="V9" s="44">
        <f>A!AH34</f>
        <v>1</v>
      </c>
      <c r="W9" s="44">
        <f>A!AH58</f>
        <v>0</v>
      </c>
      <c r="X9" s="44">
        <f>A!AH82</f>
        <v>0</v>
      </c>
      <c r="Y9" s="44">
        <f>A!AH106</f>
        <v>0</v>
      </c>
      <c r="Z9" s="44">
        <f>A!AH130</f>
        <v>0</v>
      </c>
      <c r="AA9" s="44">
        <f>A!AH154</f>
        <v>0</v>
      </c>
      <c r="AB9" s="44">
        <f>A!AH178</f>
        <v>0</v>
      </c>
      <c r="AC9" s="44">
        <f>A!AH202</f>
        <v>0</v>
      </c>
      <c r="AD9" s="44">
        <f>A!AH226</f>
        <v>0</v>
      </c>
      <c r="AE9" s="44">
        <f>A!AH250</f>
        <v>0</v>
      </c>
      <c r="AF9" s="44">
        <f>A!AH274</f>
        <v>0</v>
      </c>
      <c r="AG9" s="16">
        <f t="shared" si="6"/>
        <v>2</v>
      </c>
      <c r="AH9" s="45">
        <f t="shared" si="7"/>
        <v>14</v>
      </c>
    </row>
    <row r="10" spans="1:34" ht="20.100000000000001" customHeight="1">
      <c r="A10" s="18" t="s">
        <v>83</v>
      </c>
      <c r="B10" s="16"/>
      <c r="C10" s="16">
        <v>21</v>
      </c>
      <c r="D10" s="16"/>
      <c r="E10" s="43">
        <f t="shared" si="0"/>
        <v>21</v>
      </c>
      <c r="F10" s="44">
        <f>A!AI11</f>
        <v>0</v>
      </c>
      <c r="G10" s="44">
        <f>A!AI35</f>
        <v>0</v>
      </c>
      <c r="H10" s="44">
        <f>A!AI59</f>
        <v>0</v>
      </c>
      <c r="I10" s="44">
        <f>A!AI83</f>
        <v>0</v>
      </c>
      <c r="J10" s="44">
        <f>A!AI107</f>
        <v>0</v>
      </c>
      <c r="K10" s="44">
        <f>A!AI131</f>
        <v>0</v>
      </c>
      <c r="L10" s="44">
        <f>A!AI155</f>
        <v>0</v>
      </c>
      <c r="M10" s="44">
        <f>A!AI179</f>
        <v>0</v>
      </c>
      <c r="N10" s="44">
        <f>A!AI203</f>
        <v>0</v>
      </c>
      <c r="O10" s="44">
        <f>A!AI227</f>
        <v>0</v>
      </c>
      <c r="P10" s="44">
        <f>A!AI251</f>
        <v>0</v>
      </c>
      <c r="Q10" s="44">
        <f>A!AI275</f>
        <v>0</v>
      </c>
      <c r="R10" s="40">
        <f t="shared" si="4"/>
        <v>0</v>
      </c>
      <c r="S10" s="45">
        <f t="shared" si="5"/>
        <v>21</v>
      </c>
      <c r="U10" s="44">
        <f>A!AH11</f>
        <v>0</v>
      </c>
      <c r="V10" s="44">
        <f>A!AH35</f>
        <v>0</v>
      </c>
      <c r="W10" s="44">
        <f>A!AH59</f>
        <v>3</v>
      </c>
      <c r="X10" s="44">
        <f>A!AH83</f>
        <v>0</v>
      </c>
      <c r="Y10" s="44">
        <f>A!AH107</f>
        <v>0</v>
      </c>
      <c r="Z10" s="44">
        <f>A!AH131</f>
        <v>0</v>
      </c>
      <c r="AA10" s="44">
        <f>A!AH155</f>
        <v>0</v>
      </c>
      <c r="AB10" s="44">
        <f>A!AH179</f>
        <v>0</v>
      </c>
      <c r="AC10" s="44">
        <f>A!AH203</f>
        <v>0</v>
      </c>
      <c r="AD10" s="44">
        <f>A!AH227</f>
        <v>0</v>
      </c>
      <c r="AE10" s="44">
        <f>A!AH251</f>
        <v>0</v>
      </c>
      <c r="AF10" s="44">
        <f>A!AH275</f>
        <v>0</v>
      </c>
      <c r="AG10" s="16">
        <f t="shared" si="6"/>
        <v>3</v>
      </c>
      <c r="AH10" s="45">
        <f t="shared" si="7"/>
        <v>13</v>
      </c>
    </row>
    <row r="11" spans="1:34" ht="20.100000000000001" hidden="1" customHeight="1">
      <c r="A11" s="18" t="s">
        <v>49</v>
      </c>
      <c r="B11" s="16"/>
      <c r="C11" s="16"/>
      <c r="D11" s="16"/>
      <c r="E11" s="43">
        <f t="shared" si="0"/>
        <v>0</v>
      </c>
      <c r="F11" s="44">
        <f>A!AI12</f>
        <v>0</v>
      </c>
      <c r="G11" s="44">
        <f>A!AI36</f>
        <v>0</v>
      </c>
      <c r="H11" s="44">
        <f>A!AI60</f>
        <v>0</v>
      </c>
      <c r="I11" s="44">
        <f>A!AI84</f>
        <v>0</v>
      </c>
      <c r="J11" s="44">
        <f>A!AI108</f>
        <v>0</v>
      </c>
      <c r="K11" s="44">
        <f>A!AI132</f>
        <v>0</v>
      </c>
      <c r="L11" s="44">
        <f>A!AI156</f>
        <v>0</v>
      </c>
      <c r="M11" s="44">
        <f>A!AI180</f>
        <v>0</v>
      </c>
      <c r="N11" s="44">
        <f>A!AI204</f>
        <v>0</v>
      </c>
      <c r="O11" s="44">
        <f>A!AI228</f>
        <v>0</v>
      </c>
      <c r="P11" s="44">
        <f>A!AI252</f>
        <v>0</v>
      </c>
      <c r="Q11" s="44">
        <f>A!AI276</f>
        <v>0</v>
      </c>
      <c r="R11" s="40">
        <f t="shared" si="4"/>
        <v>0</v>
      </c>
      <c r="S11" s="45">
        <f t="shared" si="5"/>
        <v>0</v>
      </c>
      <c r="U11" s="44">
        <f>A!AH12</f>
        <v>0</v>
      </c>
      <c r="V11" s="44">
        <f>A!AH36</f>
        <v>0</v>
      </c>
      <c r="W11" s="44">
        <f>A!AH60</f>
        <v>0</v>
      </c>
      <c r="X11" s="44">
        <f>A!AH84</f>
        <v>0</v>
      </c>
      <c r="Y11" s="44">
        <f>A!AH108</f>
        <v>0</v>
      </c>
      <c r="Z11" s="44">
        <f>A!AH132</f>
        <v>0</v>
      </c>
      <c r="AA11" s="44">
        <f>A!AH156</f>
        <v>0</v>
      </c>
      <c r="AB11" s="44">
        <f>A!AH180</f>
        <v>0</v>
      </c>
      <c r="AC11" s="44">
        <f>A!AH204</f>
        <v>0</v>
      </c>
      <c r="AD11" s="44">
        <f>A!AH228</f>
        <v>0</v>
      </c>
      <c r="AE11" s="44">
        <f>A!AH252</f>
        <v>0</v>
      </c>
      <c r="AF11" s="44">
        <f>A!AH276</f>
        <v>0</v>
      </c>
      <c r="AG11" s="16">
        <f t="shared" si="6"/>
        <v>0</v>
      </c>
      <c r="AH11" s="45">
        <f t="shared" ref="AH11:AH22" si="8">SUM(13-AG11)</f>
        <v>13</v>
      </c>
    </row>
    <row r="12" spans="1:34" ht="19.5" hidden="1" customHeight="1">
      <c r="A12" s="18" t="s">
        <v>44</v>
      </c>
      <c r="B12" s="16"/>
      <c r="C12" s="16"/>
      <c r="D12" s="16"/>
      <c r="E12" s="43">
        <f t="shared" si="0"/>
        <v>0</v>
      </c>
      <c r="F12" s="44">
        <f>A!AI13</f>
        <v>0</v>
      </c>
      <c r="G12" s="44">
        <f>A!AI37</f>
        <v>0</v>
      </c>
      <c r="H12" s="44">
        <f>A!AI61</f>
        <v>0</v>
      </c>
      <c r="I12" s="44">
        <f>A!AI85</f>
        <v>0</v>
      </c>
      <c r="J12" s="44">
        <f>A!AI109</f>
        <v>0</v>
      </c>
      <c r="K12" s="44">
        <f>A!AI133</f>
        <v>0</v>
      </c>
      <c r="L12" s="44">
        <f>A!AI157</f>
        <v>0</v>
      </c>
      <c r="M12" s="44">
        <f>A!AI181</f>
        <v>0</v>
      </c>
      <c r="N12" s="44">
        <f>A!AI205</f>
        <v>0</v>
      </c>
      <c r="O12" s="44">
        <f>A!AI229</f>
        <v>0</v>
      </c>
      <c r="P12" s="44">
        <f>A!AI253</f>
        <v>0</v>
      </c>
      <c r="Q12" s="44">
        <f>A!AI277</f>
        <v>0</v>
      </c>
      <c r="R12" s="40">
        <f t="shared" si="4"/>
        <v>0</v>
      </c>
      <c r="S12" s="45">
        <f t="shared" si="5"/>
        <v>0</v>
      </c>
      <c r="U12" s="44">
        <f>A!AH13</f>
        <v>0</v>
      </c>
      <c r="V12" s="44">
        <f>A!AH37</f>
        <v>0</v>
      </c>
      <c r="W12" s="44">
        <f>A!AH61</f>
        <v>0</v>
      </c>
      <c r="X12" s="44">
        <f>A!AH85</f>
        <v>0</v>
      </c>
      <c r="Y12" s="44">
        <f>A!AH109</f>
        <v>0</v>
      </c>
      <c r="Z12" s="44">
        <f>A!AH133</f>
        <v>0</v>
      </c>
      <c r="AA12" s="44">
        <f>A!AH157</f>
        <v>0</v>
      </c>
      <c r="AB12" s="44">
        <f>A!AH181</f>
        <v>0</v>
      </c>
      <c r="AC12" s="44">
        <f>A!AH205</f>
        <v>0</v>
      </c>
      <c r="AD12" s="44">
        <f>A!AH229</f>
        <v>0</v>
      </c>
      <c r="AE12" s="44">
        <f>A!AH253</f>
        <v>0</v>
      </c>
      <c r="AF12" s="44">
        <f>A!AH277</f>
        <v>0</v>
      </c>
      <c r="AG12" s="16">
        <f t="shared" si="6"/>
        <v>0</v>
      </c>
      <c r="AH12" s="45">
        <f t="shared" si="8"/>
        <v>13</v>
      </c>
    </row>
    <row r="13" spans="1:34" ht="20.100000000000001" hidden="1" customHeight="1">
      <c r="A13" s="18" t="s">
        <v>45</v>
      </c>
      <c r="B13" s="16"/>
      <c r="C13" s="16"/>
      <c r="D13" s="16"/>
      <c r="E13" s="43">
        <f t="shared" si="0"/>
        <v>0</v>
      </c>
      <c r="F13" s="44">
        <f>A!AI14</f>
        <v>0</v>
      </c>
      <c r="G13" s="44">
        <f>A!AI38</f>
        <v>0</v>
      </c>
      <c r="H13" s="44">
        <f>A!AI62</f>
        <v>0</v>
      </c>
      <c r="I13" s="44">
        <f>A!AI86</f>
        <v>0</v>
      </c>
      <c r="J13" s="44">
        <f>A!AI110</f>
        <v>0</v>
      </c>
      <c r="K13" s="44">
        <f>A!AI134</f>
        <v>0</v>
      </c>
      <c r="L13" s="44">
        <f>A!AI158</f>
        <v>0</v>
      </c>
      <c r="M13" s="44">
        <f>A!AI182</f>
        <v>0</v>
      </c>
      <c r="N13" s="44">
        <f>A!AI206</f>
        <v>0</v>
      </c>
      <c r="O13" s="44">
        <f>A!AI230</f>
        <v>0</v>
      </c>
      <c r="P13" s="44">
        <f>A!AI254</f>
        <v>0</v>
      </c>
      <c r="Q13" s="44">
        <f>A!AI278</f>
        <v>0</v>
      </c>
      <c r="R13" s="40">
        <f t="shared" si="4"/>
        <v>0</v>
      </c>
      <c r="S13" s="45">
        <f t="shared" si="5"/>
        <v>0</v>
      </c>
      <c r="U13" s="44">
        <f>A!AH14</f>
        <v>0</v>
      </c>
      <c r="V13" s="44">
        <f>A!AH38</f>
        <v>0</v>
      </c>
      <c r="W13" s="44">
        <f>A!AH62</f>
        <v>0</v>
      </c>
      <c r="X13" s="44">
        <f>A!AH86</f>
        <v>0</v>
      </c>
      <c r="Y13" s="44">
        <f>A!AH110</f>
        <v>0</v>
      </c>
      <c r="Z13" s="44">
        <f>A!AH134</f>
        <v>0</v>
      </c>
      <c r="AA13" s="44">
        <f>A!AH158</f>
        <v>0</v>
      </c>
      <c r="AB13" s="44">
        <f>A!AH182</f>
        <v>0</v>
      </c>
      <c r="AC13" s="44">
        <f>A!AH206</f>
        <v>0</v>
      </c>
      <c r="AD13" s="44">
        <f>A!AH230</f>
        <v>0</v>
      </c>
      <c r="AE13" s="44">
        <f>A!AH254</f>
        <v>0</v>
      </c>
      <c r="AF13" s="44">
        <f>A!AH278</f>
        <v>0</v>
      </c>
      <c r="AG13" s="16">
        <f t="shared" si="6"/>
        <v>0</v>
      </c>
      <c r="AH13" s="45">
        <f t="shared" si="8"/>
        <v>13</v>
      </c>
    </row>
    <row r="14" spans="1:34" ht="20.100000000000001" hidden="1" customHeight="1">
      <c r="A14" s="18" t="s">
        <v>46</v>
      </c>
      <c r="B14" s="16"/>
      <c r="C14" s="16"/>
      <c r="D14" s="16"/>
      <c r="E14" s="43">
        <f t="shared" si="0"/>
        <v>0</v>
      </c>
      <c r="F14" s="44">
        <f>A!AI15</f>
        <v>0</v>
      </c>
      <c r="G14" s="44">
        <f>A!AI39</f>
        <v>0</v>
      </c>
      <c r="H14" s="44">
        <f>A!AI63</f>
        <v>0</v>
      </c>
      <c r="I14" s="44">
        <f>A!AI87</f>
        <v>0</v>
      </c>
      <c r="J14" s="44">
        <f>A!AI111</f>
        <v>0</v>
      </c>
      <c r="K14" s="44">
        <f>A!AI135</f>
        <v>0</v>
      </c>
      <c r="L14" s="44">
        <f>A!AI159</f>
        <v>0</v>
      </c>
      <c r="M14" s="44">
        <f>A!AI183</f>
        <v>0</v>
      </c>
      <c r="N14" s="44">
        <f>A!AI207</f>
        <v>0</v>
      </c>
      <c r="O14" s="44">
        <f>A!AI231</f>
        <v>0</v>
      </c>
      <c r="P14" s="44">
        <f>A!AI255</f>
        <v>0</v>
      </c>
      <c r="Q14" s="44">
        <f>A!AI279</f>
        <v>0</v>
      </c>
      <c r="R14" s="40">
        <f t="shared" si="4"/>
        <v>0</v>
      </c>
      <c r="S14" s="45">
        <f t="shared" si="5"/>
        <v>0</v>
      </c>
      <c r="U14" s="44">
        <f>A!AH15</f>
        <v>0</v>
      </c>
      <c r="V14" s="44">
        <f>A!AH39</f>
        <v>0</v>
      </c>
      <c r="W14" s="44">
        <f>A!AH63</f>
        <v>0</v>
      </c>
      <c r="X14" s="44">
        <f>A!AH87</f>
        <v>0</v>
      </c>
      <c r="Y14" s="44">
        <f>A!AH111</f>
        <v>0</v>
      </c>
      <c r="Z14" s="44">
        <f>A!AH135</f>
        <v>0</v>
      </c>
      <c r="AA14" s="44">
        <f>A!AH159</f>
        <v>0</v>
      </c>
      <c r="AB14" s="44">
        <f>A!AH183</f>
        <v>0</v>
      </c>
      <c r="AC14" s="44">
        <f>A!AH207</f>
        <v>0</v>
      </c>
      <c r="AD14" s="44">
        <f>A!AH231</f>
        <v>0</v>
      </c>
      <c r="AE14" s="44">
        <f>A!AH255</f>
        <v>0</v>
      </c>
      <c r="AF14" s="44">
        <f>A!AH279</f>
        <v>0</v>
      </c>
      <c r="AG14" s="16">
        <f t="shared" si="6"/>
        <v>0</v>
      </c>
      <c r="AH14" s="45">
        <f t="shared" si="8"/>
        <v>13</v>
      </c>
    </row>
    <row r="15" spans="1:34" ht="20.100000000000001" hidden="1" customHeight="1">
      <c r="A15" s="18" t="s">
        <v>47</v>
      </c>
      <c r="B15" s="16"/>
      <c r="C15" s="16"/>
      <c r="D15" s="16"/>
      <c r="E15" s="43">
        <f t="shared" si="0"/>
        <v>0</v>
      </c>
      <c r="F15" s="44">
        <f>A!AI16</f>
        <v>0</v>
      </c>
      <c r="G15" s="44">
        <f>A!AI40</f>
        <v>0</v>
      </c>
      <c r="H15" s="44">
        <f>A!AI64</f>
        <v>0</v>
      </c>
      <c r="I15" s="44">
        <f>A!AI88</f>
        <v>0</v>
      </c>
      <c r="J15" s="44">
        <f>A!AI112</f>
        <v>0</v>
      </c>
      <c r="K15" s="44">
        <f>A!AI136</f>
        <v>0</v>
      </c>
      <c r="L15" s="44">
        <f>A!AI160</f>
        <v>0</v>
      </c>
      <c r="M15" s="44">
        <f>A!AI184</f>
        <v>0</v>
      </c>
      <c r="N15" s="44">
        <f>A!AI208</f>
        <v>0</v>
      </c>
      <c r="O15" s="44">
        <f>A!AI232</f>
        <v>0</v>
      </c>
      <c r="P15" s="44">
        <f>A!AI256</f>
        <v>0</v>
      </c>
      <c r="Q15" s="44">
        <f>A!AI280</f>
        <v>0</v>
      </c>
      <c r="R15" s="40">
        <f t="shared" si="4"/>
        <v>0</v>
      </c>
      <c r="S15" s="45">
        <f t="shared" si="5"/>
        <v>0</v>
      </c>
      <c r="U15" s="44">
        <f>A!AH16</f>
        <v>0</v>
      </c>
      <c r="V15" s="44">
        <f>A!AH40</f>
        <v>0</v>
      </c>
      <c r="W15" s="44">
        <f>A!AH64</f>
        <v>0</v>
      </c>
      <c r="X15" s="44">
        <f>A!AH88</f>
        <v>0</v>
      </c>
      <c r="Y15" s="44">
        <f>A!AH112</f>
        <v>0</v>
      </c>
      <c r="Z15" s="44">
        <f>A!AH136</f>
        <v>0</v>
      </c>
      <c r="AA15" s="44">
        <f>A!AH160</f>
        <v>0</v>
      </c>
      <c r="AB15" s="44">
        <f>A!AH184</f>
        <v>0</v>
      </c>
      <c r="AC15" s="44">
        <f>A!AH208</f>
        <v>0</v>
      </c>
      <c r="AD15" s="44">
        <f>A!AH232</f>
        <v>0</v>
      </c>
      <c r="AE15" s="44">
        <f>A!AH256</f>
        <v>0</v>
      </c>
      <c r="AF15" s="44">
        <f>A!AH280</f>
        <v>0</v>
      </c>
      <c r="AG15" s="16">
        <f t="shared" si="6"/>
        <v>0</v>
      </c>
      <c r="AH15" s="45">
        <f t="shared" si="8"/>
        <v>13</v>
      </c>
    </row>
    <row r="16" spans="1:34" ht="20.100000000000001" hidden="1" customHeight="1">
      <c r="A16" s="18" t="s">
        <v>48</v>
      </c>
      <c r="B16" s="16"/>
      <c r="C16" s="16"/>
      <c r="D16" s="16"/>
      <c r="E16" s="43">
        <f t="shared" si="0"/>
        <v>0</v>
      </c>
      <c r="F16" s="44">
        <f>A!AI17</f>
        <v>0</v>
      </c>
      <c r="G16" s="44">
        <f>A!AI41</f>
        <v>0</v>
      </c>
      <c r="H16" s="44">
        <f>A!AI65</f>
        <v>0</v>
      </c>
      <c r="I16" s="44">
        <f>A!AI89</f>
        <v>0</v>
      </c>
      <c r="J16" s="44">
        <f>A!AI113</f>
        <v>0</v>
      </c>
      <c r="K16" s="44">
        <f>A!AI137</f>
        <v>0</v>
      </c>
      <c r="L16" s="44">
        <f>A!AI161</f>
        <v>0</v>
      </c>
      <c r="M16" s="44">
        <f>A!AI185</f>
        <v>0</v>
      </c>
      <c r="N16" s="44">
        <f>A!AI209</f>
        <v>0</v>
      </c>
      <c r="O16" s="44">
        <f>A!AI233</f>
        <v>0</v>
      </c>
      <c r="P16" s="44">
        <f>A!AI257</f>
        <v>0</v>
      </c>
      <c r="Q16" s="44">
        <f>A!AI281</f>
        <v>0</v>
      </c>
      <c r="R16" s="40">
        <f t="shared" si="4"/>
        <v>0</v>
      </c>
      <c r="S16" s="45">
        <f t="shared" si="5"/>
        <v>0</v>
      </c>
      <c r="U16" s="44">
        <f>A!AH17</f>
        <v>0</v>
      </c>
      <c r="V16" s="44">
        <f>A!AH41</f>
        <v>0</v>
      </c>
      <c r="W16" s="44">
        <f>A!AH65</f>
        <v>0</v>
      </c>
      <c r="X16" s="44">
        <f>A!AH89</f>
        <v>0</v>
      </c>
      <c r="Y16" s="44">
        <f>A!AH113</f>
        <v>0</v>
      </c>
      <c r="Z16" s="44">
        <f>A!AH137</f>
        <v>0</v>
      </c>
      <c r="AA16" s="44">
        <f>A!AH161</f>
        <v>0</v>
      </c>
      <c r="AB16" s="44">
        <f>A!AH185</f>
        <v>0</v>
      </c>
      <c r="AC16" s="44">
        <f>A!AH209</f>
        <v>0</v>
      </c>
      <c r="AD16" s="44">
        <f>A!AH233</f>
        <v>0</v>
      </c>
      <c r="AE16" s="44">
        <f>A!AH257</f>
        <v>0</v>
      </c>
      <c r="AF16" s="44">
        <f>A!AH281</f>
        <v>0</v>
      </c>
      <c r="AG16" s="16">
        <f t="shared" si="6"/>
        <v>0</v>
      </c>
      <c r="AH16" s="45">
        <f t="shared" si="8"/>
        <v>13</v>
      </c>
    </row>
    <row r="17" spans="1:34" ht="20.100000000000001" hidden="1" customHeight="1">
      <c r="A17" s="18" t="s">
        <v>43</v>
      </c>
      <c r="B17" s="16"/>
      <c r="C17" s="16"/>
      <c r="D17" s="16"/>
      <c r="E17" s="43">
        <f t="shared" si="0"/>
        <v>0</v>
      </c>
      <c r="F17" s="44">
        <f>A!AI18</f>
        <v>0</v>
      </c>
      <c r="G17" s="44">
        <f>A!AI42</f>
        <v>0</v>
      </c>
      <c r="H17" s="44">
        <f>A!AI66</f>
        <v>0</v>
      </c>
      <c r="I17" s="44">
        <f>A!AI90</f>
        <v>0</v>
      </c>
      <c r="J17" s="44">
        <f>A!AI114</f>
        <v>0</v>
      </c>
      <c r="K17" s="44">
        <f>A!AI138</f>
        <v>0</v>
      </c>
      <c r="L17" s="44">
        <f>A!AI162</f>
        <v>0</v>
      </c>
      <c r="M17" s="44">
        <f>A!AI186</f>
        <v>0</v>
      </c>
      <c r="N17" s="44">
        <f>A!AI210</f>
        <v>0</v>
      </c>
      <c r="O17" s="44">
        <f>A!AI234</f>
        <v>0</v>
      </c>
      <c r="P17" s="44">
        <f>A!AI258</f>
        <v>0</v>
      </c>
      <c r="Q17" s="44">
        <f>A!AI282</f>
        <v>0</v>
      </c>
      <c r="R17" s="40">
        <f t="shared" si="4"/>
        <v>0</v>
      </c>
      <c r="S17" s="45">
        <f t="shared" si="5"/>
        <v>0</v>
      </c>
      <c r="U17" s="44">
        <f>A!AH18</f>
        <v>0</v>
      </c>
      <c r="V17" s="44">
        <f>A!AH42</f>
        <v>0</v>
      </c>
      <c r="W17" s="44">
        <f>A!AH66</f>
        <v>0</v>
      </c>
      <c r="X17" s="44">
        <f>A!AH90</f>
        <v>0</v>
      </c>
      <c r="Y17" s="44">
        <f>A!AH114</f>
        <v>0</v>
      </c>
      <c r="Z17" s="44">
        <f>A!AH138</f>
        <v>0</v>
      </c>
      <c r="AA17" s="44">
        <f>A!AH162</f>
        <v>0</v>
      </c>
      <c r="AB17" s="44">
        <f>A!AH186</f>
        <v>0</v>
      </c>
      <c r="AC17" s="44">
        <f>A!AH210</f>
        <v>0</v>
      </c>
      <c r="AD17" s="44">
        <f>A!AH234</f>
        <v>0</v>
      </c>
      <c r="AE17" s="44">
        <f>A!AH258</f>
        <v>0</v>
      </c>
      <c r="AF17" s="44">
        <f>A!AH282</f>
        <v>0</v>
      </c>
      <c r="AG17" s="16">
        <f t="shared" si="6"/>
        <v>0</v>
      </c>
      <c r="AH17" s="45">
        <f t="shared" si="8"/>
        <v>13</v>
      </c>
    </row>
    <row r="18" spans="1:34" ht="20.100000000000001" hidden="1" customHeight="1">
      <c r="A18" s="18" t="s">
        <v>60</v>
      </c>
      <c r="B18" s="16"/>
      <c r="C18" s="16"/>
      <c r="D18" s="16"/>
      <c r="E18" s="43">
        <f t="shared" si="0"/>
        <v>0</v>
      </c>
      <c r="F18" s="44">
        <f>A!AI19</f>
        <v>0</v>
      </c>
      <c r="G18" s="44">
        <f>A!AI43</f>
        <v>0</v>
      </c>
      <c r="H18" s="44">
        <f>A!AI67</f>
        <v>0</v>
      </c>
      <c r="I18" s="44">
        <f>A!AI91</f>
        <v>0</v>
      </c>
      <c r="J18" s="44">
        <f>A!AI115</f>
        <v>0</v>
      </c>
      <c r="K18" s="44">
        <f>A!AI139</f>
        <v>0</v>
      </c>
      <c r="L18" s="44">
        <f>A!AI163</f>
        <v>0</v>
      </c>
      <c r="M18" s="44">
        <f>A!AI187</f>
        <v>0</v>
      </c>
      <c r="N18" s="44">
        <f>A!AI211</f>
        <v>0</v>
      </c>
      <c r="O18" s="44">
        <f>A!AI235</f>
        <v>0</v>
      </c>
      <c r="P18" s="44">
        <f>A!AI259</f>
        <v>0</v>
      </c>
      <c r="Q18" s="44">
        <f>A!AI283</f>
        <v>0</v>
      </c>
      <c r="R18" s="40">
        <f t="shared" si="4"/>
        <v>0</v>
      </c>
      <c r="S18" s="45">
        <f t="shared" si="5"/>
        <v>0</v>
      </c>
      <c r="U18" s="44">
        <f>A!AH19</f>
        <v>0</v>
      </c>
      <c r="V18" s="44">
        <f>A!AH43</f>
        <v>0</v>
      </c>
      <c r="W18" s="44">
        <f>A!AH67</f>
        <v>0</v>
      </c>
      <c r="X18" s="44">
        <f>A!AH91</f>
        <v>0</v>
      </c>
      <c r="Y18" s="44">
        <f>A!AH115</f>
        <v>0</v>
      </c>
      <c r="Z18" s="44">
        <f>A!AH139</f>
        <v>0</v>
      </c>
      <c r="AA18" s="44">
        <f>A!AH163</f>
        <v>0</v>
      </c>
      <c r="AB18" s="44">
        <f>A!AH187</f>
        <v>0</v>
      </c>
      <c r="AC18" s="44">
        <f>A!AH211</f>
        <v>0</v>
      </c>
      <c r="AD18" s="44">
        <f>A!AH235</f>
        <v>0</v>
      </c>
      <c r="AE18" s="44">
        <f>A!AH259</f>
        <v>0</v>
      </c>
      <c r="AF18" s="44">
        <f>A!AH283</f>
        <v>0</v>
      </c>
      <c r="AG18" s="16">
        <f t="shared" si="6"/>
        <v>0</v>
      </c>
      <c r="AH18" s="45">
        <f t="shared" si="8"/>
        <v>13</v>
      </c>
    </row>
    <row r="19" spans="1:34" ht="20.100000000000001" hidden="1" customHeight="1">
      <c r="A19" s="18" t="s">
        <v>61</v>
      </c>
      <c r="B19" s="16"/>
      <c r="C19" s="16"/>
      <c r="D19" s="16"/>
      <c r="E19" s="43">
        <f t="shared" si="0"/>
        <v>0</v>
      </c>
      <c r="F19" s="44">
        <f>A!AI20</f>
        <v>0</v>
      </c>
      <c r="G19" s="44">
        <f>A!AI44</f>
        <v>0</v>
      </c>
      <c r="H19" s="44">
        <f>A!AI68</f>
        <v>0</v>
      </c>
      <c r="I19" s="44">
        <f>A!AI92</f>
        <v>0</v>
      </c>
      <c r="J19" s="44">
        <f>A!AI116</f>
        <v>0</v>
      </c>
      <c r="K19" s="44">
        <f>A!AI140</f>
        <v>0</v>
      </c>
      <c r="L19" s="44">
        <f>A!AI164</f>
        <v>0</v>
      </c>
      <c r="M19" s="44">
        <f>A!AI188</f>
        <v>0</v>
      </c>
      <c r="N19" s="44">
        <f>A!AI212</f>
        <v>0</v>
      </c>
      <c r="O19" s="44">
        <f>A!AI236</f>
        <v>0</v>
      </c>
      <c r="P19" s="44">
        <f>A!AI260</f>
        <v>0</v>
      </c>
      <c r="Q19" s="44">
        <f>A!AI284</f>
        <v>0</v>
      </c>
      <c r="R19" s="40">
        <f t="shared" si="4"/>
        <v>0</v>
      </c>
      <c r="S19" s="45">
        <f t="shared" si="5"/>
        <v>0</v>
      </c>
      <c r="U19" s="44">
        <f>A!AH20</f>
        <v>0</v>
      </c>
      <c r="V19" s="44">
        <f>A!AH44</f>
        <v>0</v>
      </c>
      <c r="W19" s="44">
        <f>A!AH68</f>
        <v>0</v>
      </c>
      <c r="X19" s="44">
        <f>A!AH92</f>
        <v>0</v>
      </c>
      <c r="Y19" s="44">
        <f>A!AH116</f>
        <v>0</v>
      </c>
      <c r="Z19" s="44">
        <f>A!AH140</f>
        <v>0</v>
      </c>
      <c r="AA19" s="44">
        <f>A!AH164</f>
        <v>0</v>
      </c>
      <c r="AB19" s="44">
        <f>A!AH188</f>
        <v>0</v>
      </c>
      <c r="AC19" s="44">
        <f>A!AH212</f>
        <v>0</v>
      </c>
      <c r="AD19" s="44">
        <f>A!AH236</f>
        <v>0</v>
      </c>
      <c r="AE19" s="44">
        <f>A!AH260</f>
        <v>0</v>
      </c>
      <c r="AF19" s="44">
        <f>A!AH284</f>
        <v>0</v>
      </c>
      <c r="AG19" s="16">
        <f t="shared" si="6"/>
        <v>0</v>
      </c>
      <c r="AH19" s="45">
        <f t="shared" si="8"/>
        <v>13</v>
      </c>
    </row>
    <row r="20" spans="1:34" ht="20.100000000000001" hidden="1" customHeight="1">
      <c r="A20" s="18" t="s">
        <v>62</v>
      </c>
      <c r="B20" s="16"/>
      <c r="C20" s="16"/>
      <c r="D20" s="16"/>
      <c r="E20" s="43">
        <f t="shared" si="0"/>
        <v>0</v>
      </c>
      <c r="F20" s="44">
        <f>A!AI21</f>
        <v>0</v>
      </c>
      <c r="G20" s="44">
        <f>A!AI45</f>
        <v>0</v>
      </c>
      <c r="H20" s="44">
        <f>A!AI69</f>
        <v>0</v>
      </c>
      <c r="I20" s="44">
        <f>A!AI93</f>
        <v>0</v>
      </c>
      <c r="J20" s="44">
        <f>A!AI117</f>
        <v>0</v>
      </c>
      <c r="K20" s="44">
        <f>A!AI141</f>
        <v>0</v>
      </c>
      <c r="L20" s="44">
        <f>A!AI165</f>
        <v>0</v>
      </c>
      <c r="M20" s="44">
        <f>A!AI189</f>
        <v>0</v>
      </c>
      <c r="N20" s="44">
        <f>A!AI213</f>
        <v>0</v>
      </c>
      <c r="O20" s="44">
        <f>A!AI237</f>
        <v>0</v>
      </c>
      <c r="P20" s="44">
        <f>A!AI261</f>
        <v>0</v>
      </c>
      <c r="Q20" s="44">
        <f>A!AI285</f>
        <v>0</v>
      </c>
      <c r="R20" s="40">
        <f t="shared" si="4"/>
        <v>0</v>
      </c>
      <c r="S20" s="45">
        <f t="shared" si="5"/>
        <v>0</v>
      </c>
      <c r="U20" s="44">
        <f>A!AH21</f>
        <v>0</v>
      </c>
      <c r="V20" s="44">
        <f>A!AH45</f>
        <v>0</v>
      </c>
      <c r="W20" s="44">
        <f>A!AH69</f>
        <v>0</v>
      </c>
      <c r="X20" s="44">
        <f>A!AH93</f>
        <v>0</v>
      </c>
      <c r="Y20" s="44">
        <f>A!AH117</f>
        <v>0</v>
      </c>
      <c r="Z20" s="44">
        <f>A!AH141</f>
        <v>0</v>
      </c>
      <c r="AA20" s="44">
        <f>A!AH165</f>
        <v>0</v>
      </c>
      <c r="AB20" s="44">
        <f>A!AH189</f>
        <v>0</v>
      </c>
      <c r="AC20" s="44">
        <f>A!AH213</f>
        <v>0</v>
      </c>
      <c r="AD20" s="44">
        <f>A!AH237</f>
        <v>0</v>
      </c>
      <c r="AE20" s="44">
        <f>A!AH261</f>
        <v>0</v>
      </c>
      <c r="AF20" s="44">
        <f>A!AH285</f>
        <v>0</v>
      </c>
      <c r="AG20" s="16">
        <f t="shared" si="6"/>
        <v>0</v>
      </c>
      <c r="AH20" s="45">
        <f t="shared" si="8"/>
        <v>13</v>
      </c>
    </row>
    <row r="21" spans="1:34" ht="20.100000000000001" hidden="1" customHeight="1">
      <c r="A21" s="18" t="s">
        <v>63</v>
      </c>
      <c r="B21" s="16"/>
      <c r="C21" s="16"/>
      <c r="D21" s="16"/>
      <c r="E21" s="43">
        <f t="shared" si="0"/>
        <v>0</v>
      </c>
      <c r="F21" s="44">
        <f>A!AI22</f>
        <v>0</v>
      </c>
      <c r="G21" s="44">
        <f>A!AI46</f>
        <v>0</v>
      </c>
      <c r="H21" s="44">
        <f>A!AI70</f>
        <v>0</v>
      </c>
      <c r="I21" s="44">
        <f>A!AI94</f>
        <v>0</v>
      </c>
      <c r="J21" s="44">
        <f>A!AI118</f>
        <v>0</v>
      </c>
      <c r="K21" s="44">
        <f>A!AI142</f>
        <v>0</v>
      </c>
      <c r="L21" s="44">
        <f>A!AI166</f>
        <v>0</v>
      </c>
      <c r="M21" s="44">
        <f>A!AI190</f>
        <v>0</v>
      </c>
      <c r="N21" s="44">
        <f>A!AI214</f>
        <v>0</v>
      </c>
      <c r="O21" s="44">
        <f>A!AI238</f>
        <v>0</v>
      </c>
      <c r="P21" s="44">
        <f>A!AI262</f>
        <v>0</v>
      </c>
      <c r="Q21" s="44">
        <f>A!AI286</f>
        <v>0</v>
      </c>
      <c r="R21" s="40">
        <f t="shared" si="4"/>
        <v>0</v>
      </c>
      <c r="S21" s="45">
        <f t="shared" si="5"/>
        <v>0</v>
      </c>
      <c r="U21" s="44">
        <f>A!AH22</f>
        <v>0</v>
      </c>
      <c r="V21" s="44">
        <f>A!AH46</f>
        <v>0</v>
      </c>
      <c r="W21" s="44">
        <f>A!AH70</f>
        <v>0</v>
      </c>
      <c r="X21" s="44">
        <f>A!AH94</f>
        <v>0</v>
      </c>
      <c r="Y21" s="44">
        <f>A!AH118</f>
        <v>0</v>
      </c>
      <c r="Z21" s="44">
        <f>A!AH142</f>
        <v>0</v>
      </c>
      <c r="AA21" s="44">
        <f>A!AH166</f>
        <v>0</v>
      </c>
      <c r="AB21" s="44">
        <f>A!AH190</f>
        <v>0</v>
      </c>
      <c r="AC21" s="44">
        <f>A!AH214</f>
        <v>0</v>
      </c>
      <c r="AD21" s="44">
        <f>A!AH238</f>
        <v>0</v>
      </c>
      <c r="AE21" s="44">
        <f>A!AH262</f>
        <v>0</v>
      </c>
      <c r="AF21" s="44">
        <f>A!AH286</f>
        <v>0</v>
      </c>
      <c r="AG21" s="16">
        <f t="shared" si="6"/>
        <v>0</v>
      </c>
      <c r="AH21" s="45">
        <f t="shared" si="8"/>
        <v>13</v>
      </c>
    </row>
    <row r="22" spans="1:34" ht="20.100000000000001" hidden="1" customHeight="1">
      <c r="A22" s="18" t="s">
        <v>64</v>
      </c>
      <c r="B22" s="16"/>
      <c r="C22" s="16"/>
      <c r="D22" s="16"/>
      <c r="E22" s="43">
        <f t="shared" si="0"/>
        <v>0</v>
      </c>
      <c r="F22" s="44">
        <f>A!AI23</f>
        <v>0</v>
      </c>
      <c r="G22" s="44">
        <f>A!AI47</f>
        <v>0</v>
      </c>
      <c r="H22" s="44">
        <f>A!AI71</f>
        <v>0</v>
      </c>
      <c r="I22" s="44">
        <f>A!AI95</f>
        <v>0</v>
      </c>
      <c r="J22" s="44">
        <f>A!AI119</f>
        <v>0</v>
      </c>
      <c r="K22" s="44">
        <f>A!AI143</f>
        <v>0</v>
      </c>
      <c r="L22" s="44">
        <f>A!AI167</f>
        <v>0</v>
      </c>
      <c r="M22" s="44">
        <f>A!AI191</f>
        <v>0</v>
      </c>
      <c r="N22" s="44">
        <f>A!AI215</f>
        <v>0</v>
      </c>
      <c r="O22" s="44">
        <f>A!AI239</f>
        <v>0</v>
      </c>
      <c r="P22" s="44">
        <f>A!AI263</f>
        <v>0</v>
      </c>
      <c r="Q22" s="44">
        <f>A!AI287</f>
        <v>0</v>
      </c>
      <c r="R22" s="40">
        <f t="shared" si="4"/>
        <v>0</v>
      </c>
      <c r="S22" s="45">
        <f t="shared" si="5"/>
        <v>0</v>
      </c>
      <c r="U22" s="44">
        <f>A!AH23</f>
        <v>0</v>
      </c>
      <c r="V22" s="44">
        <f>A!AH47</f>
        <v>0</v>
      </c>
      <c r="W22" s="44">
        <f>A!AH71</f>
        <v>0</v>
      </c>
      <c r="X22" s="44">
        <f>A!AH95</f>
        <v>0</v>
      </c>
      <c r="Y22" s="44">
        <f>A!AH119</f>
        <v>0</v>
      </c>
      <c r="Z22" s="44">
        <f>A!AH143</f>
        <v>0</v>
      </c>
      <c r="AA22" s="44">
        <f>A!AH167</f>
        <v>0</v>
      </c>
      <c r="AB22" s="44">
        <f>A!AH191</f>
        <v>0</v>
      </c>
      <c r="AC22" s="44">
        <f>A!AH215</f>
        <v>0</v>
      </c>
      <c r="AD22" s="44">
        <f>A!AH239</f>
        <v>0</v>
      </c>
      <c r="AE22" s="44">
        <f>A!AH263</f>
        <v>0</v>
      </c>
      <c r="AF22" s="44">
        <f>A!AH287</f>
        <v>0</v>
      </c>
      <c r="AG22" s="16">
        <f t="shared" si="6"/>
        <v>0</v>
      </c>
      <c r="AH22" s="45">
        <f t="shared" si="8"/>
        <v>13</v>
      </c>
    </row>
    <row r="23" spans="1:34" ht="20.100000000000001" customHeight="1"/>
    <row r="24" spans="1:34" ht="20.100000000000001" customHeight="1">
      <c r="A24" s="86" t="s">
        <v>40</v>
      </c>
      <c r="B24" s="85" t="s">
        <v>21</v>
      </c>
      <c r="C24" s="85">
        <v>2020</v>
      </c>
      <c r="D24" s="87" t="s">
        <v>41</v>
      </c>
      <c r="E24" s="39" t="s">
        <v>22</v>
      </c>
      <c r="F24" s="40" t="s">
        <v>23</v>
      </c>
      <c r="G24" s="40" t="s">
        <v>25</v>
      </c>
      <c r="H24" s="40" t="s">
        <v>27</v>
      </c>
      <c r="I24" s="40" t="s">
        <v>29</v>
      </c>
      <c r="J24" s="40" t="s">
        <v>30</v>
      </c>
      <c r="K24" s="40" t="s">
        <v>32</v>
      </c>
      <c r="L24" s="40" t="s">
        <v>33</v>
      </c>
      <c r="M24" s="40" t="s">
        <v>34</v>
      </c>
      <c r="N24" s="40" t="s">
        <v>35</v>
      </c>
      <c r="O24" s="40" t="s">
        <v>2</v>
      </c>
      <c r="P24" s="40" t="s">
        <v>36</v>
      </c>
      <c r="Q24" s="40" t="s">
        <v>37</v>
      </c>
      <c r="R24" s="85" t="s">
        <v>39</v>
      </c>
      <c r="S24" s="41" t="s">
        <v>38</v>
      </c>
      <c r="U24" s="40" t="s">
        <v>23</v>
      </c>
      <c r="V24" s="40" t="s">
        <v>24</v>
      </c>
      <c r="W24" s="40" t="s">
        <v>26</v>
      </c>
      <c r="X24" s="40" t="s">
        <v>28</v>
      </c>
      <c r="Y24" s="40" t="s">
        <v>1</v>
      </c>
      <c r="Z24" s="40" t="s">
        <v>31</v>
      </c>
      <c r="AA24" s="40" t="s">
        <v>33</v>
      </c>
      <c r="AB24" s="40" t="s">
        <v>34</v>
      </c>
      <c r="AC24" s="40" t="s">
        <v>35</v>
      </c>
      <c r="AD24" s="40" t="s">
        <v>2</v>
      </c>
      <c r="AE24" s="40" t="s">
        <v>36</v>
      </c>
      <c r="AF24" s="40" t="s">
        <v>37</v>
      </c>
      <c r="AG24" s="85" t="s">
        <v>18</v>
      </c>
      <c r="AH24" s="41" t="s">
        <v>38</v>
      </c>
    </row>
    <row r="25" spans="1:34" ht="20.100000000000001" customHeight="1">
      <c r="A25" s="86"/>
      <c r="B25" s="85"/>
      <c r="C25" s="85"/>
      <c r="D25" s="87"/>
      <c r="E25" s="39"/>
      <c r="F25" s="40" t="s">
        <v>20</v>
      </c>
      <c r="G25" s="40" t="s">
        <v>20</v>
      </c>
      <c r="H25" s="40" t="s">
        <v>20</v>
      </c>
      <c r="I25" s="40" t="s">
        <v>20</v>
      </c>
      <c r="J25" s="40" t="s">
        <v>20</v>
      </c>
      <c r="K25" s="40" t="s">
        <v>20</v>
      </c>
      <c r="L25" s="40" t="s">
        <v>20</v>
      </c>
      <c r="M25" s="40" t="s">
        <v>20</v>
      </c>
      <c r="N25" s="40" t="s">
        <v>20</v>
      </c>
      <c r="O25" s="40" t="s">
        <v>20</v>
      </c>
      <c r="P25" s="40" t="s">
        <v>20</v>
      </c>
      <c r="Q25" s="40" t="s">
        <v>20</v>
      </c>
      <c r="R25" s="85"/>
      <c r="S25" s="41" t="s">
        <v>20</v>
      </c>
      <c r="U25" s="40" t="s">
        <v>18</v>
      </c>
      <c r="V25" s="40" t="s">
        <v>18</v>
      </c>
      <c r="W25" s="40" t="s">
        <v>18</v>
      </c>
      <c r="X25" s="40" t="s">
        <v>18</v>
      </c>
      <c r="Y25" s="40" t="s">
        <v>18</v>
      </c>
      <c r="Z25" s="40" t="s">
        <v>18</v>
      </c>
      <c r="AA25" s="40" t="s">
        <v>18</v>
      </c>
      <c r="AB25" s="40" t="s">
        <v>18</v>
      </c>
      <c r="AC25" s="40" t="s">
        <v>18</v>
      </c>
      <c r="AD25" s="40" t="s">
        <v>18</v>
      </c>
      <c r="AE25" s="40" t="s">
        <v>18</v>
      </c>
      <c r="AF25" s="40" t="s">
        <v>18</v>
      </c>
      <c r="AG25" s="85"/>
      <c r="AH25" s="41" t="s">
        <v>18</v>
      </c>
    </row>
    <row r="26" spans="1:34" ht="20.100000000000001" customHeight="1">
      <c r="A26" s="18" t="s">
        <v>84</v>
      </c>
      <c r="B26" s="16"/>
      <c r="C26" s="16">
        <v>26</v>
      </c>
      <c r="D26" s="16">
        <v>2</v>
      </c>
      <c r="E26" s="43">
        <f t="shared" ref="E26:E45" si="9">SUM(B26:D26)</f>
        <v>28</v>
      </c>
      <c r="F26" s="44">
        <f>B!AI4</f>
        <v>0</v>
      </c>
      <c r="G26" s="44">
        <f>B!AI28</f>
        <v>0</v>
      </c>
      <c r="H26" s="44">
        <f>B!AI52</f>
        <v>1</v>
      </c>
      <c r="I26" s="44">
        <f>B!AI76</f>
        <v>4</v>
      </c>
      <c r="J26" s="44">
        <f>B!AI100</f>
        <v>0</v>
      </c>
      <c r="K26" s="44">
        <f>B!AI124</f>
        <v>0</v>
      </c>
      <c r="L26" s="44">
        <f>B!AI148</f>
        <v>0</v>
      </c>
      <c r="M26" s="44">
        <f>B!AI172</f>
        <v>0</v>
      </c>
      <c r="N26" s="44">
        <f>B!AI196</f>
        <v>0</v>
      </c>
      <c r="O26" s="44">
        <f>B!AI220</f>
        <v>0</v>
      </c>
      <c r="P26" s="44">
        <f>B!AI244</f>
        <v>0</v>
      </c>
      <c r="Q26" s="44">
        <f>B!AI268</f>
        <v>0</v>
      </c>
      <c r="R26" s="40">
        <f t="shared" ref="R26" si="10">SUM(F26+G26+H26+I26+J26+K26+L26+M26+N26+O26+P26+Q26)</f>
        <v>5</v>
      </c>
      <c r="S26" s="45">
        <f t="shared" ref="S26" si="11">SUM(E26-R26)</f>
        <v>23</v>
      </c>
      <c r="U26" s="44">
        <f>B!AH4</f>
        <v>2</v>
      </c>
      <c r="V26" s="44">
        <f>B!AH28</f>
        <v>2</v>
      </c>
      <c r="W26" s="44">
        <f>B!AH52</f>
        <v>1</v>
      </c>
      <c r="X26" s="44">
        <f>B!AH76</f>
        <v>1</v>
      </c>
      <c r="Y26" s="44">
        <f>B!AH100</f>
        <v>0</v>
      </c>
      <c r="Z26" s="44">
        <f>B!AH124</f>
        <v>0</v>
      </c>
      <c r="AA26" s="44">
        <f>B!AH148</f>
        <v>0</v>
      </c>
      <c r="AB26" s="44">
        <f>B!AH172</f>
        <v>0</v>
      </c>
      <c r="AC26" s="44">
        <f>B!AH196</f>
        <v>0</v>
      </c>
      <c r="AD26" s="44">
        <f>B!AH220</f>
        <v>0</v>
      </c>
      <c r="AE26" s="44">
        <f>B!AH244</f>
        <v>0</v>
      </c>
      <c r="AF26" s="44">
        <f>B!AH268</f>
        <v>0</v>
      </c>
      <c r="AG26" s="16">
        <f t="shared" ref="AG26" si="12">SUM(U26+V26+W26+X26+Y26+Z26+AA26+AB26+AC26+AD26+AE26+AF26)</f>
        <v>6</v>
      </c>
      <c r="AH26" s="45">
        <f>SUM(16-AG26)</f>
        <v>10</v>
      </c>
    </row>
    <row r="27" spans="1:34" ht="20.100000000000001" customHeight="1">
      <c r="A27" s="18" t="s">
        <v>82</v>
      </c>
      <c r="B27" s="16"/>
      <c r="C27" s="16">
        <v>30</v>
      </c>
      <c r="D27" s="16"/>
      <c r="E27" s="43">
        <f t="shared" si="9"/>
        <v>30</v>
      </c>
      <c r="F27" s="44">
        <f>B!AI5</f>
        <v>0</v>
      </c>
      <c r="G27" s="44">
        <f>B!AI29</f>
        <v>1</v>
      </c>
      <c r="H27" s="44">
        <f>B!AI53</f>
        <v>3</v>
      </c>
      <c r="I27" s="44">
        <f>B!AI77</f>
        <v>1</v>
      </c>
      <c r="J27" s="44">
        <f>B!AI101</f>
        <v>0</v>
      </c>
      <c r="K27" s="44">
        <f>B!AI125</f>
        <v>0</v>
      </c>
      <c r="L27" s="44">
        <f>B!AI149</f>
        <v>0</v>
      </c>
      <c r="M27" s="44">
        <f>B!AI173</f>
        <v>0</v>
      </c>
      <c r="N27" s="44">
        <f>B!AI197</f>
        <v>0</v>
      </c>
      <c r="O27" s="44">
        <f>B!AI221</f>
        <v>0</v>
      </c>
      <c r="P27" s="44">
        <f>B!AI245</f>
        <v>0</v>
      </c>
      <c r="Q27" s="44">
        <f>B!AI269</f>
        <v>0</v>
      </c>
      <c r="R27" s="40">
        <f t="shared" ref="R27:R45" si="13">SUM(F27+G27+H27+I27+J27+K27+L27+M27+N27+O27+P27+Q27)</f>
        <v>5</v>
      </c>
      <c r="S27" s="45">
        <f t="shared" ref="S27:S45" si="14">SUM(E27-R27)</f>
        <v>25</v>
      </c>
      <c r="U27" s="44">
        <f>A!AH10</f>
        <v>1</v>
      </c>
      <c r="V27" s="44">
        <f>B!AH29</f>
        <v>1</v>
      </c>
      <c r="W27" s="44">
        <f>B!AH53</f>
        <v>1</v>
      </c>
      <c r="X27" s="44">
        <f>B!AH77</f>
        <v>1</v>
      </c>
      <c r="Y27" s="44">
        <f>B!AH101</f>
        <v>0</v>
      </c>
      <c r="Z27" s="44">
        <f>B!AH125</f>
        <v>0</v>
      </c>
      <c r="AA27" s="44">
        <f>B!AH149</f>
        <v>0</v>
      </c>
      <c r="AB27" s="44">
        <f>B!AH173</f>
        <v>0</v>
      </c>
      <c r="AC27" s="44">
        <f>B!AH197</f>
        <v>0</v>
      </c>
      <c r="AD27" s="44">
        <f>B!AH221</f>
        <v>0</v>
      </c>
      <c r="AE27" s="44">
        <f>B!AH245</f>
        <v>0</v>
      </c>
      <c r="AF27" s="44">
        <f>B!AH269</f>
        <v>0</v>
      </c>
      <c r="AG27" s="16">
        <f t="shared" ref="AG27:AG45" si="15">SUM(U27+V27+W27+X27+Y27+Z27+AA27+AB27+AC27+AD27+AE27+AF27)</f>
        <v>4</v>
      </c>
      <c r="AH27" s="45">
        <f t="shared" ref="AH27:AH33" si="16">SUM(16-AG27)</f>
        <v>12</v>
      </c>
    </row>
    <row r="28" spans="1:34" ht="20.100000000000001" customHeight="1">
      <c r="A28" s="18" t="s">
        <v>89</v>
      </c>
      <c r="B28" s="16"/>
      <c r="C28" s="16">
        <v>22</v>
      </c>
      <c r="D28" s="16"/>
      <c r="E28" s="43">
        <f t="shared" si="9"/>
        <v>22</v>
      </c>
      <c r="F28" s="44">
        <f>B!AI6</f>
        <v>1</v>
      </c>
      <c r="G28" s="44">
        <f>B!AI30</f>
        <v>1</v>
      </c>
      <c r="H28" s="44">
        <f>B!AI54</f>
        <v>0</v>
      </c>
      <c r="I28" s="44">
        <f>B!AI78</f>
        <v>0</v>
      </c>
      <c r="J28" s="44">
        <f>B!AI102</f>
        <v>0</v>
      </c>
      <c r="K28" s="44">
        <f>B!AI126</f>
        <v>0</v>
      </c>
      <c r="L28" s="44">
        <f>B!AI150</f>
        <v>0</v>
      </c>
      <c r="M28" s="44">
        <f>B!AI174</f>
        <v>0</v>
      </c>
      <c r="N28" s="44">
        <f>B!AI198</f>
        <v>0</v>
      </c>
      <c r="O28" s="44">
        <f>B!AI222</f>
        <v>0</v>
      </c>
      <c r="P28" s="44">
        <f>B!AI246</f>
        <v>0</v>
      </c>
      <c r="Q28" s="44">
        <f>B!AI270</f>
        <v>0</v>
      </c>
      <c r="R28" s="40">
        <f t="shared" si="13"/>
        <v>2</v>
      </c>
      <c r="S28" s="45">
        <f t="shared" si="14"/>
        <v>20</v>
      </c>
      <c r="U28" s="44">
        <f>B!AH6</f>
        <v>2</v>
      </c>
      <c r="V28" s="44">
        <f>B!AH30</f>
        <v>1</v>
      </c>
      <c r="W28" s="44">
        <f>B!AH54</f>
        <v>1</v>
      </c>
      <c r="X28" s="44">
        <f>B!AH78</f>
        <v>1</v>
      </c>
      <c r="Y28" s="44">
        <f>B!AH102</f>
        <v>0</v>
      </c>
      <c r="Z28" s="44">
        <f>B!AH126</f>
        <v>0</v>
      </c>
      <c r="AA28" s="44">
        <f>B!AH150</f>
        <v>0</v>
      </c>
      <c r="AB28" s="44">
        <f>B!AH174</f>
        <v>0</v>
      </c>
      <c r="AC28" s="44">
        <f>B!AH198</f>
        <v>0</v>
      </c>
      <c r="AD28" s="44">
        <f>B!AH222</f>
        <v>0</v>
      </c>
      <c r="AE28" s="44">
        <f>B!AH246</f>
        <v>0</v>
      </c>
      <c r="AF28" s="44">
        <f>B!AH270</f>
        <v>0</v>
      </c>
      <c r="AG28" s="16">
        <f t="shared" si="15"/>
        <v>5</v>
      </c>
      <c r="AH28" s="45">
        <f t="shared" si="16"/>
        <v>11</v>
      </c>
    </row>
    <row r="29" spans="1:34" ht="20.100000000000001" customHeight="1">
      <c r="A29" s="18" t="s">
        <v>85</v>
      </c>
      <c r="B29" s="16">
        <v>1</v>
      </c>
      <c r="C29" s="16">
        <v>30</v>
      </c>
      <c r="D29" s="16"/>
      <c r="E29" s="43">
        <f t="shared" si="9"/>
        <v>31</v>
      </c>
      <c r="F29" s="44">
        <f>B!AI7</f>
        <v>1</v>
      </c>
      <c r="G29" s="44">
        <f>B!AI31</f>
        <v>0</v>
      </c>
      <c r="H29" s="44">
        <f>B!AI55</f>
        <v>3</v>
      </c>
      <c r="I29" s="44">
        <f>B!AI79</f>
        <v>14</v>
      </c>
      <c r="J29" s="44">
        <f>B!AI103</f>
        <v>0</v>
      </c>
      <c r="K29" s="44">
        <f>B!AI127</f>
        <v>0</v>
      </c>
      <c r="L29" s="44">
        <f>B!AI151</f>
        <v>0</v>
      </c>
      <c r="M29" s="44">
        <f>B!AI175</f>
        <v>0</v>
      </c>
      <c r="N29" s="44">
        <f>B!AI199</f>
        <v>0</v>
      </c>
      <c r="O29" s="44">
        <f>B!AI223</f>
        <v>0</v>
      </c>
      <c r="P29" s="44">
        <f>B!AI247</f>
        <v>0</v>
      </c>
      <c r="Q29" s="44">
        <f>B!AI271</f>
        <v>0</v>
      </c>
      <c r="R29" s="40">
        <f t="shared" si="13"/>
        <v>18</v>
      </c>
      <c r="S29" s="45">
        <f t="shared" si="14"/>
        <v>13</v>
      </c>
      <c r="U29" s="44">
        <f>B!AH7</f>
        <v>1</v>
      </c>
      <c r="V29" s="44">
        <f>B!AH31</f>
        <v>2</v>
      </c>
      <c r="W29" s="44">
        <f>B!AH55</f>
        <v>0</v>
      </c>
      <c r="X29" s="44">
        <f>B!AH79</f>
        <v>1</v>
      </c>
      <c r="Y29" s="44">
        <f>B!AH103</f>
        <v>0</v>
      </c>
      <c r="Z29" s="44">
        <f>B!AH127</f>
        <v>0</v>
      </c>
      <c r="AA29" s="44">
        <f>B!AH151</f>
        <v>0</v>
      </c>
      <c r="AB29" s="44">
        <f>B!AH175</f>
        <v>0</v>
      </c>
      <c r="AC29" s="44">
        <f>B!AH199</f>
        <v>0</v>
      </c>
      <c r="AD29" s="44">
        <f>B!AH223</f>
        <v>0</v>
      </c>
      <c r="AE29" s="44">
        <f>B!AH247</f>
        <v>0</v>
      </c>
      <c r="AF29" s="44">
        <f>B!AH271</f>
        <v>0</v>
      </c>
      <c r="AG29" s="16">
        <f t="shared" si="15"/>
        <v>4</v>
      </c>
      <c r="AH29" s="45">
        <f t="shared" si="16"/>
        <v>12</v>
      </c>
    </row>
    <row r="30" spans="1:34" ht="20.100000000000001" customHeight="1">
      <c r="A30" s="18" t="s">
        <v>86</v>
      </c>
      <c r="B30" s="16">
        <v>2</v>
      </c>
      <c r="C30" s="16">
        <v>18</v>
      </c>
      <c r="D30" s="16"/>
      <c r="E30" s="43">
        <f t="shared" si="9"/>
        <v>20</v>
      </c>
      <c r="F30" s="44">
        <f>B!AI8</f>
        <v>2</v>
      </c>
      <c r="G30" s="44">
        <f>B!AI32</f>
        <v>0</v>
      </c>
      <c r="H30" s="44">
        <f>B!AI56</f>
        <v>0</v>
      </c>
      <c r="I30" s="44">
        <f>B!AI80</f>
        <v>8</v>
      </c>
      <c r="J30" s="44">
        <f>B!AI104</f>
        <v>8</v>
      </c>
      <c r="K30" s="44">
        <f>B!AI128</f>
        <v>2</v>
      </c>
      <c r="L30" s="44">
        <f>B!AI152</f>
        <v>0</v>
      </c>
      <c r="M30" s="44">
        <f>B!AI176</f>
        <v>0</v>
      </c>
      <c r="N30" s="44">
        <f>B!AI200</f>
        <v>0</v>
      </c>
      <c r="O30" s="44">
        <f>B!AI224</f>
        <v>0</v>
      </c>
      <c r="P30" s="44">
        <f>B!AI248</f>
        <v>0</v>
      </c>
      <c r="Q30" s="44">
        <f>B!AI272</f>
        <v>0</v>
      </c>
      <c r="R30" s="40">
        <f t="shared" si="13"/>
        <v>20</v>
      </c>
      <c r="S30" s="45">
        <f t="shared" si="14"/>
        <v>0</v>
      </c>
      <c r="U30" s="44">
        <f>B!AH8</f>
        <v>0</v>
      </c>
      <c r="V30" s="44">
        <f>B!AH32</f>
        <v>0</v>
      </c>
      <c r="W30" s="44">
        <f>B!AH56</f>
        <v>0</v>
      </c>
      <c r="X30" s="44">
        <f>B!AH80</f>
        <v>4</v>
      </c>
      <c r="Y30" s="44">
        <f>B!AH104</f>
        <v>4</v>
      </c>
      <c r="Z30" s="44">
        <f>B!AH128</f>
        <v>0</v>
      </c>
      <c r="AA30" s="44">
        <f>B!AH152</f>
        <v>0</v>
      </c>
      <c r="AB30" s="44">
        <f>B!AH176</f>
        <v>0</v>
      </c>
      <c r="AC30" s="44">
        <f>B!AH200</f>
        <v>0</v>
      </c>
      <c r="AD30" s="44">
        <f>B!AH224</f>
        <v>0</v>
      </c>
      <c r="AE30" s="44">
        <f>B!AH248</f>
        <v>0</v>
      </c>
      <c r="AF30" s="44">
        <f>B!AH272</f>
        <v>0</v>
      </c>
      <c r="AG30" s="16">
        <f t="shared" si="15"/>
        <v>8</v>
      </c>
      <c r="AH30" s="45">
        <f>SUM(9-AG30)</f>
        <v>1</v>
      </c>
    </row>
    <row r="31" spans="1:34" ht="20.100000000000001" customHeight="1">
      <c r="A31" s="18" t="s">
        <v>87</v>
      </c>
      <c r="B31" s="16"/>
      <c r="C31" s="16">
        <v>21</v>
      </c>
      <c r="D31" s="16"/>
      <c r="E31" s="43">
        <f t="shared" si="9"/>
        <v>21</v>
      </c>
      <c r="F31" s="44">
        <f>B!AI9</f>
        <v>5</v>
      </c>
      <c r="G31" s="44">
        <f>B!AI33</f>
        <v>2</v>
      </c>
      <c r="H31" s="44">
        <f>B!AI57</f>
        <v>2</v>
      </c>
      <c r="I31" s="44">
        <f>B!AI81</f>
        <v>0</v>
      </c>
      <c r="J31" s="44">
        <f>B!AI105</f>
        <v>0</v>
      </c>
      <c r="K31" s="44">
        <f>B!AI129</f>
        <v>0</v>
      </c>
      <c r="L31" s="44">
        <f>B!AI153</f>
        <v>0</v>
      </c>
      <c r="M31" s="44">
        <f>B!AI177</f>
        <v>0</v>
      </c>
      <c r="N31" s="44">
        <f>B!AI201</f>
        <v>0</v>
      </c>
      <c r="O31" s="44">
        <f>B!AI225</f>
        <v>0</v>
      </c>
      <c r="P31" s="44">
        <f>B!AI249</f>
        <v>0</v>
      </c>
      <c r="Q31" s="44">
        <f>B!AI273</f>
        <v>0</v>
      </c>
      <c r="R31" s="40">
        <f t="shared" si="13"/>
        <v>9</v>
      </c>
      <c r="S31" s="45">
        <f t="shared" si="14"/>
        <v>12</v>
      </c>
      <c r="U31" s="44">
        <f>B!AH9</f>
        <v>2</v>
      </c>
      <c r="V31" s="44">
        <f>B!AH33</f>
        <v>1</v>
      </c>
      <c r="W31" s="44">
        <f>B!AH57</f>
        <v>1</v>
      </c>
      <c r="X31" s="44">
        <f>B!AH81</f>
        <v>3</v>
      </c>
      <c r="Y31" s="44">
        <f>B!AH105</f>
        <v>0</v>
      </c>
      <c r="Z31" s="44">
        <f>B!AH129</f>
        <v>0</v>
      </c>
      <c r="AA31" s="44">
        <f>B!AH153</f>
        <v>0</v>
      </c>
      <c r="AB31" s="44">
        <f>B!AH177</f>
        <v>0</v>
      </c>
      <c r="AC31" s="44">
        <f>B!AH201</f>
        <v>0</v>
      </c>
      <c r="AD31" s="44">
        <f>B!AH225</f>
        <v>0</v>
      </c>
      <c r="AE31" s="44">
        <f>B!AH249</f>
        <v>0</v>
      </c>
      <c r="AF31" s="44">
        <f>B!AH273</f>
        <v>0</v>
      </c>
      <c r="AG31" s="16">
        <f t="shared" si="15"/>
        <v>7</v>
      </c>
      <c r="AH31" s="45">
        <f t="shared" si="16"/>
        <v>9</v>
      </c>
    </row>
    <row r="32" spans="1:34" ht="20.100000000000001" customHeight="1">
      <c r="A32" s="18" t="s">
        <v>88</v>
      </c>
      <c r="B32" s="16"/>
      <c r="C32" s="16">
        <v>30</v>
      </c>
      <c r="D32" s="16"/>
      <c r="E32" s="43">
        <f t="shared" si="9"/>
        <v>30</v>
      </c>
      <c r="F32" s="44">
        <f>B!AI10</f>
        <v>0</v>
      </c>
      <c r="G32" s="44">
        <f>B!AI34</f>
        <v>0</v>
      </c>
      <c r="H32" s="44">
        <f>B!AI58</f>
        <v>0</v>
      </c>
      <c r="I32" s="44">
        <f>B!AI82</f>
        <v>3</v>
      </c>
      <c r="J32" s="44">
        <f>B!AI106</f>
        <v>0</v>
      </c>
      <c r="K32" s="44">
        <f>B!AI130</f>
        <v>0</v>
      </c>
      <c r="L32" s="44">
        <f>B!AI154</f>
        <v>0</v>
      </c>
      <c r="M32" s="44">
        <f>B!AI178</f>
        <v>0</v>
      </c>
      <c r="N32" s="44">
        <f>B!AI202</f>
        <v>0</v>
      </c>
      <c r="O32" s="44">
        <f>B!AI226</f>
        <v>0</v>
      </c>
      <c r="P32" s="44">
        <f>B!AI250</f>
        <v>0</v>
      </c>
      <c r="Q32" s="44">
        <f>B!AI274</f>
        <v>0</v>
      </c>
      <c r="R32" s="40">
        <f t="shared" si="13"/>
        <v>3</v>
      </c>
      <c r="S32" s="45">
        <f t="shared" si="14"/>
        <v>27</v>
      </c>
      <c r="U32" s="44">
        <f>B!AH10</f>
        <v>0</v>
      </c>
      <c r="V32" s="44">
        <f>B!AH34</f>
        <v>2</v>
      </c>
      <c r="W32" s="44">
        <f>B!AH58</f>
        <v>0</v>
      </c>
      <c r="X32" s="44">
        <f>B!AH82</f>
        <v>2</v>
      </c>
      <c r="Y32" s="44">
        <f>B!AH106</f>
        <v>0</v>
      </c>
      <c r="Z32" s="44">
        <f>B!AH130</f>
        <v>0</v>
      </c>
      <c r="AA32" s="44">
        <f>B!AH154</f>
        <v>0</v>
      </c>
      <c r="AB32" s="44">
        <f>B!AH178</f>
        <v>0</v>
      </c>
      <c r="AC32" s="44">
        <f>B!AH202</f>
        <v>0</v>
      </c>
      <c r="AD32" s="44">
        <f>B!AH226</f>
        <v>0</v>
      </c>
      <c r="AE32" s="44">
        <f>B!AH250</f>
        <v>0</v>
      </c>
      <c r="AF32" s="44">
        <f>B!AH274</f>
        <v>0</v>
      </c>
      <c r="AG32" s="16">
        <f t="shared" si="15"/>
        <v>4</v>
      </c>
      <c r="AH32" s="45">
        <f t="shared" si="16"/>
        <v>12</v>
      </c>
    </row>
    <row r="33" spans="1:34" ht="20.100000000000001" customHeight="1">
      <c r="A33" s="18" t="s">
        <v>76</v>
      </c>
      <c r="B33" s="16"/>
      <c r="C33" s="16"/>
      <c r="D33" s="16"/>
      <c r="E33" s="43">
        <f t="shared" si="9"/>
        <v>0</v>
      </c>
      <c r="F33" s="44">
        <f>B!AI11</f>
        <v>0</v>
      </c>
      <c r="G33" s="44">
        <f>B!AI35</f>
        <v>0</v>
      </c>
      <c r="H33" s="44">
        <f>B!AI59</f>
        <v>0</v>
      </c>
      <c r="I33" s="44">
        <f>B!AI83</f>
        <v>0</v>
      </c>
      <c r="J33" s="44">
        <f>B!AI107</f>
        <v>0</v>
      </c>
      <c r="K33" s="44">
        <f>B!AI131</f>
        <v>0</v>
      </c>
      <c r="L33" s="44">
        <f>B!AI155</f>
        <v>0</v>
      </c>
      <c r="M33" s="44">
        <f>B!AI179</f>
        <v>0</v>
      </c>
      <c r="N33" s="44">
        <f>B!AI203</f>
        <v>0</v>
      </c>
      <c r="O33" s="44">
        <f>B!AI227</f>
        <v>0</v>
      </c>
      <c r="P33" s="44">
        <f>B!AI251</f>
        <v>0</v>
      </c>
      <c r="Q33" s="44">
        <f>B!AI275</f>
        <v>0</v>
      </c>
      <c r="R33" s="40">
        <f t="shared" si="13"/>
        <v>0</v>
      </c>
      <c r="S33" s="45">
        <f t="shared" si="14"/>
        <v>0</v>
      </c>
      <c r="U33" s="44">
        <f>B!AH11</f>
        <v>0</v>
      </c>
      <c r="V33" s="44">
        <f>B!AH35</f>
        <v>0</v>
      </c>
      <c r="W33" s="44">
        <f>B!AH59</f>
        <v>0</v>
      </c>
      <c r="X33" s="44">
        <f>B!AH83</f>
        <v>0</v>
      </c>
      <c r="Y33" s="44">
        <f>B!AH107</f>
        <v>0</v>
      </c>
      <c r="Z33" s="44">
        <f>B!AH131</f>
        <v>0</v>
      </c>
      <c r="AA33" s="44">
        <f>B!AH155</f>
        <v>0</v>
      </c>
      <c r="AB33" s="44">
        <f>B!AH179</f>
        <v>0</v>
      </c>
      <c r="AC33" s="44">
        <f>B!AH203</f>
        <v>0</v>
      </c>
      <c r="AD33" s="44">
        <f>B!AH227</f>
        <v>0</v>
      </c>
      <c r="AE33" s="44">
        <f>B!AH251</f>
        <v>0</v>
      </c>
      <c r="AF33" s="44">
        <f>B!AH275</f>
        <v>0</v>
      </c>
      <c r="AG33" s="16">
        <f t="shared" si="15"/>
        <v>0</v>
      </c>
      <c r="AH33" s="45">
        <f t="shared" si="16"/>
        <v>16</v>
      </c>
    </row>
    <row r="34" spans="1:34" ht="20.100000000000001" hidden="1" customHeight="1">
      <c r="A34" s="18" t="s">
        <v>49</v>
      </c>
      <c r="B34" s="16"/>
      <c r="C34" s="16"/>
      <c r="D34" s="16"/>
      <c r="E34" s="43">
        <f t="shared" si="9"/>
        <v>0</v>
      </c>
      <c r="F34" s="44">
        <f>B!AI12</f>
        <v>0</v>
      </c>
      <c r="G34" s="44">
        <f>B!AI36</f>
        <v>0</v>
      </c>
      <c r="H34" s="44">
        <f>B!AI60</f>
        <v>0</v>
      </c>
      <c r="I34" s="44">
        <f>B!AI84</f>
        <v>0</v>
      </c>
      <c r="J34" s="44">
        <f>B!AI108</f>
        <v>0</v>
      </c>
      <c r="K34" s="44">
        <f>B!AI132</f>
        <v>0</v>
      </c>
      <c r="L34" s="44">
        <f>B!AI156</f>
        <v>0</v>
      </c>
      <c r="M34" s="44">
        <f>B!AI180</f>
        <v>0</v>
      </c>
      <c r="N34" s="44">
        <f>B!AI204</f>
        <v>0</v>
      </c>
      <c r="O34" s="44">
        <f>B!AI228</f>
        <v>0</v>
      </c>
      <c r="P34" s="44">
        <f>B!AI252</f>
        <v>0</v>
      </c>
      <c r="Q34" s="44">
        <f>B!AI276</f>
        <v>0</v>
      </c>
      <c r="R34" s="40">
        <f t="shared" si="13"/>
        <v>0</v>
      </c>
      <c r="S34" s="45">
        <f t="shared" si="14"/>
        <v>0</v>
      </c>
      <c r="U34" s="44">
        <f>B!AH12</f>
        <v>0</v>
      </c>
      <c r="V34" s="44">
        <f>B!AH36</f>
        <v>0</v>
      </c>
      <c r="W34" s="44">
        <f>B!AH60</f>
        <v>0</v>
      </c>
      <c r="X34" s="44">
        <f>B!AH84</f>
        <v>0</v>
      </c>
      <c r="Y34" s="44">
        <f>B!AH108</f>
        <v>0</v>
      </c>
      <c r="Z34" s="44">
        <f>B!AH132</f>
        <v>0</v>
      </c>
      <c r="AA34" s="44">
        <f>B!AH156</f>
        <v>0</v>
      </c>
      <c r="AB34" s="44">
        <f>B!AH180</f>
        <v>0</v>
      </c>
      <c r="AC34" s="44">
        <f>B!AH204</f>
        <v>0</v>
      </c>
      <c r="AD34" s="44">
        <f>B!AH228</f>
        <v>0</v>
      </c>
      <c r="AE34" s="44">
        <f>B!AH252</f>
        <v>0</v>
      </c>
      <c r="AF34" s="44">
        <f>B!AH276</f>
        <v>0</v>
      </c>
      <c r="AG34" s="16">
        <f t="shared" si="15"/>
        <v>0</v>
      </c>
      <c r="AH34" s="45">
        <f t="shared" ref="AH34:AH45" si="17">SUM(13-AG34)</f>
        <v>13</v>
      </c>
    </row>
    <row r="35" spans="1:34" ht="20.100000000000001" hidden="1" customHeight="1">
      <c r="A35" s="18" t="s">
        <v>44</v>
      </c>
      <c r="B35" s="16"/>
      <c r="C35" s="16"/>
      <c r="D35" s="16"/>
      <c r="E35" s="43">
        <f t="shared" si="9"/>
        <v>0</v>
      </c>
      <c r="F35" s="44">
        <f>B!AI13</f>
        <v>0</v>
      </c>
      <c r="G35" s="44">
        <f>B!AI37</f>
        <v>0</v>
      </c>
      <c r="H35" s="44">
        <f>B!AI61</f>
        <v>0</v>
      </c>
      <c r="I35" s="44">
        <f>B!AI85</f>
        <v>0</v>
      </c>
      <c r="J35" s="44">
        <f>B!AI109</f>
        <v>0</v>
      </c>
      <c r="K35" s="44">
        <f>B!AI133</f>
        <v>0</v>
      </c>
      <c r="L35" s="44">
        <f>B!AI157</f>
        <v>0</v>
      </c>
      <c r="M35" s="44">
        <f>B!AI181</f>
        <v>0</v>
      </c>
      <c r="N35" s="44">
        <f>B!AI205</f>
        <v>0</v>
      </c>
      <c r="O35" s="44">
        <f>B!AI229</f>
        <v>0</v>
      </c>
      <c r="P35" s="44">
        <f>B!AI253</f>
        <v>0</v>
      </c>
      <c r="Q35" s="44">
        <f>B!AI277</f>
        <v>0</v>
      </c>
      <c r="R35" s="40">
        <f t="shared" si="13"/>
        <v>0</v>
      </c>
      <c r="S35" s="45">
        <f t="shared" si="14"/>
        <v>0</v>
      </c>
      <c r="U35" s="44">
        <f>B!AH13</f>
        <v>0</v>
      </c>
      <c r="V35" s="44">
        <f>B!AH37</f>
        <v>0</v>
      </c>
      <c r="W35" s="44">
        <f>B!AH61</f>
        <v>0</v>
      </c>
      <c r="X35" s="44">
        <f>B!AH85</f>
        <v>0</v>
      </c>
      <c r="Y35" s="44">
        <f>B!AH109</f>
        <v>0</v>
      </c>
      <c r="Z35" s="44">
        <f>B!AH133</f>
        <v>0</v>
      </c>
      <c r="AA35" s="44">
        <f>B!AH157</f>
        <v>0</v>
      </c>
      <c r="AB35" s="44">
        <f>B!AH181</f>
        <v>0</v>
      </c>
      <c r="AC35" s="44">
        <f>B!AH205</f>
        <v>0</v>
      </c>
      <c r="AD35" s="44">
        <f>B!AH229</f>
        <v>0</v>
      </c>
      <c r="AE35" s="44">
        <f>B!AH253</f>
        <v>0</v>
      </c>
      <c r="AF35" s="44">
        <f>B!AH277</f>
        <v>0</v>
      </c>
      <c r="AG35" s="16">
        <f t="shared" si="15"/>
        <v>0</v>
      </c>
      <c r="AH35" s="45">
        <f t="shared" si="17"/>
        <v>13</v>
      </c>
    </row>
    <row r="36" spans="1:34" ht="20.100000000000001" hidden="1" customHeight="1">
      <c r="A36" s="18" t="s">
        <v>45</v>
      </c>
      <c r="B36" s="16"/>
      <c r="C36" s="16"/>
      <c r="D36" s="16"/>
      <c r="E36" s="43">
        <f t="shared" si="9"/>
        <v>0</v>
      </c>
      <c r="F36" s="44">
        <f>B!AI14</f>
        <v>0</v>
      </c>
      <c r="G36" s="44">
        <f>B!AI38</f>
        <v>0</v>
      </c>
      <c r="H36" s="44">
        <f>B!AI62</f>
        <v>0</v>
      </c>
      <c r="I36" s="44">
        <f>B!AI86</f>
        <v>0</v>
      </c>
      <c r="J36" s="44">
        <f>B!AI110</f>
        <v>0</v>
      </c>
      <c r="K36" s="44">
        <f>B!AI134</f>
        <v>0</v>
      </c>
      <c r="L36" s="44">
        <f>B!AI158</f>
        <v>0</v>
      </c>
      <c r="M36" s="44">
        <f>B!AI182</f>
        <v>0</v>
      </c>
      <c r="N36" s="44">
        <f>B!AI206</f>
        <v>0</v>
      </c>
      <c r="O36" s="44">
        <f>B!AI230</f>
        <v>0</v>
      </c>
      <c r="P36" s="44">
        <f>B!AI254</f>
        <v>0</v>
      </c>
      <c r="Q36" s="44">
        <f>B!AI278</f>
        <v>0</v>
      </c>
      <c r="R36" s="40">
        <f t="shared" si="13"/>
        <v>0</v>
      </c>
      <c r="S36" s="45">
        <f t="shared" si="14"/>
        <v>0</v>
      </c>
      <c r="U36" s="44">
        <f>B!AH14</f>
        <v>0</v>
      </c>
      <c r="V36" s="44">
        <f>B!AH38</f>
        <v>0</v>
      </c>
      <c r="W36" s="44">
        <f>B!AH62</f>
        <v>0</v>
      </c>
      <c r="X36" s="44">
        <f>B!AH86</f>
        <v>0</v>
      </c>
      <c r="Y36" s="44">
        <f>B!AH110</f>
        <v>0</v>
      </c>
      <c r="Z36" s="44">
        <f>B!AH134</f>
        <v>0</v>
      </c>
      <c r="AA36" s="44">
        <f>B!AH158</f>
        <v>0</v>
      </c>
      <c r="AB36" s="44">
        <f>B!AH182</f>
        <v>0</v>
      </c>
      <c r="AC36" s="44">
        <f>B!AH206</f>
        <v>0</v>
      </c>
      <c r="AD36" s="44">
        <f>B!AH230</f>
        <v>0</v>
      </c>
      <c r="AE36" s="44">
        <f>B!AH254</f>
        <v>0</v>
      </c>
      <c r="AF36" s="44">
        <f>B!AH278</f>
        <v>0</v>
      </c>
      <c r="AG36" s="16">
        <f t="shared" si="15"/>
        <v>0</v>
      </c>
      <c r="AH36" s="45">
        <f t="shared" si="17"/>
        <v>13</v>
      </c>
    </row>
    <row r="37" spans="1:34" ht="20.100000000000001" hidden="1" customHeight="1">
      <c r="A37" s="18" t="s">
        <v>46</v>
      </c>
      <c r="B37" s="16"/>
      <c r="C37" s="16"/>
      <c r="D37" s="16"/>
      <c r="E37" s="43">
        <f t="shared" si="9"/>
        <v>0</v>
      </c>
      <c r="F37" s="44">
        <f>B!AI15</f>
        <v>0</v>
      </c>
      <c r="G37" s="44">
        <f>B!AI39</f>
        <v>0</v>
      </c>
      <c r="H37" s="44">
        <f>B!AI63</f>
        <v>0</v>
      </c>
      <c r="I37" s="44">
        <f>B!AI87</f>
        <v>0</v>
      </c>
      <c r="J37" s="44">
        <f>B!AI111</f>
        <v>0</v>
      </c>
      <c r="K37" s="44">
        <f>B!AI135</f>
        <v>0</v>
      </c>
      <c r="L37" s="44">
        <f>B!AI159</f>
        <v>0</v>
      </c>
      <c r="M37" s="44">
        <f>B!AI183</f>
        <v>0</v>
      </c>
      <c r="N37" s="44">
        <f>B!AI207</f>
        <v>0</v>
      </c>
      <c r="O37" s="44">
        <f>B!AI231</f>
        <v>0</v>
      </c>
      <c r="P37" s="44">
        <f>B!AI255</f>
        <v>0</v>
      </c>
      <c r="Q37" s="44">
        <f>B!AI279</f>
        <v>0</v>
      </c>
      <c r="R37" s="40">
        <f t="shared" si="13"/>
        <v>0</v>
      </c>
      <c r="S37" s="45">
        <f t="shared" si="14"/>
        <v>0</v>
      </c>
      <c r="U37" s="44">
        <f>B!AH15</f>
        <v>0</v>
      </c>
      <c r="V37" s="44">
        <f>B!AH39</f>
        <v>0</v>
      </c>
      <c r="W37" s="44">
        <f>B!AH63</f>
        <v>0</v>
      </c>
      <c r="X37" s="44">
        <f>B!AH87</f>
        <v>0</v>
      </c>
      <c r="Y37" s="44">
        <f>B!AH111</f>
        <v>0</v>
      </c>
      <c r="Z37" s="44">
        <f>B!AH135</f>
        <v>0</v>
      </c>
      <c r="AA37" s="44">
        <f>B!AH159</f>
        <v>0</v>
      </c>
      <c r="AB37" s="44">
        <f>B!AH183</f>
        <v>0</v>
      </c>
      <c r="AC37" s="44">
        <f>B!AH207</f>
        <v>0</v>
      </c>
      <c r="AD37" s="44">
        <f>B!AH231</f>
        <v>0</v>
      </c>
      <c r="AE37" s="44">
        <f>B!AH255</f>
        <v>0</v>
      </c>
      <c r="AF37" s="44">
        <f>B!AH279</f>
        <v>0</v>
      </c>
      <c r="AG37" s="16">
        <f t="shared" si="15"/>
        <v>0</v>
      </c>
      <c r="AH37" s="45">
        <f t="shared" si="17"/>
        <v>13</v>
      </c>
    </row>
    <row r="38" spans="1:34" ht="20.100000000000001" hidden="1" customHeight="1">
      <c r="A38" s="18" t="s">
        <v>47</v>
      </c>
      <c r="B38" s="16"/>
      <c r="C38" s="16"/>
      <c r="D38" s="16"/>
      <c r="E38" s="43">
        <f t="shared" si="9"/>
        <v>0</v>
      </c>
      <c r="F38" s="44">
        <f>B!AI16</f>
        <v>0</v>
      </c>
      <c r="G38" s="44">
        <f>B!AI40</f>
        <v>0</v>
      </c>
      <c r="H38" s="44">
        <f>B!AI64</f>
        <v>0</v>
      </c>
      <c r="I38" s="44">
        <f>B!AI88</f>
        <v>0</v>
      </c>
      <c r="J38" s="44">
        <f>B!AI112</f>
        <v>0</v>
      </c>
      <c r="K38" s="44">
        <f>B!AI136</f>
        <v>0</v>
      </c>
      <c r="L38" s="44">
        <f>B!AI160</f>
        <v>0</v>
      </c>
      <c r="M38" s="44">
        <f>B!AI184</f>
        <v>0</v>
      </c>
      <c r="N38" s="44">
        <f>B!AI208</f>
        <v>0</v>
      </c>
      <c r="O38" s="44">
        <f>B!AI232</f>
        <v>0</v>
      </c>
      <c r="P38" s="44">
        <f>B!AI256</f>
        <v>0</v>
      </c>
      <c r="Q38" s="44">
        <f>B!AI280</f>
        <v>0</v>
      </c>
      <c r="R38" s="40">
        <f t="shared" si="13"/>
        <v>0</v>
      </c>
      <c r="S38" s="45">
        <f t="shared" si="14"/>
        <v>0</v>
      </c>
      <c r="U38" s="44">
        <f>B!AH16</f>
        <v>0</v>
      </c>
      <c r="V38" s="44">
        <f>B!AH40</f>
        <v>0</v>
      </c>
      <c r="W38" s="44">
        <f>B!AH64</f>
        <v>0</v>
      </c>
      <c r="X38" s="44">
        <f>B!AH88</f>
        <v>0</v>
      </c>
      <c r="Y38" s="44">
        <f>B!AH112</f>
        <v>0</v>
      </c>
      <c r="Z38" s="44">
        <f>B!AH136</f>
        <v>0</v>
      </c>
      <c r="AA38" s="44">
        <f>B!AH160</f>
        <v>0</v>
      </c>
      <c r="AB38" s="44">
        <f>B!AH184</f>
        <v>0</v>
      </c>
      <c r="AC38" s="44">
        <f>B!AH208</f>
        <v>0</v>
      </c>
      <c r="AD38" s="44">
        <f>B!AH232</f>
        <v>0</v>
      </c>
      <c r="AE38" s="44">
        <f>B!AH256</f>
        <v>0</v>
      </c>
      <c r="AF38" s="44">
        <f>B!AH280</f>
        <v>0</v>
      </c>
      <c r="AG38" s="16">
        <f t="shared" si="15"/>
        <v>0</v>
      </c>
      <c r="AH38" s="45">
        <f t="shared" si="17"/>
        <v>13</v>
      </c>
    </row>
    <row r="39" spans="1:34" ht="20.100000000000001" hidden="1" customHeight="1">
      <c r="A39" s="18" t="s">
        <v>48</v>
      </c>
      <c r="B39" s="16"/>
      <c r="C39" s="16"/>
      <c r="D39" s="16"/>
      <c r="E39" s="43">
        <f t="shared" si="9"/>
        <v>0</v>
      </c>
      <c r="F39" s="44">
        <f>B!AI17</f>
        <v>0</v>
      </c>
      <c r="G39" s="44">
        <f>B!AI41</f>
        <v>0</v>
      </c>
      <c r="H39" s="44">
        <f>B!AI65</f>
        <v>0</v>
      </c>
      <c r="I39" s="44">
        <f>B!AI89</f>
        <v>0</v>
      </c>
      <c r="J39" s="44">
        <f>B!AI113</f>
        <v>0</v>
      </c>
      <c r="K39" s="44">
        <f>B!AI137</f>
        <v>0</v>
      </c>
      <c r="L39" s="44">
        <f>B!AI161</f>
        <v>0</v>
      </c>
      <c r="M39" s="44">
        <f>B!AI185</f>
        <v>0</v>
      </c>
      <c r="N39" s="44">
        <f>B!AI209</f>
        <v>0</v>
      </c>
      <c r="O39" s="44">
        <f>B!AI233</f>
        <v>0</v>
      </c>
      <c r="P39" s="44">
        <f>B!AI257</f>
        <v>0</v>
      </c>
      <c r="Q39" s="44">
        <f>B!AI281</f>
        <v>0</v>
      </c>
      <c r="R39" s="40">
        <f t="shared" si="13"/>
        <v>0</v>
      </c>
      <c r="S39" s="45">
        <f t="shared" si="14"/>
        <v>0</v>
      </c>
      <c r="U39" s="44">
        <f>B!AH17</f>
        <v>0</v>
      </c>
      <c r="V39" s="44">
        <f>B!AH41</f>
        <v>0</v>
      </c>
      <c r="W39" s="44">
        <f>B!AH65</f>
        <v>0</v>
      </c>
      <c r="X39" s="44">
        <f>B!AH89</f>
        <v>0</v>
      </c>
      <c r="Y39" s="44">
        <f>B!AH113</f>
        <v>0</v>
      </c>
      <c r="Z39" s="44">
        <f>B!AH137</f>
        <v>0</v>
      </c>
      <c r="AA39" s="44">
        <f>B!AH161</f>
        <v>0</v>
      </c>
      <c r="AB39" s="44">
        <f>B!AH185</f>
        <v>0</v>
      </c>
      <c r="AC39" s="44">
        <f>B!AH209</f>
        <v>0</v>
      </c>
      <c r="AD39" s="44">
        <f>B!AH233</f>
        <v>0</v>
      </c>
      <c r="AE39" s="44">
        <f>B!AH257</f>
        <v>0</v>
      </c>
      <c r="AF39" s="44">
        <f>B!AH281</f>
        <v>0</v>
      </c>
      <c r="AG39" s="16">
        <f t="shared" si="15"/>
        <v>0</v>
      </c>
      <c r="AH39" s="45">
        <f t="shared" si="17"/>
        <v>13</v>
      </c>
    </row>
    <row r="40" spans="1:34" ht="20.100000000000001" hidden="1" customHeight="1">
      <c r="A40" s="18" t="s">
        <v>43</v>
      </c>
      <c r="B40" s="16"/>
      <c r="C40" s="16"/>
      <c r="D40" s="16"/>
      <c r="E40" s="43">
        <f t="shared" si="9"/>
        <v>0</v>
      </c>
      <c r="F40" s="44">
        <f>B!AI18</f>
        <v>0</v>
      </c>
      <c r="G40" s="44">
        <f>B!AI42</f>
        <v>0</v>
      </c>
      <c r="H40" s="44">
        <f>B!AI66</f>
        <v>0</v>
      </c>
      <c r="I40" s="44">
        <f>B!AI90</f>
        <v>0</v>
      </c>
      <c r="J40" s="44">
        <f>B!AI114</f>
        <v>0</v>
      </c>
      <c r="K40" s="44">
        <f>B!AI138</f>
        <v>0</v>
      </c>
      <c r="L40" s="44">
        <f>B!AI162</f>
        <v>0</v>
      </c>
      <c r="M40" s="44">
        <f>B!AI186</f>
        <v>0</v>
      </c>
      <c r="N40" s="44">
        <f>B!AI210</f>
        <v>0</v>
      </c>
      <c r="O40" s="44">
        <f>B!AI234</f>
        <v>0</v>
      </c>
      <c r="P40" s="44">
        <f>B!AI258</f>
        <v>0</v>
      </c>
      <c r="Q40" s="44">
        <f>B!AI282</f>
        <v>0</v>
      </c>
      <c r="R40" s="40">
        <f t="shared" si="13"/>
        <v>0</v>
      </c>
      <c r="S40" s="45">
        <f t="shared" si="14"/>
        <v>0</v>
      </c>
      <c r="U40" s="44">
        <f>B!AH18</f>
        <v>0</v>
      </c>
      <c r="V40" s="44">
        <f>B!AH42</f>
        <v>0</v>
      </c>
      <c r="W40" s="44">
        <f>B!AH66</f>
        <v>0</v>
      </c>
      <c r="X40" s="44">
        <f>B!AH90</f>
        <v>0</v>
      </c>
      <c r="Y40" s="44">
        <f>B!AH114</f>
        <v>0</v>
      </c>
      <c r="Z40" s="44">
        <f>B!AH138</f>
        <v>0</v>
      </c>
      <c r="AA40" s="44">
        <f>B!AH162</f>
        <v>0</v>
      </c>
      <c r="AB40" s="44">
        <f>B!AH186</f>
        <v>0</v>
      </c>
      <c r="AC40" s="44">
        <f>B!AH210</f>
        <v>0</v>
      </c>
      <c r="AD40" s="44">
        <f>B!AH234</f>
        <v>0</v>
      </c>
      <c r="AE40" s="44">
        <f>B!AH258</f>
        <v>0</v>
      </c>
      <c r="AF40" s="44">
        <f>B!AH282</f>
        <v>0</v>
      </c>
      <c r="AG40" s="16">
        <f t="shared" si="15"/>
        <v>0</v>
      </c>
      <c r="AH40" s="45">
        <f t="shared" si="17"/>
        <v>13</v>
      </c>
    </row>
    <row r="41" spans="1:34" ht="20.100000000000001" hidden="1" customHeight="1">
      <c r="A41" s="18" t="s">
        <v>60</v>
      </c>
      <c r="B41" s="16"/>
      <c r="C41" s="16"/>
      <c r="D41" s="16"/>
      <c r="E41" s="43">
        <f t="shared" si="9"/>
        <v>0</v>
      </c>
      <c r="F41" s="44">
        <f>B!AI19</f>
        <v>0</v>
      </c>
      <c r="G41" s="44">
        <f>B!AI43</f>
        <v>0</v>
      </c>
      <c r="H41" s="44">
        <f>B!AI67</f>
        <v>0</v>
      </c>
      <c r="I41" s="44">
        <f>B!AI91</f>
        <v>0</v>
      </c>
      <c r="J41" s="44">
        <f>B!AI115</f>
        <v>0</v>
      </c>
      <c r="K41" s="44">
        <f>B!AI139</f>
        <v>0</v>
      </c>
      <c r="L41" s="44">
        <f>B!AI163</f>
        <v>0</v>
      </c>
      <c r="M41" s="44">
        <f>B!AI187</f>
        <v>0</v>
      </c>
      <c r="N41" s="44">
        <f>B!AI211</f>
        <v>0</v>
      </c>
      <c r="O41" s="44">
        <f>B!AI235</f>
        <v>0</v>
      </c>
      <c r="P41" s="44">
        <f>B!AI259</f>
        <v>0</v>
      </c>
      <c r="Q41" s="44">
        <f>B!AI283</f>
        <v>0</v>
      </c>
      <c r="R41" s="40">
        <f t="shared" si="13"/>
        <v>0</v>
      </c>
      <c r="S41" s="45">
        <f t="shared" si="14"/>
        <v>0</v>
      </c>
      <c r="U41" s="44">
        <f>B!AH19</f>
        <v>0</v>
      </c>
      <c r="V41" s="44">
        <f>B!AH43</f>
        <v>0</v>
      </c>
      <c r="W41" s="44">
        <f>B!AH67</f>
        <v>0</v>
      </c>
      <c r="X41" s="44">
        <f>B!AH91</f>
        <v>0</v>
      </c>
      <c r="Y41" s="44">
        <f>B!AH115</f>
        <v>0</v>
      </c>
      <c r="Z41" s="44">
        <f>B!AH139</f>
        <v>0</v>
      </c>
      <c r="AA41" s="44">
        <f>B!AH163</f>
        <v>0</v>
      </c>
      <c r="AB41" s="44">
        <f>B!AH187</f>
        <v>0</v>
      </c>
      <c r="AC41" s="44">
        <f>B!AH211</f>
        <v>0</v>
      </c>
      <c r="AD41" s="44">
        <f>B!AH235</f>
        <v>0</v>
      </c>
      <c r="AE41" s="44">
        <f>B!AH259</f>
        <v>0</v>
      </c>
      <c r="AF41" s="44">
        <f>B!AH283</f>
        <v>0</v>
      </c>
      <c r="AG41" s="16">
        <f t="shared" si="15"/>
        <v>0</v>
      </c>
      <c r="AH41" s="45">
        <f t="shared" si="17"/>
        <v>13</v>
      </c>
    </row>
    <row r="42" spans="1:34" ht="20.100000000000001" hidden="1" customHeight="1">
      <c r="A42" s="18" t="s">
        <v>61</v>
      </c>
      <c r="B42" s="16"/>
      <c r="C42" s="16"/>
      <c r="D42" s="16"/>
      <c r="E42" s="43">
        <f t="shared" si="9"/>
        <v>0</v>
      </c>
      <c r="F42" s="44">
        <f>B!AI20</f>
        <v>0</v>
      </c>
      <c r="G42" s="44">
        <f>B!AI44</f>
        <v>0</v>
      </c>
      <c r="H42" s="44">
        <f>B!AI68</f>
        <v>0</v>
      </c>
      <c r="I42" s="44">
        <f>B!AI92</f>
        <v>0</v>
      </c>
      <c r="J42" s="44">
        <f>B!AI116</f>
        <v>0</v>
      </c>
      <c r="K42" s="44">
        <f>B!AI140</f>
        <v>0</v>
      </c>
      <c r="L42" s="44">
        <f>B!AI164</f>
        <v>0</v>
      </c>
      <c r="M42" s="44">
        <f>B!AI188</f>
        <v>0</v>
      </c>
      <c r="N42" s="44">
        <f>B!AI212</f>
        <v>0</v>
      </c>
      <c r="O42" s="44">
        <f>B!AI236</f>
        <v>0</v>
      </c>
      <c r="P42" s="44">
        <f>B!AI260</f>
        <v>0</v>
      </c>
      <c r="Q42" s="44">
        <f>B!AI284</f>
        <v>0</v>
      </c>
      <c r="R42" s="40">
        <f t="shared" si="13"/>
        <v>0</v>
      </c>
      <c r="S42" s="45">
        <f t="shared" si="14"/>
        <v>0</v>
      </c>
      <c r="U42" s="44">
        <f>B!AH20</f>
        <v>0</v>
      </c>
      <c r="V42" s="44">
        <f>B!AH44</f>
        <v>0</v>
      </c>
      <c r="W42" s="44">
        <f>B!AH68</f>
        <v>0</v>
      </c>
      <c r="X42" s="44">
        <f>B!AH92</f>
        <v>0</v>
      </c>
      <c r="Y42" s="44">
        <f>B!AH116</f>
        <v>0</v>
      </c>
      <c r="Z42" s="44">
        <f>B!AH140</f>
        <v>0</v>
      </c>
      <c r="AA42" s="44">
        <f>B!AH164</f>
        <v>0</v>
      </c>
      <c r="AB42" s="44">
        <f>B!AH188</f>
        <v>0</v>
      </c>
      <c r="AC42" s="44">
        <f>B!AH212</f>
        <v>0</v>
      </c>
      <c r="AD42" s="44">
        <f>B!AH236</f>
        <v>0</v>
      </c>
      <c r="AE42" s="44">
        <f>B!AH260</f>
        <v>0</v>
      </c>
      <c r="AF42" s="44">
        <f>B!AH284</f>
        <v>0</v>
      </c>
      <c r="AG42" s="16">
        <f t="shared" si="15"/>
        <v>0</v>
      </c>
      <c r="AH42" s="45">
        <f t="shared" si="17"/>
        <v>13</v>
      </c>
    </row>
    <row r="43" spans="1:34" ht="20.100000000000001" hidden="1" customHeight="1">
      <c r="A43" s="18" t="s">
        <v>62</v>
      </c>
      <c r="B43" s="16"/>
      <c r="C43" s="16"/>
      <c r="D43" s="16"/>
      <c r="E43" s="43">
        <f t="shared" si="9"/>
        <v>0</v>
      </c>
      <c r="F43" s="44">
        <f>B!AI21</f>
        <v>0</v>
      </c>
      <c r="G43" s="44">
        <f>B!AI45</f>
        <v>0</v>
      </c>
      <c r="H43" s="44">
        <f>B!AI69</f>
        <v>0</v>
      </c>
      <c r="I43" s="44">
        <f>B!AI93</f>
        <v>0</v>
      </c>
      <c r="J43" s="44">
        <f>B!AI117</f>
        <v>0</v>
      </c>
      <c r="K43" s="44">
        <f>B!AI141</f>
        <v>0</v>
      </c>
      <c r="L43" s="44">
        <f>B!AI165</f>
        <v>0</v>
      </c>
      <c r="M43" s="44">
        <f>B!AI189</f>
        <v>0</v>
      </c>
      <c r="N43" s="44">
        <f>B!AI213</f>
        <v>0</v>
      </c>
      <c r="O43" s="44">
        <f>B!AI237</f>
        <v>0</v>
      </c>
      <c r="P43" s="44">
        <f>B!AI261</f>
        <v>0</v>
      </c>
      <c r="Q43" s="44">
        <f>B!AI285</f>
        <v>0</v>
      </c>
      <c r="R43" s="40">
        <f t="shared" si="13"/>
        <v>0</v>
      </c>
      <c r="S43" s="45">
        <f t="shared" si="14"/>
        <v>0</v>
      </c>
      <c r="U43" s="44">
        <f>B!AH21</f>
        <v>0</v>
      </c>
      <c r="V43" s="44">
        <f>B!AH45</f>
        <v>0</v>
      </c>
      <c r="W43" s="44">
        <f>B!AH69</f>
        <v>0</v>
      </c>
      <c r="X43" s="44">
        <f>B!AH93</f>
        <v>0</v>
      </c>
      <c r="Y43" s="44">
        <f>B!AH117</f>
        <v>0</v>
      </c>
      <c r="Z43" s="44">
        <f>B!AH141</f>
        <v>0</v>
      </c>
      <c r="AA43" s="44">
        <f>B!AH165</f>
        <v>0</v>
      </c>
      <c r="AB43" s="44">
        <f>B!AH189</f>
        <v>0</v>
      </c>
      <c r="AC43" s="44">
        <f>B!AH213</f>
        <v>0</v>
      </c>
      <c r="AD43" s="44">
        <f>B!AH237</f>
        <v>0</v>
      </c>
      <c r="AE43" s="44">
        <f>B!AH261</f>
        <v>0</v>
      </c>
      <c r="AF43" s="44">
        <f>B!AH285</f>
        <v>0</v>
      </c>
      <c r="AG43" s="16">
        <f t="shared" si="15"/>
        <v>0</v>
      </c>
      <c r="AH43" s="45">
        <f t="shared" si="17"/>
        <v>13</v>
      </c>
    </row>
    <row r="44" spans="1:34" ht="20.100000000000001" hidden="1" customHeight="1">
      <c r="A44" s="18" t="s">
        <v>63</v>
      </c>
      <c r="B44" s="16"/>
      <c r="C44" s="16"/>
      <c r="D44" s="16"/>
      <c r="E44" s="43">
        <f t="shared" si="9"/>
        <v>0</v>
      </c>
      <c r="F44" s="44">
        <f>B!AI22</f>
        <v>0</v>
      </c>
      <c r="G44" s="44">
        <f>B!AI46</f>
        <v>0</v>
      </c>
      <c r="H44" s="44">
        <f>B!AI70</f>
        <v>0</v>
      </c>
      <c r="I44" s="44">
        <f>B!AI94</f>
        <v>0</v>
      </c>
      <c r="J44" s="44">
        <f>B!AI118</f>
        <v>0</v>
      </c>
      <c r="K44" s="44">
        <f>B!AI142</f>
        <v>0</v>
      </c>
      <c r="L44" s="44">
        <f>B!AI166</f>
        <v>0</v>
      </c>
      <c r="M44" s="44">
        <f>B!AI190</f>
        <v>0</v>
      </c>
      <c r="N44" s="44">
        <f>B!AI214</f>
        <v>0</v>
      </c>
      <c r="O44" s="44">
        <f>B!AI238</f>
        <v>0</v>
      </c>
      <c r="P44" s="44">
        <f>B!AI262</f>
        <v>0</v>
      </c>
      <c r="Q44" s="44">
        <f>B!AI286</f>
        <v>0</v>
      </c>
      <c r="R44" s="40">
        <f t="shared" si="13"/>
        <v>0</v>
      </c>
      <c r="S44" s="45">
        <f t="shared" si="14"/>
        <v>0</v>
      </c>
      <c r="U44" s="44">
        <f>B!AH22</f>
        <v>0</v>
      </c>
      <c r="V44" s="44">
        <f>B!AH46</f>
        <v>0</v>
      </c>
      <c r="W44" s="44">
        <f>B!AH70</f>
        <v>0</v>
      </c>
      <c r="X44" s="44">
        <f>B!AH94</f>
        <v>0</v>
      </c>
      <c r="Y44" s="44">
        <f>B!AH118</f>
        <v>0</v>
      </c>
      <c r="Z44" s="44">
        <f>B!AH142</f>
        <v>0</v>
      </c>
      <c r="AA44" s="44">
        <f>B!AH166</f>
        <v>0</v>
      </c>
      <c r="AB44" s="44">
        <f>B!AH190</f>
        <v>0</v>
      </c>
      <c r="AC44" s="44">
        <f>B!AH214</f>
        <v>0</v>
      </c>
      <c r="AD44" s="44">
        <f>B!AH238</f>
        <v>0</v>
      </c>
      <c r="AE44" s="44">
        <f>B!AH262</f>
        <v>0</v>
      </c>
      <c r="AF44" s="44">
        <f>B!AH286</f>
        <v>0</v>
      </c>
      <c r="AG44" s="16">
        <f t="shared" si="15"/>
        <v>0</v>
      </c>
      <c r="AH44" s="45">
        <f t="shared" si="17"/>
        <v>13</v>
      </c>
    </row>
    <row r="45" spans="1:34" ht="20.100000000000001" hidden="1" customHeight="1">
      <c r="A45" s="18" t="s">
        <v>64</v>
      </c>
      <c r="B45" s="16"/>
      <c r="C45" s="16"/>
      <c r="D45" s="16"/>
      <c r="E45" s="43">
        <f t="shared" si="9"/>
        <v>0</v>
      </c>
      <c r="F45" s="44">
        <f>B!AI23</f>
        <v>0</v>
      </c>
      <c r="G45" s="44">
        <f>B!AI47</f>
        <v>0</v>
      </c>
      <c r="H45" s="44">
        <f>B!AI71</f>
        <v>0</v>
      </c>
      <c r="I45" s="44">
        <f>B!AI95</f>
        <v>0</v>
      </c>
      <c r="J45" s="44">
        <f>B!AI119</f>
        <v>0</v>
      </c>
      <c r="K45" s="44">
        <f>B!AI143</f>
        <v>0</v>
      </c>
      <c r="L45" s="44">
        <f>B!AI167</f>
        <v>0</v>
      </c>
      <c r="M45" s="44">
        <f>B!AI191</f>
        <v>0</v>
      </c>
      <c r="N45" s="44">
        <f>B!AI215</f>
        <v>0</v>
      </c>
      <c r="O45" s="44">
        <f>B!AI239</f>
        <v>0</v>
      </c>
      <c r="P45" s="44">
        <f>B!AI263</f>
        <v>0</v>
      </c>
      <c r="Q45" s="44">
        <f>B!AI287</f>
        <v>0</v>
      </c>
      <c r="R45" s="40">
        <f t="shared" si="13"/>
        <v>0</v>
      </c>
      <c r="S45" s="45">
        <f t="shared" si="14"/>
        <v>0</v>
      </c>
      <c r="U45" s="44">
        <f>B!AH23</f>
        <v>0</v>
      </c>
      <c r="V45" s="44">
        <f>B!AH47</f>
        <v>0</v>
      </c>
      <c r="W45" s="44">
        <f>B!AH71</f>
        <v>0</v>
      </c>
      <c r="X45" s="44">
        <f>B!AH95</f>
        <v>0</v>
      </c>
      <c r="Y45" s="44">
        <f>B!AH119</f>
        <v>0</v>
      </c>
      <c r="Z45" s="44">
        <f>B!AH143</f>
        <v>0</v>
      </c>
      <c r="AA45" s="44">
        <f>B!AH167</f>
        <v>0</v>
      </c>
      <c r="AB45" s="44">
        <f>B!AH191</f>
        <v>0</v>
      </c>
      <c r="AC45" s="44">
        <f>B!AH215</f>
        <v>0</v>
      </c>
      <c r="AD45" s="44">
        <f>B!AH239</f>
        <v>0</v>
      </c>
      <c r="AE45" s="44">
        <f>B!AH263</f>
        <v>0</v>
      </c>
      <c r="AF45" s="44">
        <f>B!AH287</f>
        <v>0</v>
      </c>
      <c r="AG45" s="16">
        <f t="shared" si="15"/>
        <v>0</v>
      </c>
      <c r="AH45" s="45">
        <f t="shared" si="17"/>
        <v>13</v>
      </c>
    </row>
    <row r="46" spans="1:34" ht="20.100000000000001" customHeight="1"/>
    <row r="47" spans="1:34" ht="20.100000000000001" customHeight="1">
      <c r="A47" s="86" t="s">
        <v>40</v>
      </c>
      <c r="B47" s="85" t="s">
        <v>21</v>
      </c>
      <c r="C47" s="85">
        <v>2020</v>
      </c>
      <c r="D47" s="87" t="s">
        <v>41</v>
      </c>
      <c r="E47" s="39" t="s">
        <v>22</v>
      </c>
      <c r="F47" s="40" t="s">
        <v>23</v>
      </c>
      <c r="G47" s="40" t="s">
        <v>25</v>
      </c>
      <c r="H47" s="40" t="s">
        <v>27</v>
      </c>
      <c r="I47" s="40" t="s">
        <v>29</v>
      </c>
      <c r="J47" s="40" t="s">
        <v>30</v>
      </c>
      <c r="K47" s="40" t="s">
        <v>32</v>
      </c>
      <c r="L47" s="40" t="s">
        <v>33</v>
      </c>
      <c r="M47" s="40" t="s">
        <v>34</v>
      </c>
      <c r="N47" s="40" t="s">
        <v>35</v>
      </c>
      <c r="O47" s="40" t="s">
        <v>2</v>
      </c>
      <c r="P47" s="40" t="s">
        <v>36</v>
      </c>
      <c r="Q47" s="40" t="s">
        <v>37</v>
      </c>
      <c r="R47" s="85" t="s">
        <v>39</v>
      </c>
      <c r="S47" s="41" t="s">
        <v>38</v>
      </c>
      <c r="U47" s="40" t="s">
        <v>23</v>
      </c>
      <c r="V47" s="40" t="s">
        <v>24</v>
      </c>
      <c r="W47" s="40" t="s">
        <v>26</v>
      </c>
      <c r="X47" s="40" t="s">
        <v>28</v>
      </c>
      <c r="Y47" s="40" t="s">
        <v>1</v>
      </c>
      <c r="Z47" s="40" t="s">
        <v>31</v>
      </c>
      <c r="AA47" s="40" t="s">
        <v>33</v>
      </c>
      <c r="AB47" s="40" t="s">
        <v>34</v>
      </c>
      <c r="AC47" s="40" t="s">
        <v>35</v>
      </c>
      <c r="AD47" s="40" t="s">
        <v>2</v>
      </c>
      <c r="AE47" s="40" t="s">
        <v>36</v>
      </c>
      <c r="AF47" s="40" t="s">
        <v>37</v>
      </c>
      <c r="AG47" s="85" t="s">
        <v>18</v>
      </c>
      <c r="AH47" s="41" t="s">
        <v>38</v>
      </c>
    </row>
    <row r="48" spans="1:34" ht="20.100000000000001" customHeight="1">
      <c r="A48" s="86"/>
      <c r="B48" s="85"/>
      <c r="C48" s="85"/>
      <c r="D48" s="87"/>
      <c r="E48" s="39"/>
      <c r="F48" s="40" t="s">
        <v>20</v>
      </c>
      <c r="G48" s="40" t="s">
        <v>20</v>
      </c>
      <c r="H48" s="40" t="s">
        <v>20</v>
      </c>
      <c r="I48" s="40" t="s">
        <v>20</v>
      </c>
      <c r="J48" s="40" t="s">
        <v>20</v>
      </c>
      <c r="K48" s="40" t="s">
        <v>20</v>
      </c>
      <c r="L48" s="40" t="s">
        <v>20</v>
      </c>
      <c r="M48" s="40" t="s">
        <v>20</v>
      </c>
      <c r="N48" s="40" t="s">
        <v>20</v>
      </c>
      <c r="O48" s="40" t="s">
        <v>20</v>
      </c>
      <c r="P48" s="40" t="s">
        <v>20</v>
      </c>
      <c r="Q48" s="40" t="s">
        <v>20</v>
      </c>
      <c r="R48" s="85"/>
      <c r="S48" s="41" t="s">
        <v>20</v>
      </c>
      <c r="U48" s="40" t="s">
        <v>18</v>
      </c>
      <c r="V48" s="40" t="s">
        <v>18</v>
      </c>
      <c r="W48" s="40" t="s">
        <v>18</v>
      </c>
      <c r="X48" s="40" t="s">
        <v>18</v>
      </c>
      <c r="Y48" s="40" t="s">
        <v>18</v>
      </c>
      <c r="Z48" s="40" t="s">
        <v>18</v>
      </c>
      <c r="AA48" s="40" t="s">
        <v>18</v>
      </c>
      <c r="AB48" s="40" t="s">
        <v>18</v>
      </c>
      <c r="AC48" s="40" t="s">
        <v>18</v>
      </c>
      <c r="AD48" s="40" t="s">
        <v>18</v>
      </c>
      <c r="AE48" s="40" t="s">
        <v>18</v>
      </c>
      <c r="AF48" s="40" t="s">
        <v>18</v>
      </c>
      <c r="AG48" s="85"/>
      <c r="AH48" s="41" t="s">
        <v>18</v>
      </c>
    </row>
    <row r="49" spans="1:34" ht="20.100000000000001" customHeight="1">
      <c r="A49" s="18" t="s">
        <v>94</v>
      </c>
      <c r="B49" s="16">
        <v>6</v>
      </c>
      <c r="C49" s="16">
        <v>29</v>
      </c>
      <c r="D49" s="16">
        <v>6</v>
      </c>
      <c r="E49" s="43">
        <f t="shared" ref="E49:E68" si="18">SUM(B49:D49)</f>
        <v>41</v>
      </c>
      <c r="F49" s="44">
        <f>'C'!AI4</f>
        <v>9</v>
      </c>
      <c r="G49" s="44">
        <f>'C'!AI28</f>
        <v>1</v>
      </c>
      <c r="H49" s="44">
        <f>'C'!AI52</f>
        <v>0</v>
      </c>
      <c r="I49" s="44">
        <f>'C'!AI76</f>
        <v>0</v>
      </c>
      <c r="J49" s="44">
        <f>'C'!AI100</f>
        <v>0</v>
      </c>
      <c r="K49" s="44">
        <f>'C'!AI124</f>
        <v>0</v>
      </c>
      <c r="L49" s="44">
        <f>'C'!AI148</f>
        <v>0</v>
      </c>
      <c r="M49" s="44">
        <f>'C'!AI172</f>
        <v>0</v>
      </c>
      <c r="N49" s="44">
        <f>'C'!AI196</f>
        <v>0</v>
      </c>
      <c r="O49" s="44">
        <f>'C'!AI220</f>
        <v>0</v>
      </c>
      <c r="P49" s="44">
        <f>'C'!AI244</f>
        <v>0</v>
      </c>
      <c r="Q49" s="44">
        <f>'C'!AI268</f>
        <v>0</v>
      </c>
      <c r="R49" s="40">
        <f t="shared" ref="R49" si="19">SUM(F49+G49+H49+I49+J49+K49+L49+M49+N49+O49+P49+Q49)</f>
        <v>10</v>
      </c>
      <c r="S49" s="45">
        <f t="shared" ref="S49" si="20">SUM(E49-R49)</f>
        <v>31</v>
      </c>
      <c r="U49" s="44">
        <f>'C'!AH4</f>
        <v>1</v>
      </c>
      <c r="V49" s="44">
        <f>'C'!AH28</f>
        <v>1</v>
      </c>
      <c r="W49" s="44">
        <f>'C'!AH52</f>
        <v>0</v>
      </c>
      <c r="X49" s="44">
        <f>'C'!AH76</f>
        <v>0</v>
      </c>
      <c r="Y49" s="44">
        <f>'C'!AH100</f>
        <v>0</v>
      </c>
      <c r="Z49" s="44">
        <f>'C'!AH124</f>
        <v>0</v>
      </c>
      <c r="AA49" s="44">
        <f>'C'!AH148</f>
        <v>0</v>
      </c>
      <c r="AB49" s="44">
        <f>'C'!AH172</f>
        <v>0</v>
      </c>
      <c r="AC49" s="44">
        <f>'C'!AH196</f>
        <v>0</v>
      </c>
      <c r="AD49" s="44">
        <f>'C'!AH220</f>
        <v>0</v>
      </c>
      <c r="AE49" s="44">
        <f>'C'!AH244</f>
        <v>0</v>
      </c>
      <c r="AF49" s="44">
        <f>'C'!AH268</f>
        <v>0</v>
      </c>
      <c r="AG49" s="16">
        <f t="shared" ref="AG49" si="21">SUM(U49+V49+W49+X49+Y49+Z49+AA49+AB49+AC49+AD49+AE49+AF49)</f>
        <v>2</v>
      </c>
      <c r="AH49" s="45">
        <f>SUM(16-AG49)</f>
        <v>14</v>
      </c>
    </row>
    <row r="50" spans="1:34" ht="20.100000000000001" customHeight="1">
      <c r="A50" s="18" t="s">
        <v>90</v>
      </c>
      <c r="B50" s="16"/>
      <c r="C50" s="16">
        <v>30</v>
      </c>
      <c r="D50" s="16"/>
      <c r="E50" s="43">
        <f t="shared" si="18"/>
        <v>30</v>
      </c>
      <c r="F50" s="44">
        <f>'C'!AI5</f>
        <v>0</v>
      </c>
      <c r="G50" s="44">
        <f>'C'!AI29</f>
        <v>0</v>
      </c>
      <c r="H50" s="44">
        <f>'C'!AI53</f>
        <v>0</v>
      </c>
      <c r="I50" s="44">
        <f>'C'!AI77</f>
        <v>1</v>
      </c>
      <c r="J50" s="44">
        <f>'C'!AI101</f>
        <v>0</v>
      </c>
      <c r="K50" s="44">
        <f>'C'!AI125</f>
        <v>0</v>
      </c>
      <c r="L50" s="44">
        <f>'C'!AI149</f>
        <v>0</v>
      </c>
      <c r="M50" s="44">
        <f>'C'!AI173</f>
        <v>0</v>
      </c>
      <c r="N50" s="44">
        <f>'C'!AI197</f>
        <v>0</v>
      </c>
      <c r="O50" s="44">
        <f>'C'!AI221</f>
        <v>0</v>
      </c>
      <c r="P50" s="44">
        <f>'C'!AI245</f>
        <v>0</v>
      </c>
      <c r="Q50" s="44">
        <f>'C'!AI269</f>
        <v>0</v>
      </c>
      <c r="R50" s="40">
        <f t="shared" ref="R50:R68" si="22">SUM(F50+G50+H50+I50+J50+K50+L50+M50+N50+O50+P50+Q50)</f>
        <v>1</v>
      </c>
      <c r="S50" s="45">
        <f t="shared" ref="S50:S68" si="23">SUM(E50-R50)</f>
        <v>29</v>
      </c>
      <c r="U50" s="44">
        <f>'C'!AH5</f>
        <v>0</v>
      </c>
      <c r="V50" s="44">
        <f>'C'!AH29</f>
        <v>1</v>
      </c>
      <c r="W50" s="44">
        <f>'C'!AH53</f>
        <v>0</v>
      </c>
      <c r="X50" s="44">
        <f>'C'!AH77</f>
        <v>1</v>
      </c>
      <c r="Y50" s="44">
        <f>'C'!AH101</f>
        <v>0</v>
      </c>
      <c r="Z50" s="44">
        <f>'C'!AH125</f>
        <v>0</v>
      </c>
      <c r="AA50" s="44">
        <f>'C'!AH149</f>
        <v>0</v>
      </c>
      <c r="AB50" s="44">
        <f>'C'!AH173</f>
        <v>0</v>
      </c>
      <c r="AC50" s="44">
        <f>'C'!AH197</f>
        <v>0</v>
      </c>
      <c r="AD50" s="44">
        <f>'C'!AH221</f>
        <v>0</v>
      </c>
      <c r="AE50" s="44">
        <f>'C'!AH245</f>
        <v>0</v>
      </c>
      <c r="AF50" s="44">
        <f>'C'!AH269</f>
        <v>0</v>
      </c>
      <c r="AG50" s="16">
        <f t="shared" ref="AG50:AG68" si="24">SUM(U50+V50+W50+X50+Y50+Z50+AA50+AB50+AC50+AD50+AE50+AF50)</f>
        <v>2</v>
      </c>
      <c r="AH50" s="45">
        <f t="shared" ref="AH50:AH56" si="25">SUM(16-AG50)</f>
        <v>14</v>
      </c>
    </row>
    <row r="51" spans="1:34" ht="20.100000000000001" customHeight="1">
      <c r="A51" s="18" t="s">
        <v>91</v>
      </c>
      <c r="B51" s="16"/>
      <c r="C51" s="16">
        <v>27</v>
      </c>
      <c r="D51" s="16">
        <v>6</v>
      </c>
      <c r="E51" s="43">
        <f t="shared" si="18"/>
        <v>33</v>
      </c>
      <c r="F51" s="44">
        <f>'C'!AI6</f>
        <v>0</v>
      </c>
      <c r="G51" s="44">
        <f>'C'!AI30</f>
        <v>0</v>
      </c>
      <c r="H51" s="44">
        <f>'C'!AI54</f>
        <v>1</v>
      </c>
      <c r="I51" s="44">
        <f>'C'!AI78</f>
        <v>0</v>
      </c>
      <c r="J51" s="44">
        <f>'C'!AI102</f>
        <v>0</v>
      </c>
      <c r="K51" s="44">
        <f>'C'!AI126</f>
        <v>0</v>
      </c>
      <c r="L51" s="44">
        <f>'C'!AI150</f>
        <v>0</v>
      </c>
      <c r="M51" s="44">
        <f>'C'!AI174</f>
        <v>0</v>
      </c>
      <c r="N51" s="44">
        <f>'C'!AI198</f>
        <v>0</v>
      </c>
      <c r="O51" s="44">
        <f>'C'!AI222</f>
        <v>0</v>
      </c>
      <c r="P51" s="44">
        <f>'C'!AI246</f>
        <v>0</v>
      </c>
      <c r="Q51" s="44">
        <f>'C'!AI270</f>
        <v>0</v>
      </c>
      <c r="R51" s="40">
        <f t="shared" si="22"/>
        <v>1</v>
      </c>
      <c r="S51" s="45">
        <f t="shared" si="23"/>
        <v>32</v>
      </c>
      <c r="U51" s="44">
        <f>'C'!AH6</f>
        <v>1</v>
      </c>
      <c r="V51" s="44">
        <f>'C'!AH30</f>
        <v>1</v>
      </c>
      <c r="W51" s="44">
        <f>'C'!AH54</f>
        <v>1</v>
      </c>
      <c r="X51" s="44">
        <f>'C'!AH78</f>
        <v>0</v>
      </c>
      <c r="Y51" s="44">
        <f>'C'!AH102</f>
        <v>0</v>
      </c>
      <c r="Z51" s="44">
        <f>'C'!AH126</f>
        <v>0</v>
      </c>
      <c r="AA51" s="44">
        <f>'C'!AH150</f>
        <v>0</v>
      </c>
      <c r="AB51" s="44">
        <f>'C'!AH174</f>
        <v>0</v>
      </c>
      <c r="AC51" s="44">
        <f>'C'!AH198</f>
        <v>0</v>
      </c>
      <c r="AD51" s="44">
        <f>'C'!AH222</f>
        <v>0</v>
      </c>
      <c r="AE51" s="44">
        <f>'C'!AH246</f>
        <v>0</v>
      </c>
      <c r="AF51" s="44">
        <f>'C'!AH270</f>
        <v>0</v>
      </c>
      <c r="AG51" s="16">
        <f t="shared" si="24"/>
        <v>3</v>
      </c>
      <c r="AH51" s="45">
        <f>SUM(16-AG51)+1</f>
        <v>14</v>
      </c>
    </row>
    <row r="52" spans="1:34" ht="20.100000000000001" customHeight="1">
      <c r="A52" s="18" t="s">
        <v>92</v>
      </c>
      <c r="B52" s="16"/>
      <c r="C52" s="16">
        <v>30</v>
      </c>
      <c r="D52" s="16"/>
      <c r="E52" s="43">
        <f t="shared" si="18"/>
        <v>30</v>
      </c>
      <c r="F52" s="44">
        <f>'C'!AI7</f>
        <v>1</v>
      </c>
      <c r="G52" s="44">
        <f>'C'!AI31</f>
        <v>1</v>
      </c>
      <c r="H52" s="44">
        <f>'C'!AI55</f>
        <v>1</v>
      </c>
      <c r="I52" s="44">
        <f>'C'!AI79</f>
        <v>4</v>
      </c>
      <c r="J52" s="44">
        <f>'C'!AI103</f>
        <v>0</v>
      </c>
      <c r="K52" s="44">
        <f>'C'!AI127</f>
        <v>0</v>
      </c>
      <c r="L52" s="44">
        <f>'C'!AI151</f>
        <v>0</v>
      </c>
      <c r="M52" s="44">
        <f>'C'!AI175</f>
        <v>0</v>
      </c>
      <c r="N52" s="44">
        <f>'C'!AI199</f>
        <v>0</v>
      </c>
      <c r="O52" s="44">
        <f>'C'!AI223</f>
        <v>0</v>
      </c>
      <c r="P52" s="44">
        <f>'C'!AI247</f>
        <v>0</v>
      </c>
      <c r="Q52" s="44">
        <f>'C'!AI271</f>
        <v>0</v>
      </c>
      <c r="R52" s="40">
        <f t="shared" si="22"/>
        <v>7</v>
      </c>
      <c r="S52" s="45">
        <f t="shared" si="23"/>
        <v>23</v>
      </c>
      <c r="U52" s="44">
        <f>'C'!AH7</f>
        <v>1</v>
      </c>
      <c r="V52" s="44">
        <f>'C'!AH31</f>
        <v>0</v>
      </c>
      <c r="W52" s="44">
        <f>'C'!AH55</f>
        <v>3</v>
      </c>
      <c r="X52" s="44">
        <f>'C'!AH79</f>
        <v>0</v>
      </c>
      <c r="Y52" s="44">
        <f>'C'!AH103</f>
        <v>0</v>
      </c>
      <c r="Z52" s="44">
        <f>'C'!AH127</f>
        <v>0</v>
      </c>
      <c r="AA52" s="44">
        <f>'C'!AH151</f>
        <v>0</v>
      </c>
      <c r="AB52" s="44">
        <f>'C'!AH175</f>
        <v>0</v>
      </c>
      <c r="AC52" s="44">
        <f>'C'!AH199</f>
        <v>0</v>
      </c>
      <c r="AD52" s="44">
        <f>'C'!AH223</f>
        <v>0</v>
      </c>
      <c r="AE52" s="44">
        <f>'C'!AH247</f>
        <v>0</v>
      </c>
      <c r="AF52" s="44">
        <f>'C'!AH271</f>
        <v>0</v>
      </c>
      <c r="AG52" s="16">
        <f t="shared" si="24"/>
        <v>4</v>
      </c>
      <c r="AH52" s="45">
        <f t="shared" si="25"/>
        <v>12</v>
      </c>
    </row>
    <row r="53" spans="1:34" ht="20.100000000000001" customHeight="1">
      <c r="A53" s="18" t="s">
        <v>93</v>
      </c>
      <c r="B53" s="16"/>
      <c r="C53" s="16">
        <v>24</v>
      </c>
      <c r="D53" s="16">
        <v>2</v>
      </c>
      <c r="E53" s="43">
        <f t="shared" si="18"/>
        <v>26</v>
      </c>
      <c r="F53" s="44">
        <f>'C'!AI8</f>
        <v>0</v>
      </c>
      <c r="G53" s="44">
        <f>'C'!AI32</f>
        <v>0</v>
      </c>
      <c r="H53" s="44">
        <f>'C'!AI56</f>
        <v>1</v>
      </c>
      <c r="I53" s="44">
        <f>'C'!AI80</f>
        <v>1</v>
      </c>
      <c r="J53" s="44">
        <f>'C'!AI104</f>
        <v>0</v>
      </c>
      <c r="K53" s="44">
        <f>'C'!AI128</f>
        <v>0</v>
      </c>
      <c r="L53" s="44">
        <f>'C'!AI152</f>
        <v>0</v>
      </c>
      <c r="M53" s="44">
        <f>'C'!AI176</f>
        <v>0</v>
      </c>
      <c r="N53" s="44">
        <f>'C'!AI200</f>
        <v>0</v>
      </c>
      <c r="O53" s="44">
        <f>'C'!AI224</f>
        <v>0</v>
      </c>
      <c r="P53" s="44">
        <f>'C'!AI248</f>
        <v>0</v>
      </c>
      <c r="Q53" s="44">
        <f>'C'!AI272</f>
        <v>0</v>
      </c>
      <c r="R53" s="40">
        <f t="shared" si="22"/>
        <v>2</v>
      </c>
      <c r="S53" s="45">
        <f t="shared" si="23"/>
        <v>24</v>
      </c>
      <c r="U53" s="44">
        <f>'C'!AH8</f>
        <v>1</v>
      </c>
      <c r="V53" s="44">
        <f>'C'!AH32</f>
        <v>1</v>
      </c>
      <c r="W53" s="44">
        <f>'C'!AH56</f>
        <v>2</v>
      </c>
      <c r="X53" s="44">
        <f>'C'!AH80</f>
        <v>1</v>
      </c>
      <c r="Y53" s="44">
        <f>'C'!AH104</f>
        <v>0</v>
      </c>
      <c r="Z53" s="44">
        <f>'C'!AH128</f>
        <v>0</v>
      </c>
      <c r="AA53" s="44">
        <f>'C'!AH152</f>
        <v>0</v>
      </c>
      <c r="AB53" s="44">
        <f>'C'!AH176</f>
        <v>0</v>
      </c>
      <c r="AC53" s="44">
        <f>'C'!AH200</f>
        <v>0</v>
      </c>
      <c r="AD53" s="44">
        <f>'C'!AH224</f>
        <v>0</v>
      </c>
      <c r="AE53" s="44">
        <f>'C'!AH248</f>
        <v>0</v>
      </c>
      <c r="AF53" s="44">
        <f>'C'!AH272</f>
        <v>0</v>
      </c>
      <c r="AG53" s="16">
        <f t="shared" si="24"/>
        <v>5</v>
      </c>
      <c r="AH53" s="45">
        <f t="shared" si="25"/>
        <v>11</v>
      </c>
    </row>
    <row r="54" spans="1:34" ht="20.100000000000001" customHeight="1">
      <c r="A54" s="18" t="s">
        <v>95</v>
      </c>
      <c r="B54" s="16">
        <v>-1</v>
      </c>
      <c r="C54" s="16">
        <v>20</v>
      </c>
      <c r="D54" s="16"/>
      <c r="E54" s="43">
        <f t="shared" si="18"/>
        <v>19</v>
      </c>
      <c r="F54" s="44">
        <f>'C'!AI9</f>
        <v>1</v>
      </c>
      <c r="G54" s="44">
        <f>'C'!AI33</f>
        <v>1</v>
      </c>
      <c r="H54" s="44">
        <f>'C'!AI57</f>
        <v>0</v>
      </c>
      <c r="I54" s="44">
        <f>'C'!AI81</f>
        <v>0</v>
      </c>
      <c r="J54" s="44">
        <f>'C'!AI105</f>
        <v>0</v>
      </c>
      <c r="K54" s="44">
        <f>'C'!AI129</f>
        <v>0</v>
      </c>
      <c r="L54" s="44">
        <f>'C'!AI153</f>
        <v>0</v>
      </c>
      <c r="M54" s="44">
        <f>'C'!AI177</f>
        <v>0</v>
      </c>
      <c r="N54" s="44">
        <f>'C'!AI201</f>
        <v>0</v>
      </c>
      <c r="O54" s="44">
        <f>'C'!AI225</f>
        <v>0</v>
      </c>
      <c r="P54" s="44">
        <f>'C'!AI249</f>
        <v>0</v>
      </c>
      <c r="Q54" s="44">
        <f>'C'!AI273</f>
        <v>0</v>
      </c>
      <c r="R54" s="40">
        <f t="shared" si="22"/>
        <v>2</v>
      </c>
      <c r="S54" s="45">
        <f t="shared" si="23"/>
        <v>17</v>
      </c>
      <c r="U54" s="44">
        <f>'C'!AH9</f>
        <v>1</v>
      </c>
      <c r="V54" s="44">
        <f>'C'!AH33</f>
        <v>1</v>
      </c>
      <c r="W54" s="44">
        <f>'C'!AH57</f>
        <v>1</v>
      </c>
      <c r="X54" s="44">
        <f>'C'!AH81</f>
        <v>0</v>
      </c>
      <c r="Y54" s="44">
        <f>'C'!AH105</f>
        <v>0</v>
      </c>
      <c r="Z54" s="44">
        <f>'C'!AH129</f>
        <v>0</v>
      </c>
      <c r="AA54" s="44">
        <f>'C'!AH153</f>
        <v>0</v>
      </c>
      <c r="AB54" s="44">
        <f>'C'!AH177</f>
        <v>0</v>
      </c>
      <c r="AC54" s="44">
        <f>'C'!AH201</f>
        <v>0</v>
      </c>
      <c r="AD54" s="44">
        <f>'C'!AH225</f>
        <v>0</v>
      </c>
      <c r="AE54" s="44">
        <f>'C'!AH249</f>
        <v>0</v>
      </c>
      <c r="AF54" s="44">
        <f>'C'!AH273</f>
        <v>0</v>
      </c>
      <c r="AG54" s="16">
        <f t="shared" si="24"/>
        <v>3</v>
      </c>
      <c r="AH54" s="45">
        <f>SUM(16-AG54)-1</f>
        <v>12</v>
      </c>
    </row>
    <row r="55" spans="1:34" ht="20.100000000000001" customHeight="1">
      <c r="A55" s="18" t="s">
        <v>96</v>
      </c>
      <c r="B55" s="16"/>
      <c r="C55" s="16">
        <v>20</v>
      </c>
      <c r="D55" s="16"/>
      <c r="E55" s="43">
        <f t="shared" si="18"/>
        <v>20</v>
      </c>
      <c r="F55" s="44">
        <f>'C'!AI10</f>
        <v>0</v>
      </c>
      <c r="G55" s="44">
        <f>'C'!AI34</f>
        <v>2</v>
      </c>
      <c r="H55" s="44">
        <f>'C'!AI58</f>
        <v>0</v>
      </c>
      <c r="I55" s="44">
        <f>'C'!AI82</f>
        <v>0</v>
      </c>
      <c r="J55" s="44">
        <f>'C'!AI106</f>
        <v>0</v>
      </c>
      <c r="K55" s="44">
        <f>'C'!AI130</f>
        <v>0</v>
      </c>
      <c r="L55" s="44">
        <f>'C'!AI154</f>
        <v>0</v>
      </c>
      <c r="M55" s="44">
        <f>'C'!AI178</f>
        <v>0</v>
      </c>
      <c r="N55" s="44">
        <f>'C'!AI202</f>
        <v>0</v>
      </c>
      <c r="O55" s="44">
        <f>'C'!AI226</f>
        <v>0</v>
      </c>
      <c r="P55" s="44">
        <f>'C'!AI250</f>
        <v>0</v>
      </c>
      <c r="Q55" s="44">
        <f>'C'!AI274</f>
        <v>0</v>
      </c>
      <c r="R55" s="40">
        <f t="shared" si="22"/>
        <v>2</v>
      </c>
      <c r="S55" s="45">
        <f t="shared" si="23"/>
        <v>18</v>
      </c>
      <c r="U55" s="44">
        <f>'C'!AH10</f>
        <v>1</v>
      </c>
      <c r="V55" s="44">
        <f>'C'!AH34</f>
        <v>1</v>
      </c>
      <c r="W55" s="44">
        <f>'C'!AH58</f>
        <v>0</v>
      </c>
      <c r="X55" s="44">
        <f>'C'!AH82</f>
        <v>1</v>
      </c>
      <c r="Y55" s="44">
        <f>'C'!AH106</f>
        <v>0</v>
      </c>
      <c r="Z55" s="44">
        <f>'C'!AH130</f>
        <v>0</v>
      </c>
      <c r="AA55" s="44">
        <f>'C'!AH154</f>
        <v>0</v>
      </c>
      <c r="AB55" s="44">
        <f>'C'!AH178</f>
        <v>0</v>
      </c>
      <c r="AC55" s="44">
        <f>'C'!AH202</f>
        <v>0</v>
      </c>
      <c r="AD55" s="44">
        <f>'C'!AH226</f>
        <v>0</v>
      </c>
      <c r="AE55" s="44">
        <f>'C'!AH250</f>
        <v>0</v>
      </c>
      <c r="AF55" s="44">
        <f>'C'!AH274</f>
        <v>0</v>
      </c>
      <c r="AG55" s="16">
        <f t="shared" si="24"/>
        <v>3</v>
      </c>
      <c r="AH55" s="45">
        <f t="shared" si="25"/>
        <v>13</v>
      </c>
    </row>
    <row r="56" spans="1:34" ht="20.100000000000001" hidden="1" customHeight="1">
      <c r="A56" s="18" t="s">
        <v>112</v>
      </c>
      <c r="B56" s="16"/>
      <c r="C56" s="16"/>
      <c r="D56" s="16"/>
      <c r="E56" s="43">
        <f t="shared" si="18"/>
        <v>0</v>
      </c>
      <c r="F56" s="44">
        <f>'C'!AI11</f>
        <v>0</v>
      </c>
      <c r="G56" s="44">
        <f>'C'!AI35</f>
        <v>0</v>
      </c>
      <c r="H56" s="44">
        <f>'C'!AI59</f>
        <v>0</v>
      </c>
      <c r="I56" s="44">
        <f>'C'!AI83</f>
        <v>0</v>
      </c>
      <c r="J56" s="44">
        <f>'C'!AI107</f>
        <v>0</v>
      </c>
      <c r="K56" s="44">
        <f>'C'!AI131</f>
        <v>0</v>
      </c>
      <c r="L56" s="44">
        <f>'C'!AI155</f>
        <v>0</v>
      </c>
      <c r="M56" s="44">
        <f>'C'!AI179</f>
        <v>0</v>
      </c>
      <c r="N56" s="44">
        <f>'C'!AI203</f>
        <v>0</v>
      </c>
      <c r="O56" s="44">
        <f>'C'!AI227</f>
        <v>0</v>
      </c>
      <c r="P56" s="44">
        <f>'C'!AI251</f>
        <v>0</v>
      </c>
      <c r="Q56" s="44">
        <f>'C'!AI275</f>
        <v>0</v>
      </c>
      <c r="R56" s="40">
        <f t="shared" si="22"/>
        <v>0</v>
      </c>
      <c r="S56" s="45">
        <f t="shared" si="23"/>
        <v>0</v>
      </c>
      <c r="U56" s="44">
        <f>'C'!AH11</f>
        <v>0</v>
      </c>
      <c r="V56" s="44">
        <f>'C'!AH35</f>
        <v>0</v>
      </c>
      <c r="W56" s="44">
        <f>'C'!AH59</f>
        <v>0</v>
      </c>
      <c r="X56" s="44">
        <f>'C'!AH83</f>
        <v>0</v>
      </c>
      <c r="Y56" s="44">
        <f>'C'!AH107</f>
        <v>0</v>
      </c>
      <c r="Z56" s="44">
        <f>'C'!AH131</f>
        <v>0</v>
      </c>
      <c r="AA56" s="44">
        <f>'C'!AH155</f>
        <v>0</v>
      </c>
      <c r="AB56" s="44">
        <f>'C'!AH179</f>
        <v>0</v>
      </c>
      <c r="AC56" s="44">
        <f>'C'!AH203</f>
        <v>0</v>
      </c>
      <c r="AD56" s="44">
        <f>'C'!AH227</f>
        <v>0</v>
      </c>
      <c r="AE56" s="44">
        <f>'C'!AH251</f>
        <v>0</v>
      </c>
      <c r="AF56" s="44">
        <f>'C'!AH275</f>
        <v>0</v>
      </c>
      <c r="AG56" s="16">
        <f t="shared" si="24"/>
        <v>0</v>
      </c>
      <c r="AH56" s="45">
        <f t="shared" si="25"/>
        <v>16</v>
      </c>
    </row>
    <row r="57" spans="1:34" ht="20.100000000000001" hidden="1" customHeight="1">
      <c r="A57" s="18" t="s">
        <v>49</v>
      </c>
      <c r="B57" s="16"/>
      <c r="C57" s="16"/>
      <c r="D57" s="16"/>
      <c r="E57" s="43">
        <f t="shared" si="18"/>
        <v>0</v>
      </c>
      <c r="F57" s="44">
        <f>'C'!AI12</f>
        <v>0</v>
      </c>
      <c r="G57" s="44">
        <f>'C'!AI36</f>
        <v>0</v>
      </c>
      <c r="H57" s="44">
        <f>'C'!AI60</f>
        <v>0</v>
      </c>
      <c r="I57" s="44">
        <f>'C'!AI84</f>
        <v>0</v>
      </c>
      <c r="J57" s="44">
        <f>'C'!AI108</f>
        <v>0</v>
      </c>
      <c r="K57" s="44">
        <f>'C'!AI132</f>
        <v>0</v>
      </c>
      <c r="L57" s="44">
        <f>'C'!AI156</f>
        <v>0</v>
      </c>
      <c r="M57" s="44">
        <f>'C'!AI180</f>
        <v>0</v>
      </c>
      <c r="N57" s="44">
        <f>'C'!AI204</f>
        <v>0</v>
      </c>
      <c r="O57" s="44">
        <f>'C'!AI228</f>
        <v>0</v>
      </c>
      <c r="P57" s="44">
        <f>'C'!AI252</f>
        <v>0</v>
      </c>
      <c r="Q57" s="44">
        <f>'C'!AI276</f>
        <v>0</v>
      </c>
      <c r="R57" s="40">
        <f t="shared" si="22"/>
        <v>0</v>
      </c>
      <c r="S57" s="45">
        <f t="shared" si="23"/>
        <v>0</v>
      </c>
      <c r="U57" s="44">
        <f>'C'!AH12</f>
        <v>0</v>
      </c>
      <c r="V57" s="44">
        <f>'C'!AH36</f>
        <v>0</v>
      </c>
      <c r="W57" s="44">
        <f>'C'!AH60</f>
        <v>0</v>
      </c>
      <c r="X57" s="44">
        <f>'C'!AH84</f>
        <v>0</v>
      </c>
      <c r="Y57" s="44">
        <f>'C'!AH108</f>
        <v>0</v>
      </c>
      <c r="Z57" s="44">
        <f>'C'!AH132</f>
        <v>0</v>
      </c>
      <c r="AA57" s="44">
        <f>'C'!AH156</f>
        <v>0</v>
      </c>
      <c r="AB57" s="44">
        <f>'C'!AH180</f>
        <v>0</v>
      </c>
      <c r="AC57" s="44">
        <f>'C'!AH204</f>
        <v>0</v>
      </c>
      <c r="AD57" s="44">
        <f>'C'!AH228</f>
        <v>0</v>
      </c>
      <c r="AE57" s="44">
        <f>'C'!AH252</f>
        <v>0</v>
      </c>
      <c r="AF57" s="44">
        <f>'C'!AH276</f>
        <v>0</v>
      </c>
      <c r="AG57" s="16">
        <f t="shared" si="24"/>
        <v>0</v>
      </c>
      <c r="AH57" s="45">
        <f t="shared" ref="AH57:AH68" si="26">SUM(13-AG57)</f>
        <v>13</v>
      </c>
    </row>
    <row r="58" spans="1:34" ht="20.100000000000001" hidden="1" customHeight="1">
      <c r="A58" s="18" t="s">
        <v>44</v>
      </c>
      <c r="B58" s="16"/>
      <c r="C58" s="16"/>
      <c r="D58" s="16"/>
      <c r="E58" s="43">
        <f t="shared" si="18"/>
        <v>0</v>
      </c>
      <c r="F58" s="44">
        <f>'C'!AI13</f>
        <v>0</v>
      </c>
      <c r="G58" s="44">
        <f>'C'!AI37</f>
        <v>0</v>
      </c>
      <c r="H58" s="44">
        <f>'C'!AI61</f>
        <v>0</v>
      </c>
      <c r="I58" s="44">
        <f>'C'!AI85</f>
        <v>0</v>
      </c>
      <c r="J58" s="44">
        <f>'C'!AI109</f>
        <v>0</v>
      </c>
      <c r="K58" s="44">
        <f>'C'!AI133</f>
        <v>0</v>
      </c>
      <c r="L58" s="44">
        <f>'C'!AI157</f>
        <v>0</v>
      </c>
      <c r="M58" s="44">
        <f>'C'!AI181</f>
        <v>0</v>
      </c>
      <c r="N58" s="44">
        <f>'C'!AI205</f>
        <v>0</v>
      </c>
      <c r="O58" s="44">
        <f>'C'!AI229</f>
        <v>0</v>
      </c>
      <c r="P58" s="44">
        <f>'C'!AI253</f>
        <v>0</v>
      </c>
      <c r="Q58" s="44">
        <f>'C'!AI277</f>
        <v>0</v>
      </c>
      <c r="R58" s="40">
        <f t="shared" si="22"/>
        <v>0</v>
      </c>
      <c r="S58" s="45">
        <f t="shared" si="23"/>
        <v>0</v>
      </c>
      <c r="U58" s="44">
        <f>'C'!AH13</f>
        <v>0</v>
      </c>
      <c r="V58" s="44">
        <f>'C'!AH37</f>
        <v>0</v>
      </c>
      <c r="W58" s="44">
        <f>'C'!AH61</f>
        <v>0</v>
      </c>
      <c r="X58" s="44">
        <f>'C'!AH85</f>
        <v>0</v>
      </c>
      <c r="Y58" s="44">
        <f>'C'!AH109</f>
        <v>0</v>
      </c>
      <c r="Z58" s="44">
        <f>'C'!AH133</f>
        <v>0</v>
      </c>
      <c r="AA58" s="44">
        <f>'C'!AH157</f>
        <v>0</v>
      </c>
      <c r="AB58" s="44">
        <f>'C'!AH181</f>
        <v>0</v>
      </c>
      <c r="AC58" s="44">
        <f>'C'!AH205</f>
        <v>0</v>
      </c>
      <c r="AD58" s="44">
        <f>'C'!AH229</f>
        <v>0</v>
      </c>
      <c r="AE58" s="44">
        <f>'C'!AH253</f>
        <v>0</v>
      </c>
      <c r="AF58" s="44">
        <f>'C'!AH277</f>
        <v>0</v>
      </c>
      <c r="AG58" s="16">
        <f t="shared" si="24"/>
        <v>0</v>
      </c>
      <c r="AH58" s="45">
        <f t="shared" si="26"/>
        <v>13</v>
      </c>
    </row>
    <row r="59" spans="1:34" ht="20.100000000000001" hidden="1" customHeight="1">
      <c r="A59" s="18" t="s">
        <v>45</v>
      </c>
      <c r="B59" s="16"/>
      <c r="C59" s="16"/>
      <c r="D59" s="16"/>
      <c r="E59" s="43">
        <f t="shared" si="18"/>
        <v>0</v>
      </c>
      <c r="F59" s="44"/>
      <c r="G59" s="44">
        <f>'C'!AI38</f>
        <v>0</v>
      </c>
      <c r="H59" s="44">
        <f>'C'!AI62</f>
        <v>0</v>
      </c>
      <c r="I59" s="44">
        <f>'C'!AI86</f>
        <v>0</v>
      </c>
      <c r="J59" s="44">
        <f>'C'!AI110</f>
        <v>0</v>
      </c>
      <c r="K59" s="44">
        <f>'C'!AI134</f>
        <v>0</v>
      </c>
      <c r="L59" s="44">
        <f>'C'!AI158</f>
        <v>0</v>
      </c>
      <c r="M59" s="44">
        <f>'C'!AI182</f>
        <v>0</v>
      </c>
      <c r="N59" s="44">
        <f>'C'!AI206</f>
        <v>0</v>
      </c>
      <c r="O59" s="44">
        <f>'C'!AI230</f>
        <v>0</v>
      </c>
      <c r="P59" s="44">
        <f>'C'!AI254</f>
        <v>0</v>
      </c>
      <c r="Q59" s="44">
        <f>'C'!AI278</f>
        <v>0</v>
      </c>
      <c r="R59" s="40">
        <f t="shared" si="22"/>
        <v>0</v>
      </c>
      <c r="S59" s="45">
        <f t="shared" si="23"/>
        <v>0</v>
      </c>
      <c r="U59" s="44">
        <f>'C'!AH14</f>
        <v>0</v>
      </c>
      <c r="V59" s="44">
        <f>'C'!AH38</f>
        <v>0</v>
      </c>
      <c r="W59" s="44">
        <f>'C'!AH62</f>
        <v>0</v>
      </c>
      <c r="X59" s="44">
        <f>'C'!AH86</f>
        <v>0</v>
      </c>
      <c r="Y59" s="44">
        <f>'C'!AH110</f>
        <v>0</v>
      </c>
      <c r="Z59" s="44">
        <f>'C'!AH134</f>
        <v>0</v>
      </c>
      <c r="AA59" s="44">
        <f>'C'!AH158</f>
        <v>0</v>
      </c>
      <c r="AB59" s="44">
        <f>'C'!AH182</f>
        <v>0</v>
      </c>
      <c r="AC59" s="44">
        <f>'C'!AH206</f>
        <v>0</v>
      </c>
      <c r="AD59" s="44">
        <f>'C'!AH230</f>
        <v>0</v>
      </c>
      <c r="AE59" s="44">
        <f>'C'!AH254</f>
        <v>0</v>
      </c>
      <c r="AF59" s="44">
        <f>'C'!AH278</f>
        <v>0</v>
      </c>
      <c r="AG59" s="16">
        <f t="shared" si="24"/>
        <v>0</v>
      </c>
      <c r="AH59" s="45">
        <f t="shared" si="26"/>
        <v>13</v>
      </c>
    </row>
    <row r="60" spans="1:34" ht="20.100000000000001" hidden="1" customHeight="1">
      <c r="A60" s="18" t="s">
        <v>46</v>
      </c>
      <c r="B60" s="16"/>
      <c r="C60" s="16"/>
      <c r="D60" s="16"/>
      <c r="E60" s="43">
        <f t="shared" si="18"/>
        <v>0</v>
      </c>
      <c r="F60" s="44"/>
      <c r="G60" s="44">
        <f>'C'!AI39</f>
        <v>0</v>
      </c>
      <c r="H60" s="44">
        <f>'C'!AI63</f>
        <v>0</v>
      </c>
      <c r="I60" s="44">
        <f>'C'!AI87</f>
        <v>0</v>
      </c>
      <c r="J60" s="44">
        <f>'C'!AI111</f>
        <v>0</v>
      </c>
      <c r="K60" s="44">
        <f>'C'!AI135</f>
        <v>0</v>
      </c>
      <c r="L60" s="44">
        <f>'C'!AI159</f>
        <v>0</v>
      </c>
      <c r="M60" s="44">
        <f>'C'!AI183</f>
        <v>0</v>
      </c>
      <c r="N60" s="44">
        <f>'C'!AI207</f>
        <v>0</v>
      </c>
      <c r="O60" s="44">
        <f>'C'!AI231</f>
        <v>0</v>
      </c>
      <c r="P60" s="44">
        <f>'C'!AI255</f>
        <v>0</v>
      </c>
      <c r="Q60" s="44">
        <f>'C'!AI279</f>
        <v>0</v>
      </c>
      <c r="R60" s="40">
        <f t="shared" si="22"/>
        <v>0</v>
      </c>
      <c r="S60" s="45">
        <f t="shared" si="23"/>
        <v>0</v>
      </c>
      <c r="U60" s="44">
        <f>'C'!AH15</f>
        <v>0</v>
      </c>
      <c r="V60" s="44">
        <f>'C'!AH39</f>
        <v>0</v>
      </c>
      <c r="W60" s="44">
        <f>'C'!AH63</f>
        <v>0</v>
      </c>
      <c r="X60" s="44">
        <f>'C'!AH87</f>
        <v>0</v>
      </c>
      <c r="Y60" s="44">
        <f>'C'!AH111</f>
        <v>0</v>
      </c>
      <c r="Z60" s="44">
        <f>'C'!AH135</f>
        <v>0</v>
      </c>
      <c r="AA60" s="44">
        <f>'C'!AH159</f>
        <v>0</v>
      </c>
      <c r="AB60" s="44">
        <f>'C'!AH183</f>
        <v>0</v>
      </c>
      <c r="AC60" s="44">
        <f>'C'!AH207</f>
        <v>0</v>
      </c>
      <c r="AD60" s="44">
        <f>'C'!AH231</f>
        <v>0</v>
      </c>
      <c r="AE60" s="44">
        <f>'C'!AH255</f>
        <v>0</v>
      </c>
      <c r="AF60" s="44">
        <f>'C'!AH279</f>
        <v>0</v>
      </c>
      <c r="AG60" s="16">
        <f t="shared" si="24"/>
        <v>0</v>
      </c>
      <c r="AH60" s="45">
        <f t="shared" si="26"/>
        <v>13</v>
      </c>
    </row>
    <row r="61" spans="1:34" ht="20.100000000000001" hidden="1" customHeight="1">
      <c r="A61" s="18" t="s">
        <v>47</v>
      </c>
      <c r="B61" s="16"/>
      <c r="C61" s="16"/>
      <c r="D61" s="16"/>
      <c r="E61" s="43">
        <f t="shared" si="18"/>
        <v>0</v>
      </c>
      <c r="F61" s="44"/>
      <c r="G61" s="44">
        <f>'C'!AI40</f>
        <v>0</v>
      </c>
      <c r="H61" s="44">
        <f>'C'!AI64</f>
        <v>0</v>
      </c>
      <c r="I61" s="44">
        <f>'C'!AI88</f>
        <v>0</v>
      </c>
      <c r="J61" s="44">
        <f>'C'!AI112</f>
        <v>0</v>
      </c>
      <c r="K61" s="44">
        <f>'C'!AI136</f>
        <v>0</v>
      </c>
      <c r="L61" s="44">
        <f>'C'!AI160</f>
        <v>0</v>
      </c>
      <c r="M61" s="44">
        <f>'C'!AI184</f>
        <v>0</v>
      </c>
      <c r="N61" s="44">
        <f>'C'!AI208</f>
        <v>0</v>
      </c>
      <c r="O61" s="44">
        <f>'C'!AI232</f>
        <v>0</v>
      </c>
      <c r="P61" s="44">
        <f>'C'!AI256</f>
        <v>0</v>
      </c>
      <c r="Q61" s="44">
        <f>'C'!AI280</f>
        <v>0</v>
      </c>
      <c r="R61" s="40">
        <f t="shared" si="22"/>
        <v>0</v>
      </c>
      <c r="S61" s="45">
        <f t="shared" si="23"/>
        <v>0</v>
      </c>
      <c r="U61" s="44">
        <f>'C'!AH16</f>
        <v>0</v>
      </c>
      <c r="V61" s="44">
        <f>'C'!AH40</f>
        <v>0</v>
      </c>
      <c r="W61" s="44">
        <f>'C'!AH64</f>
        <v>0</v>
      </c>
      <c r="X61" s="44">
        <f>'C'!AH88</f>
        <v>0</v>
      </c>
      <c r="Y61" s="44">
        <f>'C'!AH112</f>
        <v>0</v>
      </c>
      <c r="Z61" s="44">
        <f>'C'!AH136</f>
        <v>0</v>
      </c>
      <c r="AA61" s="44">
        <f>'C'!AH160</f>
        <v>0</v>
      </c>
      <c r="AB61" s="44">
        <f>'C'!AH184</f>
        <v>0</v>
      </c>
      <c r="AC61" s="44">
        <f>'C'!AH208</f>
        <v>0</v>
      </c>
      <c r="AD61" s="44">
        <f>'C'!AH232</f>
        <v>0</v>
      </c>
      <c r="AE61" s="44">
        <f>'C'!AH256</f>
        <v>0</v>
      </c>
      <c r="AF61" s="44">
        <f>'C'!AH280</f>
        <v>0</v>
      </c>
      <c r="AG61" s="16">
        <f t="shared" si="24"/>
        <v>0</v>
      </c>
      <c r="AH61" s="45">
        <f t="shared" si="26"/>
        <v>13</v>
      </c>
    </row>
    <row r="62" spans="1:34" ht="20.100000000000001" hidden="1" customHeight="1">
      <c r="A62" s="18" t="s">
        <v>48</v>
      </c>
      <c r="B62" s="16"/>
      <c r="C62" s="16"/>
      <c r="D62" s="16"/>
      <c r="E62" s="43">
        <f t="shared" si="18"/>
        <v>0</v>
      </c>
      <c r="F62" s="44"/>
      <c r="G62" s="44">
        <f>'C'!AI41</f>
        <v>0</v>
      </c>
      <c r="H62" s="44">
        <f>'C'!AI65</f>
        <v>0</v>
      </c>
      <c r="I62" s="44">
        <f>'C'!AI89</f>
        <v>0</v>
      </c>
      <c r="J62" s="44">
        <f>'C'!AI113</f>
        <v>0</v>
      </c>
      <c r="K62" s="44">
        <f>'C'!AI137</f>
        <v>0</v>
      </c>
      <c r="L62" s="44">
        <f>'C'!AI161</f>
        <v>0</v>
      </c>
      <c r="M62" s="44">
        <f>'C'!AI185</f>
        <v>0</v>
      </c>
      <c r="N62" s="44">
        <f>'C'!AI209</f>
        <v>0</v>
      </c>
      <c r="O62" s="44">
        <f>'C'!AI233</f>
        <v>0</v>
      </c>
      <c r="P62" s="44">
        <f>'C'!AI257</f>
        <v>0</v>
      </c>
      <c r="Q62" s="44">
        <f>'C'!AI281</f>
        <v>0</v>
      </c>
      <c r="R62" s="40">
        <f t="shared" si="22"/>
        <v>0</v>
      </c>
      <c r="S62" s="45">
        <f t="shared" si="23"/>
        <v>0</v>
      </c>
      <c r="U62" s="44">
        <f>'C'!AH17</f>
        <v>0</v>
      </c>
      <c r="V62" s="44">
        <f>'C'!AH41</f>
        <v>0</v>
      </c>
      <c r="W62" s="44">
        <f>'C'!AH65</f>
        <v>0</v>
      </c>
      <c r="X62" s="44">
        <f>'C'!AH89</f>
        <v>0</v>
      </c>
      <c r="Y62" s="44">
        <f>'C'!AH113</f>
        <v>0</v>
      </c>
      <c r="Z62" s="44">
        <f>'C'!AH137</f>
        <v>0</v>
      </c>
      <c r="AA62" s="44">
        <f>'C'!AH161</f>
        <v>0</v>
      </c>
      <c r="AB62" s="44">
        <f>'C'!AH185</f>
        <v>0</v>
      </c>
      <c r="AC62" s="44">
        <f>'C'!AH209</f>
        <v>0</v>
      </c>
      <c r="AD62" s="44">
        <f>'C'!AH233</f>
        <v>0</v>
      </c>
      <c r="AE62" s="44">
        <f>'C'!AH257</f>
        <v>0</v>
      </c>
      <c r="AF62" s="44">
        <f>'C'!AH281</f>
        <v>0</v>
      </c>
      <c r="AG62" s="16">
        <f t="shared" si="24"/>
        <v>0</v>
      </c>
      <c r="AH62" s="45">
        <f t="shared" si="26"/>
        <v>13</v>
      </c>
    </row>
    <row r="63" spans="1:34" ht="20.100000000000001" hidden="1" customHeight="1">
      <c r="A63" s="18" t="s">
        <v>43</v>
      </c>
      <c r="B63" s="16"/>
      <c r="C63" s="16"/>
      <c r="D63" s="16"/>
      <c r="E63" s="43">
        <f t="shared" si="18"/>
        <v>0</v>
      </c>
      <c r="F63" s="44"/>
      <c r="G63" s="44">
        <f>'C'!AI42</f>
        <v>0</v>
      </c>
      <c r="H63" s="44">
        <f>'C'!AI66</f>
        <v>0</v>
      </c>
      <c r="I63" s="44">
        <f>'C'!AI90</f>
        <v>0</v>
      </c>
      <c r="J63" s="44">
        <f>'C'!AI114</f>
        <v>0</v>
      </c>
      <c r="K63" s="44">
        <f>'C'!AI138</f>
        <v>0</v>
      </c>
      <c r="L63" s="44">
        <f>'C'!AI162</f>
        <v>0</v>
      </c>
      <c r="M63" s="44">
        <f>'C'!AI186</f>
        <v>0</v>
      </c>
      <c r="N63" s="44">
        <f>'C'!AI210</f>
        <v>0</v>
      </c>
      <c r="O63" s="44">
        <f>'C'!AI234</f>
        <v>0</v>
      </c>
      <c r="P63" s="44">
        <f>'C'!AI258</f>
        <v>0</v>
      </c>
      <c r="Q63" s="44">
        <f>'C'!AI282</f>
        <v>0</v>
      </c>
      <c r="R63" s="40">
        <f t="shared" si="22"/>
        <v>0</v>
      </c>
      <c r="S63" s="45">
        <f t="shared" si="23"/>
        <v>0</v>
      </c>
      <c r="U63" s="44">
        <f>'C'!AH18</f>
        <v>0</v>
      </c>
      <c r="V63" s="44">
        <f>'C'!AH42</f>
        <v>0</v>
      </c>
      <c r="W63" s="44">
        <f>'C'!AH66</f>
        <v>0</v>
      </c>
      <c r="X63" s="44">
        <f>'C'!AH90</f>
        <v>0</v>
      </c>
      <c r="Y63" s="44">
        <f>'C'!AH114</f>
        <v>0</v>
      </c>
      <c r="Z63" s="44">
        <f>'C'!AH138</f>
        <v>0</v>
      </c>
      <c r="AA63" s="44">
        <f>'C'!AH162</f>
        <v>0</v>
      </c>
      <c r="AB63" s="44">
        <f>'C'!AH186</f>
        <v>0</v>
      </c>
      <c r="AC63" s="44">
        <f>'C'!AH210</f>
        <v>0</v>
      </c>
      <c r="AD63" s="44">
        <f>'C'!AH234</f>
        <v>0</v>
      </c>
      <c r="AE63" s="44">
        <f>'C'!AH258</f>
        <v>0</v>
      </c>
      <c r="AF63" s="44">
        <f>'C'!AH282</f>
        <v>0</v>
      </c>
      <c r="AG63" s="16">
        <f t="shared" si="24"/>
        <v>0</v>
      </c>
      <c r="AH63" s="45">
        <f t="shared" si="26"/>
        <v>13</v>
      </c>
    </row>
    <row r="64" spans="1:34" ht="20.100000000000001" hidden="1" customHeight="1">
      <c r="A64" s="18" t="s">
        <v>60</v>
      </c>
      <c r="B64" s="16"/>
      <c r="C64" s="16"/>
      <c r="D64" s="16"/>
      <c r="E64" s="43">
        <f t="shared" si="18"/>
        <v>0</v>
      </c>
      <c r="F64" s="44">
        <f>'C'!AI14</f>
        <v>0</v>
      </c>
      <c r="G64" s="44">
        <f>'C'!AI43</f>
        <v>0</v>
      </c>
      <c r="H64" s="44">
        <f>'C'!AI67</f>
        <v>0</v>
      </c>
      <c r="I64" s="44">
        <f>'C'!AI91</f>
        <v>0</v>
      </c>
      <c r="J64" s="44">
        <f>'C'!AI115</f>
        <v>0</v>
      </c>
      <c r="K64" s="44">
        <f>'C'!AI139</f>
        <v>0</v>
      </c>
      <c r="L64" s="44">
        <f>'C'!AI163</f>
        <v>0</v>
      </c>
      <c r="M64" s="44">
        <f>'C'!AI187</f>
        <v>0</v>
      </c>
      <c r="N64" s="44">
        <f>'C'!AI211</f>
        <v>0</v>
      </c>
      <c r="O64" s="44">
        <f>'C'!AI235</f>
        <v>0</v>
      </c>
      <c r="P64" s="44">
        <f>'C'!AI259</f>
        <v>0</v>
      </c>
      <c r="Q64" s="44">
        <f>'C'!AI283</f>
        <v>0</v>
      </c>
      <c r="R64" s="40">
        <f t="shared" si="22"/>
        <v>0</v>
      </c>
      <c r="S64" s="45">
        <f t="shared" si="23"/>
        <v>0</v>
      </c>
      <c r="U64" s="44">
        <f>'C'!AH19</f>
        <v>0</v>
      </c>
      <c r="V64" s="44">
        <f>'C'!AH43</f>
        <v>0</v>
      </c>
      <c r="W64" s="44">
        <f>'C'!AH67</f>
        <v>0</v>
      </c>
      <c r="X64" s="44">
        <f>'C'!AH91</f>
        <v>0</v>
      </c>
      <c r="Y64" s="44">
        <f>'C'!AH115</f>
        <v>0</v>
      </c>
      <c r="Z64" s="44">
        <f>'C'!AH139</f>
        <v>0</v>
      </c>
      <c r="AA64" s="44">
        <f>'C'!AH163</f>
        <v>0</v>
      </c>
      <c r="AB64" s="44">
        <f>'C'!AH187</f>
        <v>0</v>
      </c>
      <c r="AC64" s="44">
        <f>'C'!AH211</f>
        <v>0</v>
      </c>
      <c r="AD64" s="44">
        <f>'C'!AH235</f>
        <v>0</v>
      </c>
      <c r="AE64" s="44">
        <f>'C'!AH259</f>
        <v>0</v>
      </c>
      <c r="AF64" s="44">
        <f>'C'!AH283</f>
        <v>0</v>
      </c>
      <c r="AG64" s="16">
        <f t="shared" si="24"/>
        <v>0</v>
      </c>
      <c r="AH64" s="45">
        <f t="shared" si="26"/>
        <v>13</v>
      </c>
    </row>
    <row r="65" spans="1:34" ht="20.100000000000001" hidden="1" customHeight="1">
      <c r="A65" s="18" t="s">
        <v>61</v>
      </c>
      <c r="B65" s="16"/>
      <c r="C65" s="16"/>
      <c r="D65" s="16"/>
      <c r="E65" s="43">
        <f t="shared" si="18"/>
        <v>0</v>
      </c>
      <c r="F65" s="44">
        <f>'C'!AI15</f>
        <v>0</v>
      </c>
      <c r="G65" s="44">
        <f>'C'!AI44</f>
        <v>0</v>
      </c>
      <c r="H65" s="44">
        <f>'C'!AI68</f>
        <v>0</v>
      </c>
      <c r="I65" s="44">
        <f>'C'!AI92</f>
        <v>0</v>
      </c>
      <c r="J65" s="44">
        <f>'C'!AI116</f>
        <v>0</v>
      </c>
      <c r="K65" s="44">
        <f>'C'!AI140</f>
        <v>0</v>
      </c>
      <c r="L65" s="44">
        <f>'C'!AI164</f>
        <v>0</v>
      </c>
      <c r="M65" s="44">
        <f>'C'!AI188</f>
        <v>0</v>
      </c>
      <c r="N65" s="44">
        <f>'C'!AI212</f>
        <v>0</v>
      </c>
      <c r="O65" s="44">
        <f>'C'!AI236</f>
        <v>0</v>
      </c>
      <c r="P65" s="44">
        <f>'C'!AI260</f>
        <v>0</v>
      </c>
      <c r="Q65" s="44">
        <f>'C'!AI284</f>
        <v>0</v>
      </c>
      <c r="R65" s="40">
        <f t="shared" si="22"/>
        <v>0</v>
      </c>
      <c r="S65" s="45">
        <f t="shared" si="23"/>
        <v>0</v>
      </c>
      <c r="U65" s="44">
        <f>'C'!AH20</f>
        <v>0</v>
      </c>
      <c r="V65" s="44">
        <f>'C'!AH44</f>
        <v>0</v>
      </c>
      <c r="W65" s="44">
        <f>'C'!AH68</f>
        <v>0</v>
      </c>
      <c r="X65" s="44">
        <f>'C'!AH92</f>
        <v>0</v>
      </c>
      <c r="Y65" s="44">
        <f>'C'!AH116</f>
        <v>0</v>
      </c>
      <c r="Z65" s="44">
        <f>'C'!AH140</f>
        <v>0</v>
      </c>
      <c r="AA65" s="44">
        <f>'C'!AH164</f>
        <v>0</v>
      </c>
      <c r="AB65" s="44">
        <f>'C'!AH188</f>
        <v>0</v>
      </c>
      <c r="AC65" s="44">
        <f>'C'!AH212</f>
        <v>0</v>
      </c>
      <c r="AD65" s="44">
        <f>'C'!AH236</f>
        <v>0</v>
      </c>
      <c r="AE65" s="44">
        <f>'C'!AH260</f>
        <v>0</v>
      </c>
      <c r="AF65" s="44">
        <f>'C'!AH284</f>
        <v>0</v>
      </c>
      <c r="AG65" s="16">
        <f t="shared" si="24"/>
        <v>0</v>
      </c>
      <c r="AH65" s="45">
        <f t="shared" si="26"/>
        <v>13</v>
      </c>
    </row>
    <row r="66" spans="1:34" ht="20.100000000000001" hidden="1" customHeight="1">
      <c r="A66" s="18" t="s">
        <v>62</v>
      </c>
      <c r="B66" s="16"/>
      <c r="C66" s="16"/>
      <c r="D66" s="16"/>
      <c r="E66" s="43">
        <f t="shared" si="18"/>
        <v>0</v>
      </c>
      <c r="F66" s="44">
        <f>'C'!AI16</f>
        <v>0</v>
      </c>
      <c r="G66" s="44">
        <f>'C'!AI45</f>
        <v>0</v>
      </c>
      <c r="H66" s="44">
        <f>'C'!AI69</f>
        <v>0</v>
      </c>
      <c r="I66" s="44">
        <f>'C'!AI93</f>
        <v>0</v>
      </c>
      <c r="J66" s="44">
        <f>'C'!AI117</f>
        <v>0</v>
      </c>
      <c r="K66" s="44">
        <f>'C'!AI141</f>
        <v>0</v>
      </c>
      <c r="L66" s="44">
        <f>'C'!AI165</f>
        <v>0</v>
      </c>
      <c r="M66" s="44">
        <f>'C'!AI189</f>
        <v>0</v>
      </c>
      <c r="N66" s="44">
        <f>'C'!AI213</f>
        <v>0</v>
      </c>
      <c r="O66" s="44">
        <f>'C'!AI237</f>
        <v>0</v>
      </c>
      <c r="P66" s="44">
        <f>'C'!AI261</f>
        <v>0</v>
      </c>
      <c r="Q66" s="44">
        <f>'C'!AI285</f>
        <v>0</v>
      </c>
      <c r="R66" s="40">
        <f t="shared" si="22"/>
        <v>0</v>
      </c>
      <c r="S66" s="45">
        <f t="shared" si="23"/>
        <v>0</v>
      </c>
      <c r="U66" s="44">
        <f>'C'!AH21</f>
        <v>0</v>
      </c>
      <c r="V66" s="44">
        <f>'C'!AH45</f>
        <v>0</v>
      </c>
      <c r="W66" s="44">
        <f>'C'!AH69</f>
        <v>0</v>
      </c>
      <c r="X66" s="44">
        <f>'C'!AH93</f>
        <v>0</v>
      </c>
      <c r="Y66" s="44">
        <f>'C'!AH117</f>
        <v>0</v>
      </c>
      <c r="Z66" s="44">
        <f>'C'!AH141</f>
        <v>0</v>
      </c>
      <c r="AA66" s="44">
        <f>'C'!AH165</f>
        <v>0</v>
      </c>
      <c r="AB66" s="44">
        <f>'C'!AH189</f>
        <v>0</v>
      </c>
      <c r="AC66" s="44">
        <f>'C'!AH213</f>
        <v>0</v>
      </c>
      <c r="AD66" s="44">
        <f>'C'!AH237</f>
        <v>0</v>
      </c>
      <c r="AE66" s="44">
        <f>'C'!AH261</f>
        <v>0</v>
      </c>
      <c r="AF66" s="44">
        <f>'C'!AH285</f>
        <v>0</v>
      </c>
      <c r="AG66" s="16">
        <f t="shared" si="24"/>
        <v>0</v>
      </c>
      <c r="AH66" s="45">
        <f t="shared" si="26"/>
        <v>13</v>
      </c>
    </row>
    <row r="67" spans="1:34" ht="20.100000000000001" hidden="1" customHeight="1">
      <c r="A67" s="18" t="s">
        <v>63</v>
      </c>
      <c r="B67" s="16"/>
      <c r="C67" s="16"/>
      <c r="D67" s="16"/>
      <c r="E67" s="43">
        <f t="shared" si="18"/>
        <v>0</v>
      </c>
      <c r="F67" s="44">
        <f>'C'!AI17</f>
        <v>0</v>
      </c>
      <c r="G67" s="44">
        <f>'C'!AI46</f>
        <v>0</v>
      </c>
      <c r="H67" s="44">
        <f>'C'!AI70</f>
        <v>0</v>
      </c>
      <c r="I67" s="44">
        <f>'C'!AI94</f>
        <v>0</v>
      </c>
      <c r="J67" s="44">
        <f>'C'!AI118</f>
        <v>0</v>
      </c>
      <c r="K67" s="44">
        <f>'C'!AI142</f>
        <v>0</v>
      </c>
      <c r="L67" s="44">
        <f>'C'!AI166</f>
        <v>0</v>
      </c>
      <c r="M67" s="44">
        <f>'C'!AI190</f>
        <v>0</v>
      </c>
      <c r="N67" s="44">
        <f>'C'!AI214</f>
        <v>0</v>
      </c>
      <c r="O67" s="44">
        <f>'C'!AI238</f>
        <v>0</v>
      </c>
      <c r="P67" s="44">
        <f>'C'!AI262</f>
        <v>0</v>
      </c>
      <c r="Q67" s="44">
        <f>'C'!AI286</f>
        <v>0</v>
      </c>
      <c r="R67" s="40">
        <f t="shared" si="22"/>
        <v>0</v>
      </c>
      <c r="S67" s="45">
        <f t="shared" si="23"/>
        <v>0</v>
      </c>
      <c r="U67" s="44">
        <f>'C'!AH22</f>
        <v>0</v>
      </c>
      <c r="V67" s="44">
        <f>'C'!AH46</f>
        <v>0</v>
      </c>
      <c r="W67" s="44">
        <f>'C'!AH70</f>
        <v>0</v>
      </c>
      <c r="X67" s="44">
        <f>'C'!AH94</f>
        <v>0</v>
      </c>
      <c r="Y67" s="44">
        <f>'C'!AH118</f>
        <v>0</v>
      </c>
      <c r="Z67" s="44">
        <f>'C'!AH142</f>
        <v>0</v>
      </c>
      <c r="AA67" s="44">
        <f>'C'!AH166</f>
        <v>0</v>
      </c>
      <c r="AB67" s="44">
        <f>'C'!AH190</f>
        <v>0</v>
      </c>
      <c r="AC67" s="44">
        <f>'C'!AH214</f>
        <v>0</v>
      </c>
      <c r="AD67" s="44">
        <f>'C'!AH238</f>
        <v>0</v>
      </c>
      <c r="AE67" s="44">
        <f>'C'!AH262</f>
        <v>0</v>
      </c>
      <c r="AF67" s="44">
        <f>'C'!AH286</f>
        <v>0</v>
      </c>
      <c r="AG67" s="16">
        <f t="shared" si="24"/>
        <v>0</v>
      </c>
      <c r="AH67" s="45">
        <f t="shared" si="26"/>
        <v>13</v>
      </c>
    </row>
    <row r="68" spans="1:34" ht="20.100000000000001" hidden="1" customHeight="1">
      <c r="A68" s="18" t="s">
        <v>64</v>
      </c>
      <c r="B68" s="16"/>
      <c r="C68" s="16"/>
      <c r="D68" s="16"/>
      <c r="E68" s="43">
        <f t="shared" si="18"/>
        <v>0</v>
      </c>
      <c r="F68" s="44">
        <f>'C'!AI18</f>
        <v>0</v>
      </c>
      <c r="G68" s="44">
        <f>'C'!AI47</f>
        <v>0</v>
      </c>
      <c r="H68" s="44">
        <f>'C'!AI71</f>
        <v>0</v>
      </c>
      <c r="I68" s="44">
        <f>'C'!AI95</f>
        <v>0</v>
      </c>
      <c r="J68" s="44">
        <f>'C'!AI119</f>
        <v>0</v>
      </c>
      <c r="K68" s="44">
        <f>'C'!AI143</f>
        <v>0</v>
      </c>
      <c r="L68" s="44">
        <f>'C'!AI167</f>
        <v>0</v>
      </c>
      <c r="M68" s="44">
        <f>'C'!AI191</f>
        <v>0</v>
      </c>
      <c r="N68" s="44">
        <f>'C'!AI215</f>
        <v>0</v>
      </c>
      <c r="O68" s="44">
        <f>'C'!AI239</f>
        <v>0</v>
      </c>
      <c r="P68" s="44">
        <f>'C'!AI263</f>
        <v>0</v>
      </c>
      <c r="Q68" s="44">
        <f>'C'!AI287</f>
        <v>0</v>
      </c>
      <c r="R68" s="40">
        <f t="shared" si="22"/>
        <v>0</v>
      </c>
      <c r="S68" s="45">
        <f t="shared" si="23"/>
        <v>0</v>
      </c>
      <c r="U68" s="44">
        <f>'C'!AH23</f>
        <v>0</v>
      </c>
      <c r="V68" s="44">
        <f>'C'!AH47</f>
        <v>0</v>
      </c>
      <c r="W68" s="44">
        <f>'C'!AH71</f>
        <v>0</v>
      </c>
      <c r="X68" s="44">
        <f>'C'!AH95</f>
        <v>0</v>
      </c>
      <c r="Y68" s="44">
        <f>'C'!AH119</f>
        <v>0</v>
      </c>
      <c r="Z68" s="44">
        <f>'C'!AH143</f>
        <v>0</v>
      </c>
      <c r="AA68" s="44">
        <f>'C'!AH167</f>
        <v>0</v>
      </c>
      <c r="AB68" s="44">
        <f>'C'!AH191</f>
        <v>0</v>
      </c>
      <c r="AC68" s="44">
        <f>'C'!AH215</f>
        <v>0</v>
      </c>
      <c r="AD68" s="44">
        <f>'C'!AH239</f>
        <v>0</v>
      </c>
      <c r="AE68" s="44">
        <f>'C'!AH263</f>
        <v>0</v>
      </c>
      <c r="AF68" s="44">
        <f>'C'!AH287</f>
        <v>0</v>
      </c>
      <c r="AG68" s="16">
        <f t="shared" si="24"/>
        <v>0</v>
      </c>
      <c r="AH68" s="45">
        <f t="shared" si="26"/>
        <v>13</v>
      </c>
    </row>
    <row r="69" spans="1:34" ht="20.100000000000001" customHeight="1"/>
    <row r="70" spans="1:34" ht="20.100000000000001" customHeight="1">
      <c r="A70" s="86" t="s">
        <v>40</v>
      </c>
      <c r="B70" s="85" t="s">
        <v>21</v>
      </c>
      <c r="C70" s="85">
        <v>2020</v>
      </c>
      <c r="D70" s="87" t="s">
        <v>41</v>
      </c>
      <c r="E70" s="39" t="s">
        <v>22</v>
      </c>
      <c r="F70" s="40" t="s">
        <v>23</v>
      </c>
      <c r="G70" s="40" t="s">
        <v>25</v>
      </c>
      <c r="H70" s="40" t="s">
        <v>27</v>
      </c>
      <c r="I70" s="40" t="s">
        <v>29</v>
      </c>
      <c r="J70" s="40" t="s">
        <v>30</v>
      </c>
      <c r="K70" s="40" t="s">
        <v>32</v>
      </c>
      <c r="L70" s="40" t="s">
        <v>33</v>
      </c>
      <c r="M70" s="40" t="s">
        <v>34</v>
      </c>
      <c r="N70" s="40" t="s">
        <v>35</v>
      </c>
      <c r="O70" s="40" t="s">
        <v>2</v>
      </c>
      <c r="P70" s="40" t="s">
        <v>36</v>
      </c>
      <c r="Q70" s="40" t="s">
        <v>37</v>
      </c>
      <c r="R70" s="85" t="s">
        <v>39</v>
      </c>
      <c r="S70" s="41" t="s">
        <v>38</v>
      </c>
      <c r="U70" s="40" t="s">
        <v>23</v>
      </c>
      <c r="V70" s="40" t="s">
        <v>24</v>
      </c>
      <c r="W70" s="40" t="s">
        <v>26</v>
      </c>
      <c r="X70" s="40" t="s">
        <v>28</v>
      </c>
      <c r="Y70" s="40" t="s">
        <v>1</v>
      </c>
      <c r="Z70" s="40" t="s">
        <v>31</v>
      </c>
      <c r="AA70" s="40" t="s">
        <v>33</v>
      </c>
      <c r="AB70" s="40" t="s">
        <v>34</v>
      </c>
      <c r="AC70" s="40" t="s">
        <v>35</v>
      </c>
      <c r="AD70" s="40" t="s">
        <v>2</v>
      </c>
      <c r="AE70" s="40" t="s">
        <v>36</v>
      </c>
      <c r="AF70" s="40" t="s">
        <v>37</v>
      </c>
      <c r="AG70" s="85" t="s">
        <v>18</v>
      </c>
      <c r="AH70" s="41" t="s">
        <v>38</v>
      </c>
    </row>
    <row r="71" spans="1:34" ht="20.100000000000001" customHeight="1">
      <c r="A71" s="86"/>
      <c r="B71" s="85"/>
      <c r="C71" s="85"/>
      <c r="D71" s="87"/>
      <c r="E71" s="39"/>
      <c r="F71" s="40" t="s">
        <v>20</v>
      </c>
      <c r="G71" s="40" t="s">
        <v>20</v>
      </c>
      <c r="H71" s="40" t="s">
        <v>20</v>
      </c>
      <c r="I71" s="40" t="s">
        <v>20</v>
      </c>
      <c r="J71" s="40" t="s">
        <v>20</v>
      </c>
      <c r="K71" s="40" t="s">
        <v>20</v>
      </c>
      <c r="L71" s="40" t="s">
        <v>20</v>
      </c>
      <c r="M71" s="40" t="s">
        <v>20</v>
      </c>
      <c r="N71" s="40" t="s">
        <v>20</v>
      </c>
      <c r="O71" s="40" t="s">
        <v>20</v>
      </c>
      <c r="P71" s="40" t="s">
        <v>20</v>
      </c>
      <c r="Q71" s="40" t="s">
        <v>20</v>
      </c>
      <c r="R71" s="85"/>
      <c r="S71" s="41" t="s">
        <v>20</v>
      </c>
      <c r="U71" s="40" t="s">
        <v>18</v>
      </c>
      <c r="V71" s="40" t="s">
        <v>18</v>
      </c>
      <c r="W71" s="40" t="s">
        <v>18</v>
      </c>
      <c r="X71" s="40" t="s">
        <v>18</v>
      </c>
      <c r="Y71" s="40" t="s">
        <v>18</v>
      </c>
      <c r="Z71" s="40" t="s">
        <v>18</v>
      </c>
      <c r="AA71" s="40" t="s">
        <v>18</v>
      </c>
      <c r="AB71" s="40" t="s">
        <v>18</v>
      </c>
      <c r="AC71" s="40" t="s">
        <v>18</v>
      </c>
      <c r="AD71" s="40" t="s">
        <v>18</v>
      </c>
      <c r="AE71" s="40" t="s">
        <v>18</v>
      </c>
      <c r="AF71" s="40" t="s">
        <v>18</v>
      </c>
      <c r="AG71" s="85"/>
      <c r="AH71" s="41" t="s">
        <v>18</v>
      </c>
    </row>
    <row r="72" spans="1:34" ht="20.100000000000001" customHeight="1">
      <c r="A72" s="18" t="s">
        <v>78</v>
      </c>
      <c r="B72" s="16"/>
      <c r="C72" s="16">
        <v>22</v>
      </c>
      <c r="D72" s="16"/>
      <c r="E72" s="43">
        <f t="shared" ref="E72:E91" si="27">SUM(B72:D72)</f>
        <v>22</v>
      </c>
      <c r="F72" s="44">
        <f>D!AI4</f>
        <v>0</v>
      </c>
      <c r="G72" s="44">
        <f>D!AI28</f>
        <v>2</v>
      </c>
      <c r="H72" s="44">
        <f>D!AI52</f>
        <v>0</v>
      </c>
      <c r="I72" s="44">
        <f>D!AI76</f>
        <v>1</v>
      </c>
      <c r="J72" s="44">
        <f>D!AI100</f>
        <v>0</v>
      </c>
      <c r="K72" s="44">
        <f>D!AI124</f>
        <v>0</v>
      </c>
      <c r="L72" s="44">
        <f>D!AI148</f>
        <v>0</v>
      </c>
      <c r="M72" s="44">
        <f>D!AI172</f>
        <v>0</v>
      </c>
      <c r="N72" s="44">
        <f>D!AI196</f>
        <v>0</v>
      </c>
      <c r="O72" s="44">
        <f>D!AI220</f>
        <v>0</v>
      </c>
      <c r="P72" s="44">
        <f>D!AI244</f>
        <v>0</v>
      </c>
      <c r="Q72" s="44">
        <f>D!AI268</f>
        <v>0</v>
      </c>
      <c r="R72" s="40">
        <f t="shared" ref="R72" si="28">SUM(F72+G72+H72+I72+J72+K72+L72+M72+N72+O72+P72+Q72)</f>
        <v>3</v>
      </c>
      <c r="S72" s="45">
        <f t="shared" ref="S72" si="29">SUM(E72-R72)</f>
        <v>19</v>
      </c>
      <c r="U72" s="44">
        <f>D!AH4</f>
        <v>1</v>
      </c>
      <c r="V72" s="44">
        <f>D!AH28</f>
        <v>1</v>
      </c>
      <c r="W72" s="44">
        <f>D!AH52</f>
        <v>1</v>
      </c>
      <c r="X72" s="44">
        <f>D!AH76</f>
        <v>1</v>
      </c>
      <c r="Y72" s="44">
        <f>D!AH100</f>
        <v>0</v>
      </c>
      <c r="Z72" s="44">
        <f>D!AH124</f>
        <v>0</v>
      </c>
      <c r="AA72" s="44">
        <f>D!AH148</f>
        <v>0</v>
      </c>
      <c r="AB72" s="44">
        <f>D!AH172</f>
        <v>0</v>
      </c>
      <c r="AC72" s="44">
        <f>D!AH196</f>
        <v>0</v>
      </c>
      <c r="AD72" s="44">
        <f>D!AH220</f>
        <v>0</v>
      </c>
      <c r="AE72" s="44">
        <f>D!AH244</f>
        <v>0</v>
      </c>
      <c r="AF72" s="44">
        <f>D!AH268</f>
        <v>0</v>
      </c>
      <c r="AG72" s="16">
        <f t="shared" ref="AG72" si="30">SUM(U72+V72+W72+X72+Y72+Z72+AA72+AB72+AC72+AD72+AE72+AF72)</f>
        <v>4</v>
      </c>
      <c r="AH72" s="45">
        <f>SUM(16-AG72)</f>
        <v>12</v>
      </c>
    </row>
    <row r="73" spans="1:34" ht="20.100000000000001" customHeight="1">
      <c r="A73" s="18" t="s">
        <v>98</v>
      </c>
      <c r="B73" s="16"/>
      <c r="C73" s="16">
        <v>29</v>
      </c>
      <c r="D73" s="16">
        <v>4</v>
      </c>
      <c r="E73" s="43">
        <f t="shared" si="27"/>
        <v>33</v>
      </c>
      <c r="F73" s="44">
        <f>D!AI5</f>
        <v>0</v>
      </c>
      <c r="G73" s="44">
        <f>D!AI29</f>
        <v>0</v>
      </c>
      <c r="H73" s="44">
        <f>D!AI53</f>
        <v>1</v>
      </c>
      <c r="I73" s="44">
        <f>D!AI77</f>
        <v>0</v>
      </c>
      <c r="J73" s="44">
        <f>D!AI101</f>
        <v>0</v>
      </c>
      <c r="K73" s="44">
        <f>D!AI125</f>
        <v>0</v>
      </c>
      <c r="L73" s="44">
        <f>D!AI149</f>
        <v>0</v>
      </c>
      <c r="M73" s="44">
        <f>D!AI173</f>
        <v>0</v>
      </c>
      <c r="N73" s="44">
        <f>D!AI197</f>
        <v>0</v>
      </c>
      <c r="O73" s="44">
        <f>D!AI221</f>
        <v>0</v>
      </c>
      <c r="P73" s="44">
        <f>D!AI245</f>
        <v>0</v>
      </c>
      <c r="Q73" s="44">
        <f>D!AI269</f>
        <v>0</v>
      </c>
      <c r="R73" s="40">
        <f t="shared" ref="R73:R91" si="31">SUM(F73+G73+H73+I73+J73+K73+L73+M73+N73+O73+P73+Q73)</f>
        <v>1</v>
      </c>
      <c r="S73" s="45">
        <f t="shared" ref="S73:S91" si="32">SUM(E73-R73)</f>
        <v>32</v>
      </c>
      <c r="U73" s="44">
        <f>D!AH5</f>
        <v>1</v>
      </c>
      <c r="V73" s="44">
        <f>D!AH29</f>
        <v>3</v>
      </c>
      <c r="W73" s="44">
        <f>D!AH53</f>
        <v>1</v>
      </c>
      <c r="X73" s="44">
        <f>D!AH77</f>
        <v>1</v>
      </c>
      <c r="Y73" s="44">
        <f>D!AH101</f>
        <v>0</v>
      </c>
      <c r="Z73" s="44">
        <f>D!AH125</f>
        <v>0</v>
      </c>
      <c r="AA73" s="44">
        <f>D!AH149</f>
        <v>0</v>
      </c>
      <c r="AB73" s="44">
        <f>D!AH173</f>
        <v>0</v>
      </c>
      <c r="AC73" s="44">
        <f>D!AH197</f>
        <v>0</v>
      </c>
      <c r="AD73" s="44">
        <f>D!AH221</f>
        <v>0</v>
      </c>
      <c r="AE73" s="44">
        <f>D!AH245</f>
        <v>0</v>
      </c>
      <c r="AF73" s="44">
        <f>D!AH269</f>
        <v>0</v>
      </c>
      <c r="AG73" s="16">
        <f t="shared" ref="AG73:AG91" si="33">SUM(U73+V73+W73+X73+Y73+Z73+AA73+AB73+AC73+AD73+AE73+AF73)</f>
        <v>6</v>
      </c>
      <c r="AH73" s="45">
        <f t="shared" ref="AH73:AH79" si="34">SUM(16-AG73)</f>
        <v>10</v>
      </c>
    </row>
    <row r="74" spans="1:34" ht="20.100000000000001" customHeight="1">
      <c r="A74" s="18" t="s">
        <v>99</v>
      </c>
      <c r="B74" s="16"/>
      <c r="C74" s="16">
        <v>30</v>
      </c>
      <c r="D74" s="16"/>
      <c r="E74" s="43">
        <f t="shared" si="27"/>
        <v>30</v>
      </c>
      <c r="F74" s="44">
        <f>D!AI6</f>
        <v>0</v>
      </c>
      <c r="G74" s="44">
        <f>D!AI30</f>
        <v>1</v>
      </c>
      <c r="H74" s="44">
        <f>D!AI54</f>
        <v>0</v>
      </c>
      <c r="I74" s="44">
        <f>D!AI78</f>
        <v>1</v>
      </c>
      <c r="J74" s="44">
        <f>D!AI102</f>
        <v>0</v>
      </c>
      <c r="K74" s="44">
        <f>D!AI126</f>
        <v>0</v>
      </c>
      <c r="L74" s="44">
        <f>D!AI150</f>
        <v>0</v>
      </c>
      <c r="M74" s="44">
        <f>D!AI174</f>
        <v>0</v>
      </c>
      <c r="N74" s="44">
        <f>D!AI198</f>
        <v>0</v>
      </c>
      <c r="O74" s="44">
        <f>D!AI222</f>
        <v>0</v>
      </c>
      <c r="P74" s="44">
        <f>D!AI246</f>
        <v>0</v>
      </c>
      <c r="Q74" s="44">
        <f>D!AI270</f>
        <v>0</v>
      </c>
      <c r="R74" s="40">
        <f t="shared" si="31"/>
        <v>2</v>
      </c>
      <c r="S74" s="45">
        <f t="shared" si="32"/>
        <v>28</v>
      </c>
      <c r="U74" s="44">
        <f>D!AH6</f>
        <v>1</v>
      </c>
      <c r="V74" s="44">
        <f>D!AH30</f>
        <v>1</v>
      </c>
      <c r="W74" s="44">
        <f>D!AH54</f>
        <v>1</v>
      </c>
      <c r="X74" s="44">
        <f>D!AH78</f>
        <v>1</v>
      </c>
      <c r="Y74" s="44">
        <f>D!AH102</f>
        <v>0</v>
      </c>
      <c r="Z74" s="44">
        <f>D!AH126</f>
        <v>0</v>
      </c>
      <c r="AA74" s="44">
        <f>D!AH150</f>
        <v>0</v>
      </c>
      <c r="AB74" s="44">
        <f>D!AH174</f>
        <v>0</v>
      </c>
      <c r="AC74" s="44">
        <f>D!AH198</f>
        <v>0</v>
      </c>
      <c r="AD74" s="44">
        <f>D!AH222</f>
        <v>0</v>
      </c>
      <c r="AE74" s="44">
        <f>D!AH246</f>
        <v>0</v>
      </c>
      <c r="AF74" s="44">
        <f>D!AH270</f>
        <v>0</v>
      </c>
      <c r="AG74" s="16">
        <f t="shared" si="33"/>
        <v>4</v>
      </c>
      <c r="AH74" s="45">
        <f t="shared" si="34"/>
        <v>12</v>
      </c>
    </row>
    <row r="75" spans="1:34" ht="20.100000000000001" customHeight="1">
      <c r="A75" s="18" t="s">
        <v>100</v>
      </c>
      <c r="B75" s="16"/>
      <c r="C75" s="16">
        <v>30</v>
      </c>
      <c r="D75" s="16"/>
      <c r="E75" s="43">
        <f t="shared" si="27"/>
        <v>30</v>
      </c>
      <c r="F75" s="44">
        <f>D!AI7</f>
        <v>1</v>
      </c>
      <c r="G75" s="44">
        <f>D!AI31</f>
        <v>0</v>
      </c>
      <c r="H75" s="44">
        <f>D!AI55</f>
        <v>0</v>
      </c>
      <c r="I75" s="44">
        <f>D!AI79</f>
        <v>0</v>
      </c>
      <c r="J75" s="44">
        <f>D!AI103</f>
        <v>0</v>
      </c>
      <c r="K75" s="44">
        <f>D!AI127</f>
        <v>0</v>
      </c>
      <c r="L75" s="44">
        <f>D!AI151</f>
        <v>0</v>
      </c>
      <c r="M75" s="44">
        <f>D!AI175</f>
        <v>0</v>
      </c>
      <c r="N75" s="44">
        <f>D!AI199</f>
        <v>0</v>
      </c>
      <c r="O75" s="44">
        <f>D!AI223</f>
        <v>0</v>
      </c>
      <c r="P75" s="44">
        <f>D!AI247</f>
        <v>0</v>
      </c>
      <c r="Q75" s="44">
        <f>D!AI271</f>
        <v>0</v>
      </c>
      <c r="R75" s="40">
        <f t="shared" si="31"/>
        <v>1</v>
      </c>
      <c r="S75" s="45">
        <f t="shared" si="32"/>
        <v>29</v>
      </c>
      <c r="U75" s="44">
        <f>D!AH7</f>
        <v>1</v>
      </c>
      <c r="V75" s="44">
        <f>D!AH31</f>
        <v>1</v>
      </c>
      <c r="W75" s="44">
        <f>D!AH55</f>
        <v>0</v>
      </c>
      <c r="X75" s="44">
        <f>D!AH79</f>
        <v>1</v>
      </c>
      <c r="Y75" s="44">
        <f>D!AH103</f>
        <v>0</v>
      </c>
      <c r="Z75" s="44">
        <f>D!AH127</f>
        <v>0</v>
      </c>
      <c r="AA75" s="44">
        <f>D!AH151</f>
        <v>0</v>
      </c>
      <c r="AB75" s="44">
        <f>D!AH175</f>
        <v>0</v>
      </c>
      <c r="AC75" s="44">
        <f>D!AH199</f>
        <v>0</v>
      </c>
      <c r="AD75" s="44">
        <f>D!AH223</f>
        <v>0</v>
      </c>
      <c r="AE75" s="44">
        <f>D!AH247</f>
        <v>0</v>
      </c>
      <c r="AF75" s="44">
        <f>D!AH271</f>
        <v>0</v>
      </c>
      <c r="AG75" s="16">
        <f t="shared" si="33"/>
        <v>3</v>
      </c>
      <c r="AH75" s="45">
        <f t="shared" si="34"/>
        <v>13</v>
      </c>
    </row>
    <row r="76" spans="1:34" ht="20.100000000000001" customHeight="1">
      <c r="A76" s="18" t="s">
        <v>101</v>
      </c>
      <c r="B76" s="16"/>
      <c r="C76" s="16">
        <v>25</v>
      </c>
      <c r="D76" s="16"/>
      <c r="E76" s="43">
        <f t="shared" si="27"/>
        <v>25</v>
      </c>
      <c r="F76" s="44">
        <f>D!AI8</f>
        <v>0</v>
      </c>
      <c r="G76" s="44">
        <f>D!AI32</f>
        <v>1</v>
      </c>
      <c r="H76" s="44">
        <f>D!AI56</f>
        <v>0</v>
      </c>
      <c r="I76" s="44">
        <f>D!AI80</f>
        <v>0</v>
      </c>
      <c r="J76" s="44">
        <f>D!AI104</f>
        <v>0</v>
      </c>
      <c r="K76" s="44">
        <f>D!AI128</f>
        <v>0</v>
      </c>
      <c r="L76" s="44">
        <f>D!AI152</f>
        <v>0</v>
      </c>
      <c r="M76" s="44">
        <f>D!AI176</f>
        <v>0</v>
      </c>
      <c r="N76" s="44">
        <f>D!AI200</f>
        <v>0</v>
      </c>
      <c r="O76" s="44">
        <f>D!AI224</f>
        <v>0</v>
      </c>
      <c r="P76" s="44">
        <f>D!AI248</f>
        <v>0</v>
      </c>
      <c r="Q76" s="44">
        <f>D!AI272</f>
        <v>0</v>
      </c>
      <c r="R76" s="40">
        <f t="shared" si="31"/>
        <v>1</v>
      </c>
      <c r="S76" s="45">
        <f t="shared" si="32"/>
        <v>24</v>
      </c>
      <c r="U76" s="44">
        <f>D!AH8</f>
        <v>1</v>
      </c>
      <c r="V76" s="44">
        <f>D!AH32</f>
        <v>1</v>
      </c>
      <c r="W76" s="44">
        <f>D!AH56</f>
        <v>1</v>
      </c>
      <c r="X76" s="44">
        <f>D!AH80</f>
        <v>1</v>
      </c>
      <c r="Y76" s="44">
        <f>D!AH104</f>
        <v>0</v>
      </c>
      <c r="Z76" s="44">
        <f>D!AH128</f>
        <v>0</v>
      </c>
      <c r="AA76" s="44">
        <f>D!AH152</f>
        <v>0</v>
      </c>
      <c r="AB76" s="44">
        <f>D!AH176</f>
        <v>0</v>
      </c>
      <c r="AC76" s="44">
        <f>D!AH200</f>
        <v>0</v>
      </c>
      <c r="AD76" s="44">
        <f>D!AH224</f>
        <v>0</v>
      </c>
      <c r="AE76" s="44">
        <f>D!AH248</f>
        <v>0</v>
      </c>
      <c r="AF76" s="44">
        <f>D!AH272</f>
        <v>0</v>
      </c>
      <c r="AG76" s="16">
        <f t="shared" si="33"/>
        <v>4</v>
      </c>
      <c r="AH76" s="45">
        <f t="shared" si="34"/>
        <v>12</v>
      </c>
    </row>
    <row r="77" spans="1:34" ht="20.100000000000001" customHeight="1">
      <c r="A77" s="18" t="s">
        <v>102</v>
      </c>
      <c r="B77" s="16"/>
      <c r="C77" s="16">
        <v>25</v>
      </c>
      <c r="D77" s="16">
        <v>2</v>
      </c>
      <c r="E77" s="43">
        <f t="shared" si="27"/>
        <v>27</v>
      </c>
      <c r="F77" s="44">
        <f>D!AI9</f>
        <v>0</v>
      </c>
      <c r="G77" s="44">
        <f>D!AI33</f>
        <v>1</v>
      </c>
      <c r="H77" s="44">
        <f>D!AI57</f>
        <v>2</v>
      </c>
      <c r="I77" s="44">
        <f>D!AI81</f>
        <v>2</v>
      </c>
      <c r="J77" s="44">
        <f>D!AI105</f>
        <v>0</v>
      </c>
      <c r="K77" s="44">
        <f>D!AI129</f>
        <v>0</v>
      </c>
      <c r="L77" s="44">
        <f>D!AI153</f>
        <v>0</v>
      </c>
      <c r="M77" s="44">
        <f>D!AI177</f>
        <v>0</v>
      </c>
      <c r="N77" s="44">
        <f>D!AI201</f>
        <v>0</v>
      </c>
      <c r="O77" s="44">
        <f>D!AI225</f>
        <v>0</v>
      </c>
      <c r="P77" s="44">
        <f>D!AI249</f>
        <v>0</v>
      </c>
      <c r="Q77" s="44">
        <f>D!AI273</f>
        <v>0</v>
      </c>
      <c r="R77" s="40">
        <f t="shared" si="31"/>
        <v>5</v>
      </c>
      <c r="S77" s="45">
        <f t="shared" si="32"/>
        <v>22</v>
      </c>
      <c r="U77" s="44">
        <f>D!AH9</f>
        <v>1</v>
      </c>
      <c r="V77" s="44">
        <f>D!AH33</f>
        <v>1</v>
      </c>
      <c r="W77" s="44">
        <f>D!AH57</f>
        <v>1</v>
      </c>
      <c r="X77" s="44">
        <f>D!AH81</f>
        <v>1</v>
      </c>
      <c r="Y77" s="44">
        <f>D!AH105</f>
        <v>0</v>
      </c>
      <c r="Z77" s="44">
        <f>D!AH129</f>
        <v>0</v>
      </c>
      <c r="AA77" s="44">
        <f>D!AH153</f>
        <v>0</v>
      </c>
      <c r="AB77" s="44">
        <f>D!AH177</f>
        <v>0</v>
      </c>
      <c r="AC77" s="44">
        <f>D!AH201</f>
        <v>0</v>
      </c>
      <c r="AD77" s="44">
        <f>D!AH225</f>
        <v>0</v>
      </c>
      <c r="AE77" s="44">
        <f>D!AH249</f>
        <v>0</v>
      </c>
      <c r="AF77" s="44">
        <f>D!AH273</f>
        <v>0</v>
      </c>
      <c r="AG77" s="16">
        <f t="shared" si="33"/>
        <v>4</v>
      </c>
      <c r="AH77" s="45">
        <f t="shared" si="34"/>
        <v>12</v>
      </c>
    </row>
    <row r="78" spans="1:34" ht="20.100000000000001" customHeight="1">
      <c r="A78" s="18" t="s">
        <v>103</v>
      </c>
      <c r="B78" s="16"/>
      <c r="C78" s="16">
        <v>30</v>
      </c>
      <c r="D78" s="16">
        <v>2</v>
      </c>
      <c r="E78" s="43">
        <f t="shared" si="27"/>
        <v>32</v>
      </c>
      <c r="F78" s="44">
        <f>D!AI10</f>
        <v>0</v>
      </c>
      <c r="G78" s="44">
        <f>D!AI34</f>
        <v>1</v>
      </c>
      <c r="H78" s="44">
        <f>D!AI58</f>
        <v>0</v>
      </c>
      <c r="I78" s="44">
        <f>D!AI82</f>
        <v>0</v>
      </c>
      <c r="J78" s="44">
        <f>D!AI106</f>
        <v>1</v>
      </c>
      <c r="K78" s="44">
        <f>D!AI130</f>
        <v>0</v>
      </c>
      <c r="L78" s="44">
        <f>D!AI154</f>
        <v>2</v>
      </c>
      <c r="M78" s="44">
        <f>D!AI178</f>
        <v>0</v>
      </c>
      <c r="N78" s="44">
        <f>D!AI202</f>
        <v>0</v>
      </c>
      <c r="O78" s="44">
        <f>D!AI226</f>
        <v>0</v>
      </c>
      <c r="P78" s="44">
        <f>D!AI250</f>
        <v>0</v>
      </c>
      <c r="Q78" s="44">
        <f>D!AI274</f>
        <v>0</v>
      </c>
      <c r="R78" s="40">
        <f t="shared" si="31"/>
        <v>4</v>
      </c>
      <c r="S78" s="45">
        <f t="shared" si="32"/>
        <v>28</v>
      </c>
      <c r="U78" s="44">
        <f>D!AH10</f>
        <v>0</v>
      </c>
      <c r="V78" s="44">
        <f>D!AH34</f>
        <v>2</v>
      </c>
      <c r="W78" s="44">
        <f>D!AH58</f>
        <v>2</v>
      </c>
      <c r="X78" s="44">
        <f>D!AH82</f>
        <v>1</v>
      </c>
      <c r="Y78" s="44">
        <f>D!AH106</f>
        <v>1</v>
      </c>
      <c r="Z78" s="44">
        <f>D!AH130</f>
        <v>0</v>
      </c>
      <c r="AA78" s="44">
        <f>D!AH154</f>
        <v>2</v>
      </c>
      <c r="AB78" s="44">
        <f>D!AH178</f>
        <v>0</v>
      </c>
      <c r="AC78" s="44">
        <f>D!AH202</f>
        <v>0</v>
      </c>
      <c r="AD78" s="44">
        <f>D!AH226</f>
        <v>0</v>
      </c>
      <c r="AE78" s="44">
        <f>D!AH250</f>
        <v>0</v>
      </c>
      <c r="AF78" s="44">
        <f>D!AH274</f>
        <v>0</v>
      </c>
      <c r="AG78" s="16">
        <f t="shared" si="33"/>
        <v>8</v>
      </c>
      <c r="AH78" s="45">
        <f t="shared" si="34"/>
        <v>8</v>
      </c>
    </row>
    <row r="79" spans="1:34" ht="20.100000000000001" customHeight="1">
      <c r="A79" s="18" t="s">
        <v>76</v>
      </c>
      <c r="B79" s="16"/>
      <c r="C79" s="16">
        <v>28</v>
      </c>
      <c r="D79" s="16">
        <v>4</v>
      </c>
      <c r="E79" s="43">
        <f t="shared" si="27"/>
        <v>32</v>
      </c>
      <c r="F79" s="44">
        <f>D!AI11</f>
        <v>0</v>
      </c>
      <c r="G79" s="44">
        <f>D!AI35</f>
        <v>0</v>
      </c>
      <c r="H79" s="44">
        <f>D!AI59</f>
        <v>0</v>
      </c>
      <c r="I79" s="44">
        <f>D!AI83</f>
        <v>0</v>
      </c>
      <c r="J79" s="44">
        <f>D!AI107</f>
        <v>0</v>
      </c>
      <c r="K79" s="44">
        <f>D!AI131</f>
        <v>0</v>
      </c>
      <c r="L79" s="44">
        <f>D!AI155</f>
        <v>0</v>
      </c>
      <c r="M79" s="44">
        <f>D!AI179</f>
        <v>0</v>
      </c>
      <c r="N79" s="44">
        <f>D!AI203</f>
        <v>0</v>
      </c>
      <c r="O79" s="44">
        <f>D!AI227</f>
        <v>0</v>
      </c>
      <c r="P79" s="44">
        <f>D!AI251</f>
        <v>0</v>
      </c>
      <c r="Q79" s="44">
        <f>D!AI275</f>
        <v>0</v>
      </c>
      <c r="R79" s="40">
        <f t="shared" si="31"/>
        <v>0</v>
      </c>
      <c r="S79" s="45">
        <f t="shared" si="32"/>
        <v>32</v>
      </c>
      <c r="U79" s="44">
        <f>D!AH11</f>
        <v>1</v>
      </c>
      <c r="V79" s="44">
        <f>D!AH35</f>
        <v>0</v>
      </c>
      <c r="W79" s="44">
        <f>D!AH59</f>
        <v>0</v>
      </c>
      <c r="X79" s="44">
        <f>D!AH83</f>
        <v>0</v>
      </c>
      <c r="Y79" s="44">
        <f>D!AH107</f>
        <v>0</v>
      </c>
      <c r="Z79" s="44">
        <f>D!AH131</f>
        <v>0</v>
      </c>
      <c r="AA79" s="44">
        <f>D!AH155</f>
        <v>0</v>
      </c>
      <c r="AB79" s="44">
        <f>D!AH179</f>
        <v>0</v>
      </c>
      <c r="AC79" s="44">
        <f>D!AH203</f>
        <v>0</v>
      </c>
      <c r="AD79" s="44">
        <f>D!AH227</f>
        <v>0</v>
      </c>
      <c r="AE79" s="44">
        <f>D!AH251</f>
        <v>0</v>
      </c>
      <c r="AF79" s="44">
        <f>D!AH275</f>
        <v>0</v>
      </c>
      <c r="AG79" s="16">
        <f t="shared" si="33"/>
        <v>1</v>
      </c>
      <c r="AH79" s="45">
        <f t="shared" si="34"/>
        <v>15</v>
      </c>
    </row>
    <row r="80" spans="1:34" ht="20.100000000000001" hidden="1" customHeight="1">
      <c r="A80" s="18" t="s">
        <v>49</v>
      </c>
      <c r="B80" s="16"/>
      <c r="C80" s="16"/>
      <c r="D80" s="16"/>
      <c r="E80" s="43">
        <f t="shared" si="27"/>
        <v>0</v>
      </c>
      <c r="F80" s="44">
        <f>D!AI12</f>
        <v>0</v>
      </c>
      <c r="G80" s="44">
        <f>D!AI36</f>
        <v>0</v>
      </c>
      <c r="H80" s="44">
        <f>D!AI60</f>
        <v>0</v>
      </c>
      <c r="I80" s="44">
        <f>D!AI84</f>
        <v>0</v>
      </c>
      <c r="J80" s="44">
        <f>D!AI108</f>
        <v>0</v>
      </c>
      <c r="K80" s="44">
        <f>D!AI132</f>
        <v>0</v>
      </c>
      <c r="L80" s="44">
        <f>D!AI156</f>
        <v>0</v>
      </c>
      <c r="M80" s="44">
        <f>D!AI180</f>
        <v>0</v>
      </c>
      <c r="N80" s="44">
        <f>D!AI204</f>
        <v>0</v>
      </c>
      <c r="O80" s="44">
        <f>D!AI228</f>
        <v>0</v>
      </c>
      <c r="P80" s="44">
        <f>D!AI252</f>
        <v>0</v>
      </c>
      <c r="Q80" s="44">
        <f>D!AI276</f>
        <v>0</v>
      </c>
      <c r="R80" s="40">
        <f t="shared" si="31"/>
        <v>0</v>
      </c>
      <c r="S80" s="45">
        <f t="shared" si="32"/>
        <v>0</v>
      </c>
      <c r="U80" s="44">
        <f>D!AH12</f>
        <v>0</v>
      </c>
      <c r="V80" s="44">
        <f>D!AH36</f>
        <v>0</v>
      </c>
      <c r="W80" s="44">
        <f>D!AH60</f>
        <v>0</v>
      </c>
      <c r="X80" s="44">
        <f>D!AH84</f>
        <v>0</v>
      </c>
      <c r="Y80" s="44">
        <f>D!AH108</f>
        <v>0</v>
      </c>
      <c r="Z80" s="44">
        <f>D!AH132</f>
        <v>0</v>
      </c>
      <c r="AA80" s="44">
        <f>D!AH156</f>
        <v>0</v>
      </c>
      <c r="AB80" s="44">
        <f>D!AH180</f>
        <v>0</v>
      </c>
      <c r="AC80" s="44">
        <f>D!AH204</f>
        <v>0</v>
      </c>
      <c r="AD80" s="44">
        <f>D!AH228</f>
        <v>0</v>
      </c>
      <c r="AE80" s="44">
        <f>D!AH252</f>
        <v>0</v>
      </c>
      <c r="AF80" s="44">
        <f>D!AH276</f>
        <v>0</v>
      </c>
      <c r="AG80" s="16">
        <f t="shared" si="33"/>
        <v>0</v>
      </c>
      <c r="AH80" s="45">
        <f t="shared" ref="AH80:AH91" si="35">SUM(13-AG80)</f>
        <v>13</v>
      </c>
    </row>
    <row r="81" spans="1:34" ht="20.100000000000001" hidden="1" customHeight="1">
      <c r="A81" s="18" t="s">
        <v>44</v>
      </c>
      <c r="B81" s="16"/>
      <c r="C81" s="16"/>
      <c r="D81" s="16"/>
      <c r="E81" s="43">
        <f t="shared" si="27"/>
        <v>0</v>
      </c>
      <c r="F81" s="44">
        <f>D!AI13</f>
        <v>0</v>
      </c>
      <c r="G81" s="44">
        <f>D!AI37</f>
        <v>0</v>
      </c>
      <c r="H81" s="44">
        <f>D!AI61</f>
        <v>0</v>
      </c>
      <c r="I81" s="44">
        <f>D!AI85</f>
        <v>0</v>
      </c>
      <c r="J81" s="44">
        <f>D!AI109</f>
        <v>0</v>
      </c>
      <c r="K81" s="44">
        <f>D!AI133</f>
        <v>0</v>
      </c>
      <c r="L81" s="44">
        <f>D!AI157</f>
        <v>0</v>
      </c>
      <c r="M81" s="44">
        <f>D!AI181</f>
        <v>0</v>
      </c>
      <c r="N81" s="44">
        <f>D!AI205</f>
        <v>0</v>
      </c>
      <c r="O81" s="44">
        <f>D!AI229</f>
        <v>0</v>
      </c>
      <c r="P81" s="44">
        <f>D!AI253</f>
        <v>0</v>
      </c>
      <c r="Q81" s="44">
        <f>D!AI277</f>
        <v>0</v>
      </c>
      <c r="R81" s="40">
        <f t="shared" si="31"/>
        <v>0</v>
      </c>
      <c r="S81" s="45">
        <f t="shared" si="32"/>
        <v>0</v>
      </c>
      <c r="U81" s="44">
        <f>D!AH13</f>
        <v>0</v>
      </c>
      <c r="V81" s="44">
        <f>D!AH37</f>
        <v>0</v>
      </c>
      <c r="W81" s="44">
        <f>D!AH61</f>
        <v>0</v>
      </c>
      <c r="X81" s="44">
        <f>D!AH85</f>
        <v>0</v>
      </c>
      <c r="Y81" s="44">
        <f>D!AH109</f>
        <v>0</v>
      </c>
      <c r="Z81" s="44">
        <f>D!AH133</f>
        <v>0</v>
      </c>
      <c r="AA81" s="44">
        <f>D!AH157</f>
        <v>0</v>
      </c>
      <c r="AB81" s="44">
        <f>D!AH181</f>
        <v>0</v>
      </c>
      <c r="AC81" s="44">
        <f>D!AH205</f>
        <v>0</v>
      </c>
      <c r="AD81" s="44">
        <f>D!AH229</f>
        <v>0</v>
      </c>
      <c r="AE81" s="44">
        <f>D!AH253</f>
        <v>0</v>
      </c>
      <c r="AF81" s="44">
        <f>D!AH277</f>
        <v>0</v>
      </c>
      <c r="AG81" s="16">
        <f t="shared" si="33"/>
        <v>0</v>
      </c>
      <c r="AH81" s="45">
        <f t="shared" si="35"/>
        <v>13</v>
      </c>
    </row>
    <row r="82" spans="1:34" ht="20.100000000000001" hidden="1" customHeight="1">
      <c r="A82" s="18" t="s">
        <v>45</v>
      </c>
      <c r="B82" s="16"/>
      <c r="C82" s="16"/>
      <c r="D82" s="16"/>
      <c r="E82" s="43">
        <f t="shared" si="27"/>
        <v>0</v>
      </c>
      <c r="F82" s="44">
        <f>D!AI14</f>
        <v>0</v>
      </c>
      <c r="G82" s="44">
        <f>D!AI38</f>
        <v>0</v>
      </c>
      <c r="H82" s="44">
        <f>D!AI62</f>
        <v>0</v>
      </c>
      <c r="I82" s="44">
        <f>D!AI86</f>
        <v>0</v>
      </c>
      <c r="J82" s="44">
        <f>D!AI110</f>
        <v>0</v>
      </c>
      <c r="K82" s="44">
        <f>D!AI134</f>
        <v>0</v>
      </c>
      <c r="L82" s="44">
        <f>D!AI158</f>
        <v>0</v>
      </c>
      <c r="M82" s="44">
        <f>D!AI182</f>
        <v>0</v>
      </c>
      <c r="N82" s="44">
        <f>D!AI206</f>
        <v>0</v>
      </c>
      <c r="O82" s="44">
        <f>D!AI230</f>
        <v>0</v>
      </c>
      <c r="P82" s="44">
        <f>D!AI254</f>
        <v>0</v>
      </c>
      <c r="Q82" s="44">
        <f>D!AI278</f>
        <v>0</v>
      </c>
      <c r="R82" s="40">
        <f t="shared" si="31"/>
        <v>0</v>
      </c>
      <c r="S82" s="45">
        <f t="shared" si="32"/>
        <v>0</v>
      </c>
      <c r="U82" s="44">
        <f>D!AH14</f>
        <v>0</v>
      </c>
      <c r="V82" s="44">
        <f>D!AH38</f>
        <v>0</v>
      </c>
      <c r="W82" s="44">
        <f>D!AH62</f>
        <v>0</v>
      </c>
      <c r="X82" s="44">
        <f>D!AH86</f>
        <v>0</v>
      </c>
      <c r="Y82" s="44">
        <f>D!AH110</f>
        <v>0</v>
      </c>
      <c r="Z82" s="44">
        <f>D!AH134</f>
        <v>0</v>
      </c>
      <c r="AA82" s="44">
        <f>D!AH158</f>
        <v>0</v>
      </c>
      <c r="AB82" s="44">
        <f>D!AH182</f>
        <v>0</v>
      </c>
      <c r="AC82" s="44">
        <f>D!AH206</f>
        <v>0</v>
      </c>
      <c r="AD82" s="44">
        <f>D!AH230</f>
        <v>0</v>
      </c>
      <c r="AE82" s="44">
        <f>D!AH254</f>
        <v>0</v>
      </c>
      <c r="AF82" s="44">
        <f>D!AH278</f>
        <v>0</v>
      </c>
      <c r="AG82" s="16">
        <f t="shared" si="33"/>
        <v>0</v>
      </c>
      <c r="AH82" s="45">
        <f t="shared" si="35"/>
        <v>13</v>
      </c>
    </row>
    <row r="83" spans="1:34" ht="20.100000000000001" hidden="1" customHeight="1">
      <c r="A83" s="18" t="s">
        <v>46</v>
      </c>
      <c r="B83" s="16"/>
      <c r="C83" s="16"/>
      <c r="D83" s="16"/>
      <c r="E83" s="43">
        <f t="shared" si="27"/>
        <v>0</v>
      </c>
      <c r="F83" s="44">
        <f>D!AI15</f>
        <v>0</v>
      </c>
      <c r="G83" s="44">
        <f>D!AI39</f>
        <v>0</v>
      </c>
      <c r="H83" s="44">
        <f>D!AI63</f>
        <v>0</v>
      </c>
      <c r="I83" s="44">
        <f>D!AI87</f>
        <v>0</v>
      </c>
      <c r="J83" s="44">
        <f>D!AI111</f>
        <v>0</v>
      </c>
      <c r="K83" s="44">
        <f>D!AI135</f>
        <v>0</v>
      </c>
      <c r="L83" s="44">
        <f>D!AI159</f>
        <v>0</v>
      </c>
      <c r="M83" s="44">
        <f>D!AI183</f>
        <v>0</v>
      </c>
      <c r="N83" s="44">
        <f>D!AI207</f>
        <v>0</v>
      </c>
      <c r="O83" s="44">
        <f>D!AI231</f>
        <v>0</v>
      </c>
      <c r="P83" s="44">
        <f>D!AI255</f>
        <v>0</v>
      </c>
      <c r="Q83" s="44">
        <f>D!AI279</f>
        <v>0</v>
      </c>
      <c r="R83" s="40">
        <f t="shared" si="31"/>
        <v>0</v>
      </c>
      <c r="S83" s="45">
        <f t="shared" si="32"/>
        <v>0</v>
      </c>
      <c r="U83" s="44">
        <f>D!AH15</f>
        <v>0</v>
      </c>
      <c r="V83" s="44">
        <f>D!AH39</f>
        <v>0</v>
      </c>
      <c r="W83" s="44">
        <f>D!AH63</f>
        <v>0</v>
      </c>
      <c r="X83" s="44">
        <f>D!AH87</f>
        <v>0</v>
      </c>
      <c r="Y83" s="44">
        <f>D!AH111</f>
        <v>0</v>
      </c>
      <c r="Z83" s="44">
        <f>D!AH135</f>
        <v>0</v>
      </c>
      <c r="AA83" s="44">
        <f>D!AH159</f>
        <v>0</v>
      </c>
      <c r="AB83" s="44">
        <f>D!AH183</f>
        <v>0</v>
      </c>
      <c r="AC83" s="44">
        <f>D!AH207</f>
        <v>0</v>
      </c>
      <c r="AD83" s="44">
        <f>D!AH231</f>
        <v>0</v>
      </c>
      <c r="AE83" s="44">
        <f>D!AH255</f>
        <v>0</v>
      </c>
      <c r="AF83" s="44">
        <f>D!AH279</f>
        <v>0</v>
      </c>
      <c r="AG83" s="16">
        <f t="shared" si="33"/>
        <v>0</v>
      </c>
      <c r="AH83" s="45">
        <f t="shared" si="35"/>
        <v>13</v>
      </c>
    </row>
    <row r="84" spans="1:34" ht="20.100000000000001" hidden="1" customHeight="1">
      <c r="A84" s="18" t="s">
        <v>47</v>
      </c>
      <c r="B84" s="16"/>
      <c r="C84" s="16"/>
      <c r="D84" s="16"/>
      <c r="E84" s="43">
        <f t="shared" si="27"/>
        <v>0</v>
      </c>
      <c r="F84" s="44">
        <f>D!AI16</f>
        <v>0</v>
      </c>
      <c r="G84" s="44">
        <f>D!AI40</f>
        <v>0</v>
      </c>
      <c r="H84" s="44">
        <f>D!AI64</f>
        <v>0</v>
      </c>
      <c r="I84" s="44">
        <f>D!AI88</f>
        <v>0</v>
      </c>
      <c r="J84" s="44">
        <f>D!AI112</f>
        <v>0</v>
      </c>
      <c r="K84" s="44">
        <f>D!AI136</f>
        <v>0</v>
      </c>
      <c r="L84" s="44">
        <f>D!AI160</f>
        <v>0</v>
      </c>
      <c r="M84" s="44">
        <f>D!AI184</f>
        <v>0</v>
      </c>
      <c r="N84" s="44">
        <f>D!AI208</f>
        <v>0</v>
      </c>
      <c r="O84" s="44">
        <f>D!AI232</f>
        <v>0</v>
      </c>
      <c r="P84" s="44">
        <f>D!AI256</f>
        <v>0</v>
      </c>
      <c r="Q84" s="44">
        <f>D!AI280</f>
        <v>0</v>
      </c>
      <c r="R84" s="40">
        <f t="shared" si="31"/>
        <v>0</v>
      </c>
      <c r="S84" s="45">
        <f t="shared" si="32"/>
        <v>0</v>
      </c>
      <c r="U84" s="44">
        <f>D!AH16</f>
        <v>0</v>
      </c>
      <c r="V84" s="44">
        <f>D!AH40</f>
        <v>0</v>
      </c>
      <c r="W84" s="44">
        <f>D!AH64</f>
        <v>0</v>
      </c>
      <c r="X84" s="44">
        <f>D!AH88</f>
        <v>0</v>
      </c>
      <c r="Y84" s="44">
        <f>D!AH112</f>
        <v>0</v>
      </c>
      <c r="Z84" s="44">
        <f>D!AH136</f>
        <v>0</v>
      </c>
      <c r="AA84" s="44">
        <f>D!AH160</f>
        <v>0</v>
      </c>
      <c r="AB84" s="44">
        <f>D!AH184</f>
        <v>0</v>
      </c>
      <c r="AC84" s="44">
        <f>D!AH208</f>
        <v>0</v>
      </c>
      <c r="AD84" s="44">
        <f>D!AH232</f>
        <v>0</v>
      </c>
      <c r="AE84" s="44">
        <f>D!AH256</f>
        <v>0</v>
      </c>
      <c r="AF84" s="44">
        <f>D!AH280</f>
        <v>0</v>
      </c>
      <c r="AG84" s="16">
        <f t="shared" si="33"/>
        <v>0</v>
      </c>
      <c r="AH84" s="45">
        <f t="shared" si="35"/>
        <v>13</v>
      </c>
    </row>
    <row r="85" spans="1:34" ht="20.100000000000001" hidden="1" customHeight="1">
      <c r="A85" s="18" t="s">
        <v>48</v>
      </c>
      <c r="B85" s="16"/>
      <c r="C85" s="16"/>
      <c r="D85" s="16"/>
      <c r="E85" s="43">
        <f t="shared" si="27"/>
        <v>0</v>
      </c>
      <c r="F85" s="44">
        <f>D!AI17</f>
        <v>0</v>
      </c>
      <c r="G85" s="44">
        <f>D!AI41</f>
        <v>0</v>
      </c>
      <c r="H85" s="44">
        <f>D!AI65</f>
        <v>0</v>
      </c>
      <c r="I85" s="44">
        <f>D!AI89</f>
        <v>0</v>
      </c>
      <c r="J85" s="44">
        <f>D!AI113</f>
        <v>0</v>
      </c>
      <c r="K85" s="44">
        <f>D!AI137</f>
        <v>0</v>
      </c>
      <c r="L85" s="44">
        <f>D!AI161</f>
        <v>0</v>
      </c>
      <c r="M85" s="44">
        <f>D!AI185</f>
        <v>0</v>
      </c>
      <c r="N85" s="44">
        <f>D!AI209</f>
        <v>0</v>
      </c>
      <c r="O85" s="44">
        <f>D!AI233</f>
        <v>0</v>
      </c>
      <c r="P85" s="44">
        <f>D!AI257</f>
        <v>0</v>
      </c>
      <c r="Q85" s="44">
        <f>D!AI281</f>
        <v>0</v>
      </c>
      <c r="R85" s="40">
        <f t="shared" si="31"/>
        <v>0</v>
      </c>
      <c r="S85" s="45">
        <f t="shared" si="32"/>
        <v>0</v>
      </c>
      <c r="U85" s="44">
        <f>D!AH17</f>
        <v>0</v>
      </c>
      <c r="V85" s="44">
        <f>D!AH41</f>
        <v>0</v>
      </c>
      <c r="W85" s="44">
        <f>D!AH65</f>
        <v>0</v>
      </c>
      <c r="X85" s="44">
        <f>D!AH89</f>
        <v>0</v>
      </c>
      <c r="Y85" s="44">
        <f>D!AH113</f>
        <v>0</v>
      </c>
      <c r="Z85" s="44">
        <f>D!AH137</f>
        <v>0</v>
      </c>
      <c r="AA85" s="44">
        <f>D!AH161</f>
        <v>0</v>
      </c>
      <c r="AB85" s="44">
        <f>D!AH185</f>
        <v>0</v>
      </c>
      <c r="AC85" s="44">
        <f>D!AH209</f>
        <v>0</v>
      </c>
      <c r="AD85" s="44">
        <f>D!AH233</f>
        <v>0</v>
      </c>
      <c r="AE85" s="44">
        <f>D!AH257</f>
        <v>0</v>
      </c>
      <c r="AF85" s="44">
        <f>D!AH281</f>
        <v>0</v>
      </c>
      <c r="AG85" s="16">
        <f t="shared" si="33"/>
        <v>0</v>
      </c>
      <c r="AH85" s="45">
        <f t="shared" si="35"/>
        <v>13</v>
      </c>
    </row>
    <row r="86" spans="1:34" ht="20.100000000000001" hidden="1" customHeight="1">
      <c r="A86" s="18" t="s">
        <v>43</v>
      </c>
      <c r="B86" s="16"/>
      <c r="C86" s="16"/>
      <c r="D86" s="16"/>
      <c r="E86" s="43">
        <f t="shared" si="27"/>
        <v>0</v>
      </c>
      <c r="F86" s="44">
        <f>D!AI18</f>
        <v>0</v>
      </c>
      <c r="G86" s="44">
        <f>D!AI42</f>
        <v>0</v>
      </c>
      <c r="H86" s="44">
        <f>D!AI66</f>
        <v>0</v>
      </c>
      <c r="I86" s="44">
        <f>D!AI90</f>
        <v>0</v>
      </c>
      <c r="J86" s="44">
        <f>D!AI114</f>
        <v>0</v>
      </c>
      <c r="K86" s="44">
        <f>D!AI138</f>
        <v>0</v>
      </c>
      <c r="L86" s="44">
        <f>D!AI162</f>
        <v>0</v>
      </c>
      <c r="M86" s="44">
        <f>D!AI186</f>
        <v>0</v>
      </c>
      <c r="N86" s="44">
        <f>D!AI210</f>
        <v>0</v>
      </c>
      <c r="O86" s="44">
        <f>D!AI234</f>
        <v>0</v>
      </c>
      <c r="P86" s="44">
        <f>D!AI258</f>
        <v>0</v>
      </c>
      <c r="Q86" s="44">
        <f>D!AI282</f>
        <v>0</v>
      </c>
      <c r="R86" s="40">
        <f t="shared" si="31"/>
        <v>0</v>
      </c>
      <c r="S86" s="45">
        <f t="shared" si="32"/>
        <v>0</v>
      </c>
      <c r="U86" s="44">
        <f>D!AH18</f>
        <v>0</v>
      </c>
      <c r="V86" s="44">
        <f>D!AH42</f>
        <v>0</v>
      </c>
      <c r="W86" s="44">
        <f>D!AH66</f>
        <v>0</v>
      </c>
      <c r="X86" s="44">
        <f>D!AH90</f>
        <v>0</v>
      </c>
      <c r="Y86" s="44">
        <f>D!AH114</f>
        <v>0</v>
      </c>
      <c r="Z86" s="44">
        <f>D!AH138</f>
        <v>0</v>
      </c>
      <c r="AA86" s="44">
        <f>D!AH162</f>
        <v>0</v>
      </c>
      <c r="AB86" s="44">
        <f>D!AH186</f>
        <v>0</v>
      </c>
      <c r="AC86" s="44">
        <f>D!AH210</f>
        <v>0</v>
      </c>
      <c r="AD86" s="44">
        <f>D!AH234</f>
        <v>0</v>
      </c>
      <c r="AE86" s="44">
        <f>D!AH258</f>
        <v>0</v>
      </c>
      <c r="AF86" s="44">
        <f>D!AH282</f>
        <v>0</v>
      </c>
      <c r="AG86" s="16">
        <f t="shared" si="33"/>
        <v>0</v>
      </c>
      <c r="AH86" s="45">
        <f t="shared" si="35"/>
        <v>13</v>
      </c>
    </row>
    <row r="87" spans="1:34" ht="20.100000000000001" hidden="1" customHeight="1">
      <c r="A87" s="18" t="s">
        <v>60</v>
      </c>
      <c r="B87" s="16"/>
      <c r="C87" s="16"/>
      <c r="D87" s="16"/>
      <c r="E87" s="43">
        <f t="shared" si="27"/>
        <v>0</v>
      </c>
      <c r="F87" s="44">
        <f>D!AI19</f>
        <v>0</v>
      </c>
      <c r="G87" s="44">
        <f>D!AI43</f>
        <v>0</v>
      </c>
      <c r="H87" s="44">
        <f>D!AI67</f>
        <v>0</v>
      </c>
      <c r="I87" s="44">
        <f>D!AI91</f>
        <v>0</v>
      </c>
      <c r="J87" s="44">
        <f>D!AI115</f>
        <v>0</v>
      </c>
      <c r="K87" s="44">
        <f>D!AI139</f>
        <v>0</v>
      </c>
      <c r="L87" s="44">
        <f>D!AI163</f>
        <v>0</v>
      </c>
      <c r="M87" s="44">
        <f>D!AI187</f>
        <v>0</v>
      </c>
      <c r="N87" s="44">
        <f>D!AI211</f>
        <v>0</v>
      </c>
      <c r="O87" s="44">
        <f>D!AI235</f>
        <v>0</v>
      </c>
      <c r="P87" s="44">
        <f>D!AI259</f>
        <v>0</v>
      </c>
      <c r="Q87" s="44">
        <f>D!AI283</f>
        <v>0</v>
      </c>
      <c r="R87" s="40">
        <f t="shared" si="31"/>
        <v>0</v>
      </c>
      <c r="S87" s="45">
        <f t="shared" si="32"/>
        <v>0</v>
      </c>
      <c r="U87" s="44">
        <f>D!AH19</f>
        <v>0</v>
      </c>
      <c r="V87" s="44">
        <f>D!AH43</f>
        <v>0</v>
      </c>
      <c r="W87" s="44">
        <f>D!AH67</f>
        <v>0</v>
      </c>
      <c r="X87" s="44">
        <f>D!AH91</f>
        <v>0</v>
      </c>
      <c r="Y87" s="44">
        <f>D!AH115</f>
        <v>0</v>
      </c>
      <c r="Z87" s="44">
        <f>D!AH139</f>
        <v>0</v>
      </c>
      <c r="AA87" s="44">
        <f>D!AH163</f>
        <v>0</v>
      </c>
      <c r="AB87" s="44">
        <f>D!AH187</f>
        <v>0</v>
      </c>
      <c r="AC87" s="44">
        <f>D!AH211</f>
        <v>0</v>
      </c>
      <c r="AD87" s="44">
        <f>D!AH235</f>
        <v>0</v>
      </c>
      <c r="AE87" s="44">
        <f>D!AH259</f>
        <v>0</v>
      </c>
      <c r="AF87" s="44">
        <f>D!AH283</f>
        <v>0</v>
      </c>
      <c r="AG87" s="16">
        <f t="shared" si="33"/>
        <v>0</v>
      </c>
      <c r="AH87" s="45">
        <f t="shared" si="35"/>
        <v>13</v>
      </c>
    </row>
    <row r="88" spans="1:34" ht="20.100000000000001" hidden="1" customHeight="1">
      <c r="A88" s="18" t="s">
        <v>61</v>
      </c>
      <c r="B88" s="16"/>
      <c r="C88" s="16"/>
      <c r="D88" s="16"/>
      <c r="E88" s="43">
        <f t="shared" si="27"/>
        <v>0</v>
      </c>
      <c r="F88" s="44">
        <f>D!AI20</f>
        <v>0</v>
      </c>
      <c r="G88" s="44">
        <f>D!AI44</f>
        <v>0</v>
      </c>
      <c r="H88" s="44">
        <f>D!AI68</f>
        <v>0</v>
      </c>
      <c r="I88" s="44">
        <f>D!AI92</f>
        <v>0</v>
      </c>
      <c r="J88" s="44">
        <f>D!AI116</f>
        <v>0</v>
      </c>
      <c r="K88" s="44">
        <f>D!AI140</f>
        <v>0</v>
      </c>
      <c r="L88" s="44">
        <f>D!AI164</f>
        <v>0</v>
      </c>
      <c r="M88" s="44">
        <f>D!AI188</f>
        <v>0</v>
      </c>
      <c r="N88" s="44">
        <f>D!AI212</f>
        <v>0</v>
      </c>
      <c r="O88" s="44">
        <f>D!AI236</f>
        <v>0</v>
      </c>
      <c r="P88" s="44">
        <f>D!AI260</f>
        <v>0</v>
      </c>
      <c r="Q88" s="44">
        <f>D!AI284</f>
        <v>0</v>
      </c>
      <c r="R88" s="40">
        <f t="shared" si="31"/>
        <v>0</v>
      </c>
      <c r="S88" s="45">
        <f t="shared" si="32"/>
        <v>0</v>
      </c>
      <c r="U88" s="44">
        <f>D!AH20</f>
        <v>0</v>
      </c>
      <c r="V88" s="44">
        <f>D!AH44</f>
        <v>0</v>
      </c>
      <c r="W88" s="44">
        <f>D!AH68</f>
        <v>0</v>
      </c>
      <c r="X88" s="44">
        <f>D!AH92</f>
        <v>0</v>
      </c>
      <c r="Y88" s="44">
        <f>D!AH116</f>
        <v>0</v>
      </c>
      <c r="Z88" s="44">
        <f>D!AH140</f>
        <v>0</v>
      </c>
      <c r="AA88" s="44">
        <f>D!AH164</f>
        <v>0</v>
      </c>
      <c r="AB88" s="44">
        <f>D!AH188</f>
        <v>0</v>
      </c>
      <c r="AC88" s="44">
        <f>D!AH212</f>
        <v>0</v>
      </c>
      <c r="AD88" s="44">
        <f>D!AH236</f>
        <v>0</v>
      </c>
      <c r="AE88" s="44">
        <f>D!AH260</f>
        <v>0</v>
      </c>
      <c r="AF88" s="44">
        <f>D!AH284</f>
        <v>0</v>
      </c>
      <c r="AG88" s="16">
        <f t="shared" si="33"/>
        <v>0</v>
      </c>
      <c r="AH88" s="45">
        <f t="shared" si="35"/>
        <v>13</v>
      </c>
    </row>
    <row r="89" spans="1:34" ht="20.100000000000001" hidden="1" customHeight="1">
      <c r="A89" s="18" t="s">
        <v>62</v>
      </c>
      <c r="B89" s="16"/>
      <c r="C89" s="16"/>
      <c r="D89" s="16"/>
      <c r="E89" s="43">
        <f t="shared" si="27"/>
        <v>0</v>
      </c>
      <c r="F89" s="44">
        <f>D!AI21</f>
        <v>0</v>
      </c>
      <c r="G89" s="44">
        <f>D!AI45</f>
        <v>0</v>
      </c>
      <c r="H89" s="44">
        <f>D!AI69</f>
        <v>0</v>
      </c>
      <c r="I89" s="44">
        <f>D!AI93</f>
        <v>0</v>
      </c>
      <c r="J89" s="44">
        <f>D!AI117</f>
        <v>0</v>
      </c>
      <c r="K89" s="44">
        <f>D!AI141</f>
        <v>0</v>
      </c>
      <c r="L89" s="44">
        <f>D!AI165</f>
        <v>0</v>
      </c>
      <c r="M89" s="44">
        <f>D!AI189</f>
        <v>0</v>
      </c>
      <c r="N89" s="44">
        <f>D!AI213</f>
        <v>0</v>
      </c>
      <c r="O89" s="44">
        <f>D!AI237</f>
        <v>0</v>
      </c>
      <c r="P89" s="44">
        <f>D!AI261</f>
        <v>0</v>
      </c>
      <c r="Q89" s="44">
        <f>D!AI285</f>
        <v>0</v>
      </c>
      <c r="R89" s="40">
        <f t="shared" si="31"/>
        <v>0</v>
      </c>
      <c r="S89" s="45">
        <f t="shared" si="32"/>
        <v>0</v>
      </c>
      <c r="U89" s="44">
        <f>D!AH21</f>
        <v>0</v>
      </c>
      <c r="V89" s="44">
        <f>D!AH45</f>
        <v>0</v>
      </c>
      <c r="W89" s="44">
        <f>D!AH69</f>
        <v>0</v>
      </c>
      <c r="X89" s="44">
        <f>D!AH93</f>
        <v>0</v>
      </c>
      <c r="Y89" s="44">
        <f>D!AH117</f>
        <v>0</v>
      </c>
      <c r="Z89" s="44">
        <f>D!AH141</f>
        <v>0</v>
      </c>
      <c r="AA89" s="44">
        <f>D!AH165</f>
        <v>0</v>
      </c>
      <c r="AB89" s="44">
        <f>D!AH189</f>
        <v>0</v>
      </c>
      <c r="AC89" s="44">
        <f>D!AH213</f>
        <v>0</v>
      </c>
      <c r="AD89" s="44">
        <f>D!AH237</f>
        <v>0</v>
      </c>
      <c r="AE89" s="44">
        <f>D!AH261</f>
        <v>0</v>
      </c>
      <c r="AF89" s="44">
        <f>D!AH285</f>
        <v>0</v>
      </c>
      <c r="AG89" s="16">
        <f t="shared" si="33"/>
        <v>0</v>
      </c>
      <c r="AH89" s="45">
        <f t="shared" si="35"/>
        <v>13</v>
      </c>
    </row>
    <row r="90" spans="1:34" ht="20.100000000000001" hidden="1" customHeight="1">
      <c r="A90" s="18" t="s">
        <v>63</v>
      </c>
      <c r="B90" s="16"/>
      <c r="C90" s="16"/>
      <c r="D90" s="16"/>
      <c r="E90" s="43">
        <f t="shared" si="27"/>
        <v>0</v>
      </c>
      <c r="F90" s="44">
        <f>D!AI22</f>
        <v>0</v>
      </c>
      <c r="G90" s="44">
        <f>D!AI46</f>
        <v>0</v>
      </c>
      <c r="H90" s="44">
        <f>D!AI70</f>
        <v>0</v>
      </c>
      <c r="I90" s="44">
        <f>D!AI94</f>
        <v>0</v>
      </c>
      <c r="J90" s="44">
        <f>D!AI118</f>
        <v>0</v>
      </c>
      <c r="K90" s="44">
        <f>D!AI142</f>
        <v>0</v>
      </c>
      <c r="L90" s="44">
        <f>D!AI166</f>
        <v>0</v>
      </c>
      <c r="M90" s="44">
        <f>D!AI190</f>
        <v>0</v>
      </c>
      <c r="N90" s="44">
        <f>D!AI214</f>
        <v>0</v>
      </c>
      <c r="O90" s="44">
        <f>D!AI238</f>
        <v>0</v>
      </c>
      <c r="P90" s="44">
        <f>D!AI262</f>
        <v>0</v>
      </c>
      <c r="Q90" s="44">
        <f>D!AI286</f>
        <v>0</v>
      </c>
      <c r="R90" s="40">
        <f t="shared" si="31"/>
        <v>0</v>
      </c>
      <c r="S90" s="45">
        <f t="shared" si="32"/>
        <v>0</v>
      </c>
      <c r="U90" s="44">
        <f>D!AH22</f>
        <v>0</v>
      </c>
      <c r="V90" s="44">
        <f>D!AH46</f>
        <v>0</v>
      </c>
      <c r="W90" s="44">
        <f>D!AH70</f>
        <v>0</v>
      </c>
      <c r="X90" s="44">
        <f>D!AH94</f>
        <v>0</v>
      </c>
      <c r="Y90" s="44">
        <f>D!AH118</f>
        <v>0</v>
      </c>
      <c r="Z90" s="44">
        <f>D!AH142</f>
        <v>0</v>
      </c>
      <c r="AA90" s="44">
        <f>D!AH166</f>
        <v>0</v>
      </c>
      <c r="AB90" s="44">
        <f>D!AH190</f>
        <v>0</v>
      </c>
      <c r="AC90" s="44">
        <f>D!AH214</f>
        <v>0</v>
      </c>
      <c r="AD90" s="44">
        <f>D!AH238</f>
        <v>0</v>
      </c>
      <c r="AE90" s="44">
        <f>D!AH262</f>
        <v>0</v>
      </c>
      <c r="AF90" s="44">
        <f>D!AH286</f>
        <v>0</v>
      </c>
      <c r="AG90" s="16">
        <f t="shared" si="33"/>
        <v>0</v>
      </c>
      <c r="AH90" s="45">
        <f t="shared" si="35"/>
        <v>13</v>
      </c>
    </row>
    <row r="91" spans="1:34" ht="20.100000000000001" hidden="1" customHeight="1">
      <c r="A91" s="18" t="s">
        <v>64</v>
      </c>
      <c r="B91" s="16"/>
      <c r="C91" s="16"/>
      <c r="D91" s="16"/>
      <c r="E91" s="43">
        <f t="shared" si="27"/>
        <v>0</v>
      </c>
      <c r="F91" s="44">
        <f>D!AI23</f>
        <v>0</v>
      </c>
      <c r="G91" s="44">
        <f>D!AI47</f>
        <v>0</v>
      </c>
      <c r="H91" s="44">
        <f>D!AI71</f>
        <v>0</v>
      </c>
      <c r="I91" s="44">
        <f>D!AI95</f>
        <v>0</v>
      </c>
      <c r="J91" s="44">
        <f>D!AI119</f>
        <v>0</v>
      </c>
      <c r="K91" s="44">
        <f>D!AI143</f>
        <v>0</v>
      </c>
      <c r="L91" s="44">
        <f>D!AI167</f>
        <v>0</v>
      </c>
      <c r="M91" s="44">
        <f>D!AI191</f>
        <v>0</v>
      </c>
      <c r="N91" s="44">
        <f>D!AI215</f>
        <v>0</v>
      </c>
      <c r="O91" s="44">
        <f>D!AI239</f>
        <v>0</v>
      </c>
      <c r="P91" s="44">
        <f>D!AI263</f>
        <v>0</v>
      </c>
      <c r="Q91" s="44">
        <f>D!AI287</f>
        <v>0</v>
      </c>
      <c r="R91" s="40">
        <f t="shared" si="31"/>
        <v>0</v>
      </c>
      <c r="S91" s="45">
        <f t="shared" si="32"/>
        <v>0</v>
      </c>
      <c r="U91" s="44">
        <f>D!AH23</f>
        <v>0</v>
      </c>
      <c r="V91" s="44">
        <f>D!AH47</f>
        <v>0</v>
      </c>
      <c r="W91" s="44">
        <f>D!AH71</f>
        <v>0</v>
      </c>
      <c r="X91" s="44">
        <f>D!AH95</f>
        <v>0</v>
      </c>
      <c r="Y91" s="44">
        <f>D!AH119</f>
        <v>0</v>
      </c>
      <c r="Z91" s="44">
        <f>D!AH143</f>
        <v>0</v>
      </c>
      <c r="AA91" s="44">
        <f>D!AH167</f>
        <v>0</v>
      </c>
      <c r="AB91" s="44">
        <f>D!AH191</f>
        <v>0</v>
      </c>
      <c r="AC91" s="44">
        <f>D!AH215</f>
        <v>0</v>
      </c>
      <c r="AD91" s="44">
        <f>D!AH239</f>
        <v>0</v>
      </c>
      <c r="AE91" s="44">
        <f>D!AH263</f>
        <v>0</v>
      </c>
      <c r="AF91" s="44">
        <f>D!AH287</f>
        <v>0</v>
      </c>
      <c r="AG91" s="16">
        <f t="shared" si="33"/>
        <v>0</v>
      </c>
      <c r="AH91" s="45">
        <f t="shared" si="35"/>
        <v>13</v>
      </c>
    </row>
    <row r="93" spans="1:34" ht="20.100000000000001" customHeight="1">
      <c r="A93" s="86" t="s">
        <v>40</v>
      </c>
      <c r="B93" s="85" t="s">
        <v>21</v>
      </c>
      <c r="C93" s="85">
        <v>2020</v>
      </c>
      <c r="D93" s="87" t="s">
        <v>41</v>
      </c>
      <c r="E93" s="39" t="s">
        <v>22</v>
      </c>
      <c r="F93" s="40" t="s">
        <v>23</v>
      </c>
      <c r="G93" s="40" t="s">
        <v>25</v>
      </c>
      <c r="H93" s="40" t="s">
        <v>27</v>
      </c>
      <c r="I93" s="40" t="s">
        <v>29</v>
      </c>
      <c r="J93" s="40" t="s">
        <v>30</v>
      </c>
      <c r="K93" s="40" t="s">
        <v>32</v>
      </c>
      <c r="L93" s="40" t="s">
        <v>33</v>
      </c>
      <c r="M93" s="40" t="s">
        <v>34</v>
      </c>
      <c r="N93" s="40" t="s">
        <v>35</v>
      </c>
      <c r="O93" s="40" t="s">
        <v>2</v>
      </c>
      <c r="P93" s="40" t="s">
        <v>36</v>
      </c>
      <c r="Q93" s="40" t="s">
        <v>37</v>
      </c>
      <c r="R93" s="85" t="s">
        <v>39</v>
      </c>
      <c r="S93" s="41" t="s">
        <v>38</v>
      </c>
    </row>
    <row r="94" spans="1:34" ht="20.100000000000001" customHeight="1">
      <c r="A94" s="86"/>
      <c r="B94" s="85"/>
      <c r="C94" s="85"/>
      <c r="D94" s="87"/>
      <c r="E94" s="39"/>
      <c r="F94" s="40" t="s">
        <v>20</v>
      </c>
      <c r="G94" s="40" t="s">
        <v>20</v>
      </c>
      <c r="H94" s="40" t="s">
        <v>20</v>
      </c>
      <c r="I94" s="40" t="s">
        <v>20</v>
      </c>
      <c r="J94" s="40" t="s">
        <v>20</v>
      </c>
      <c r="K94" s="40" t="s">
        <v>20</v>
      </c>
      <c r="L94" s="40" t="s">
        <v>20</v>
      </c>
      <c r="M94" s="40" t="s">
        <v>20</v>
      </c>
      <c r="N94" s="40" t="s">
        <v>20</v>
      </c>
      <c r="O94" s="40" t="s">
        <v>20</v>
      </c>
      <c r="P94" s="40" t="s">
        <v>20</v>
      </c>
      <c r="Q94" s="40" t="s">
        <v>20</v>
      </c>
      <c r="R94" s="85"/>
      <c r="S94" s="41" t="s">
        <v>20</v>
      </c>
    </row>
    <row r="95" spans="1:34" ht="20.100000000000001" customHeight="1">
      <c r="A95" s="18" t="s">
        <v>104</v>
      </c>
      <c r="B95" s="16"/>
      <c r="C95" s="16">
        <v>30</v>
      </c>
      <c r="D95" s="16">
        <v>2</v>
      </c>
      <c r="E95" s="43">
        <f t="shared" ref="E95:E114" si="36">SUM(B95:D95)</f>
        <v>32</v>
      </c>
      <c r="F95" s="44">
        <f>N!AI4</f>
        <v>1</v>
      </c>
      <c r="G95" s="44">
        <f>N!AI28</f>
        <v>0</v>
      </c>
      <c r="H95" s="44">
        <f>N!AI52</f>
        <v>0</v>
      </c>
      <c r="I95" s="44">
        <f>N!AI76</f>
        <v>0</v>
      </c>
      <c r="J95" s="44">
        <f>N!AI100</f>
        <v>0</v>
      </c>
      <c r="K95" s="44">
        <f>N!AI124</f>
        <v>0</v>
      </c>
      <c r="L95" s="44">
        <f>N!AI148</f>
        <v>0</v>
      </c>
      <c r="M95" s="44">
        <f>N!AI172</f>
        <v>0</v>
      </c>
      <c r="N95" s="44">
        <f>N!AI196</f>
        <v>0</v>
      </c>
      <c r="O95" s="44">
        <f>N!AI220</f>
        <v>0</v>
      </c>
      <c r="P95" s="44">
        <f>N!AI244</f>
        <v>0</v>
      </c>
      <c r="Q95" s="44">
        <f>N!AI268</f>
        <v>0</v>
      </c>
      <c r="R95" s="40">
        <f t="shared" ref="R95" si="37">SUM(F95+G95+H95+I95+J95+K95+L95+M95+N95+O95+P95+Q95)</f>
        <v>1</v>
      </c>
      <c r="S95" s="45">
        <f t="shared" ref="S95" si="38">SUM(E95-R95)</f>
        <v>31</v>
      </c>
    </row>
    <row r="96" spans="1:34" ht="20.100000000000001" customHeight="1">
      <c r="A96" s="18" t="s">
        <v>65</v>
      </c>
      <c r="B96" s="16">
        <v>1</v>
      </c>
      <c r="C96" s="16">
        <v>30</v>
      </c>
      <c r="D96" s="16"/>
      <c r="E96" s="43">
        <f t="shared" si="36"/>
        <v>31</v>
      </c>
      <c r="F96" s="44">
        <f>N!AI5</f>
        <v>1</v>
      </c>
      <c r="G96" s="44">
        <f>N!AI29</f>
        <v>0</v>
      </c>
      <c r="H96" s="44">
        <f>N!AI53</f>
        <v>0</v>
      </c>
      <c r="I96" s="44">
        <f>N!AI77</f>
        <v>0</v>
      </c>
      <c r="J96" s="44">
        <f>N!AI101</f>
        <v>0</v>
      </c>
      <c r="K96" s="44">
        <f>N!AI125</f>
        <v>0</v>
      </c>
      <c r="L96" s="44">
        <f>N!AI149</f>
        <v>0</v>
      </c>
      <c r="M96" s="44">
        <f>N!AI173</f>
        <v>0</v>
      </c>
      <c r="N96" s="44">
        <f>N!AI197</f>
        <v>0</v>
      </c>
      <c r="O96" s="44">
        <f>N!AI221</f>
        <v>0</v>
      </c>
      <c r="P96" s="44">
        <f>N!AI245</f>
        <v>0</v>
      </c>
      <c r="Q96" s="44">
        <f>N!AI269</f>
        <v>0</v>
      </c>
      <c r="R96" s="40">
        <f t="shared" ref="R96:R114" si="39">SUM(F96+G96+H96+I96+J96+K96+L96+M96+N96+O96+P96+Q96)</f>
        <v>1</v>
      </c>
      <c r="S96" s="45">
        <f t="shared" ref="S96:S114" si="40">SUM(E96-R96)</f>
        <v>30</v>
      </c>
    </row>
    <row r="97" spans="1:19" ht="20.100000000000001" customHeight="1">
      <c r="A97" s="18" t="s">
        <v>105</v>
      </c>
      <c r="B97" s="16"/>
      <c r="C97" s="16">
        <v>30</v>
      </c>
      <c r="D97" s="16"/>
      <c r="E97" s="43">
        <f t="shared" si="36"/>
        <v>30</v>
      </c>
      <c r="F97" s="44">
        <f>N!AI6</f>
        <v>0</v>
      </c>
      <c r="G97" s="44">
        <f>N!AI30</f>
        <v>1</v>
      </c>
      <c r="H97" s="44">
        <f>N!AI54</f>
        <v>0</v>
      </c>
      <c r="I97" s="44">
        <f>N!AI78</f>
        <v>0</v>
      </c>
      <c r="J97" s="44">
        <f>N!AI102</f>
        <v>0</v>
      </c>
      <c r="K97" s="44">
        <f>N!AI126</f>
        <v>0</v>
      </c>
      <c r="L97" s="44">
        <f>N!AI150</f>
        <v>0</v>
      </c>
      <c r="M97" s="44">
        <f>N!AI174</f>
        <v>0</v>
      </c>
      <c r="N97" s="44">
        <f>N!AI198</f>
        <v>0</v>
      </c>
      <c r="O97" s="44">
        <f>N!AI222</f>
        <v>0</v>
      </c>
      <c r="P97" s="44">
        <f>N!AI246</f>
        <v>0</v>
      </c>
      <c r="Q97" s="44">
        <f>N!AI270</f>
        <v>0</v>
      </c>
      <c r="R97" s="40">
        <f t="shared" si="39"/>
        <v>1</v>
      </c>
      <c r="S97" s="45">
        <f t="shared" si="40"/>
        <v>29</v>
      </c>
    </row>
    <row r="98" spans="1:19" ht="20.100000000000001" customHeight="1">
      <c r="A98" s="18" t="s">
        <v>106</v>
      </c>
      <c r="B98" s="16">
        <v>1</v>
      </c>
      <c r="C98" s="16">
        <v>24</v>
      </c>
      <c r="D98" s="16">
        <v>4</v>
      </c>
      <c r="E98" s="43">
        <f t="shared" si="36"/>
        <v>29</v>
      </c>
      <c r="F98" s="44">
        <f>N!AI7</f>
        <v>1</v>
      </c>
      <c r="G98" s="44">
        <f>N!AI31</f>
        <v>2</v>
      </c>
      <c r="H98" s="44">
        <f>N!AI55</f>
        <v>3</v>
      </c>
      <c r="I98" s="44">
        <f>N!AI79</f>
        <v>0</v>
      </c>
      <c r="J98" s="44">
        <f>N!AI103</f>
        <v>0</v>
      </c>
      <c r="K98" s="44">
        <f>N!AI127</f>
        <v>0</v>
      </c>
      <c r="L98" s="44">
        <f>N!AI151</f>
        <v>0</v>
      </c>
      <c r="M98" s="44">
        <f>N!AI175</f>
        <v>1</v>
      </c>
      <c r="N98" s="44">
        <f>N!AI199</f>
        <v>0</v>
      </c>
      <c r="O98" s="44">
        <f>N!AI223</f>
        <v>0</v>
      </c>
      <c r="P98" s="44">
        <f>N!AI247</f>
        <v>0</v>
      </c>
      <c r="Q98" s="44">
        <f>N!AI271</f>
        <v>8</v>
      </c>
      <c r="R98" s="40">
        <f t="shared" si="39"/>
        <v>15</v>
      </c>
      <c r="S98" s="45">
        <f t="shared" si="40"/>
        <v>14</v>
      </c>
    </row>
    <row r="99" spans="1:19" ht="20.100000000000001" customHeight="1">
      <c r="A99" s="18" t="s">
        <v>107</v>
      </c>
      <c r="B99" s="16">
        <v>1</v>
      </c>
      <c r="C99" s="16">
        <v>30</v>
      </c>
      <c r="D99" s="16">
        <v>2</v>
      </c>
      <c r="E99" s="43">
        <f t="shared" si="36"/>
        <v>33</v>
      </c>
      <c r="F99" s="44">
        <f>N!AI8</f>
        <v>1</v>
      </c>
      <c r="G99" s="44">
        <f>N!AI32</f>
        <v>1</v>
      </c>
      <c r="H99" s="44">
        <f>N!AI56</f>
        <v>0</v>
      </c>
      <c r="I99" s="44">
        <f>N!AI80</f>
        <v>0</v>
      </c>
      <c r="J99" s="44">
        <f>N!AI104</f>
        <v>0</v>
      </c>
      <c r="K99" s="44">
        <f>N!AI128</f>
        <v>0</v>
      </c>
      <c r="L99" s="44">
        <f>N!AI152</f>
        <v>0</v>
      </c>
      <c r="M99" s="44">
        <f>N!AI176</f>
        <v>0</v>
      </c>
      <c r="N99" s="44">
        <f>N!AI200</f>
        <v>0</v>
      </c>
      <c r="O99" s="44">
        <f>N!AI224</f>
        <v>0</v>
      </c>
      <c r="P99" s="44">
        <f>N!AI248</f>
        <v>0</v>
      </c>
      <c r="Q99" s="44">
        <f>N!AI272</f>
        <v>0</v>
      </c>
      <c r="R99" s="40">
        <f t="shared" si="39"/>
        <v>2</v>
      </c>
      <c r="S99" s="45">
        <f t="shared" si="40"/>
        <v>31</v>
      </c>
    </row>
    <row r="100" spans="1:19" ht="20.100000000000001" hidden="1" customHeight="1">
      <c r="A100" s="18" t="s">
        <v>108</v>
      </c>
      <c r="B100" s="16">
        <v>1</v>
      </c>
      <c r="C100" s="16">
        <v>26</v>
      </c>
      <c r="D100" s="16">
        <v>7</v>
      </c>
      <c r="E100" s="43">
        <f t="shared" si="36"/>
        <v>34</v>
      </c>
      <c r="F100" s="44">
        <f>N!AI9</f>
        <v>2</v>
      </c>
      <c r="G100" s="44">
        <f>N!AI33</f>
        <v>0</v>
      </c>
      <c r="H100" s="44">
        <f>N!AI57</f>
        <v>0</v>
      </c>
      <c r="I100" s="44">
        <f>N!AI81</f>
        <v>0</v>
      </c>
      <c r="J100" s="44">
        <f>N!AI105</f>
        <v>0</v>
      </c>
      <c r="K100" s="44">
        <f>N!AI129</f>
        <v>0</v>
      </c>
      <c r="L100" s="44">
        <f>N!AI153</f>
        <v>0</v>
      </c>
      <c r="M100" s="44">
        <f>N!AI177</f>
        <v>0</v>
      </c>
      <c r="N100" s="44">
        <f>N!AI201</f>
        <v>0</v>
      </c>
      <c r="O100" s="44">
        <f>N!AI225</f>
        <v>0</v>
      </c>
      <c r="P100" s="44">
        <f>N!AI249</f>
        <v>0</v>
      </c>
      <c r="Q100" s="44">
        <f>N!AI273</f>
        <v>0</v>
      </c>
      <c r="R100" s="40">
        <f t="shared" si="39"/>
        <v>2</v>
      </c>
      <c r="S100" s="45">
        <f t="shared" si="40"/>
        <v>32</v>
      </c>
    </row>
    <row r="101" spans="1:19" ht="20.100000000000001" customHeight="1">
      <c r="A101" s="18" t="s">
        <v>109</v>
      </c>
      <c r="B101" s="16"/>
      <c r="C101" s="16">
        <v>30</v>
      </c>
      <c r="D101" s="16"/>
      <c r="E101" s="43">
        <f t="shared" si="36"/>
        <v>30</v>
      </c>
      <c r="F101" s="44">
        <f>N!AI10</f>
        <v>0</v>
      </c>
      <c r="G101" s="44">
        <f>N!AI34</f>
        <v>0</v>
      </c>
      <c r="H101" s="44">
        <f>N!AI58</f>
        <v>0</v>
      </c>
      <c r="I101" s="44">
        <f>N!AI82</f>
        <v>3</v>
      </c>
      <c r="J101" s="44">
        <f>N!AI106</f>
        <v>0</v>
      </c>
      <c r="K101" s="44">
        <f>N!AI130</f>
        <v>0</v>
      </c>
      <c r="L101" s="44">
        <f>N!AI154</f>
        <v>0</v>
      </c>
      <c r="M101" s="44">
        <f>N!AI178</f>
        <v>0</v>
      </c>
      <c r="N101" s="44">
        <f>N!AI202</f>
        <v>0</v>
      </c>
      <c r="O101" s="44">
        <f>N!AI226</f>
        <v>0</v>
      </c>
      <c r="P101" s="44">
        <f>N!AI250</f>
        <v>0</v>
      </c>
      <c r="Q101" s="44">
        <f>N!AI274</f>
        <v>0</v>
      </c>
      <c r="R101" s="40">
        <f t="shared" si="39"/>
        <v>3</v>
      </c>
      <c r="S101" s="45">
        <f t="shared" si="40"/>
        <v>27</v>
      </c>
    </row>
    <row r="102" spans="1:19" ht="20.100000000000001" customHeight="1">
      <c r="A102" s="18" t="s">
        <v>110</v>
      </c>
      <c r="B102" s="16">
        <v>1</v>
      </c>
      <c r="C102" s="16">
        <v>22</v>
      </c>
      <c r="D102" s="16"/>
      <c r="E102" s="43">
        <f t="shared" si="36"/>
        <v>23</v>
      </c>
      <c r="F102" s="44">
        <f>N!AI11</f>
        <v>2</v>
      </c>
      <c r="G102" s="44">
        <f>N!AI35</f>
        <v>0</v>
      </c>
      <c r="H102" s="44">
        <f>N!AI59</f>
        <v>0</v>
      </c>
      <c r="I102" s="44">
        <f>N!AI83</f>
        <v>0</v>
      </c>
      <c r="J102" s="44">
        <f>N!AI107</f>
        <v>0</v>
      </c>
      <c r="K102" s="44">
        <f>N!AI131</f>
        <v>0</v>
      </c>
      <c r="L102" s="44">
        <f>N!AI155</f>
        <v>0</v>
      </c>
      <c r="M102" s="44">
        <f>N!AI179</f>
        <v>0</v>
      </c>
      <c r="N102" s="44">
        <f>N!AI203</f>
        <v>0</v>
      </c>
      <c r="O102" s="44">
        <f>N!AI227</f>
        <v>0</v>
      </c>
      <c r="P102" s="44">
        <f>N!AI251</f>
        <v>0</v>
      </c>
      <c r="Q102" s="44">
        <f>N!AI275</f>
        <v>0</v>
      </c>
      <c r="R102" s="40">
        <f t="shared" si="39"/>
        <v>2</v>
      </c>
      <c r="S102" s="45">
        <f t="shared" si="40"/>
        <v>21</v>
      </c>
    </row>
    <row r="103" spans="1:19" ht="20.100000000000001" customHeight="1">
      <c r="A103" s="18" t="s">
        <v>97</v>
      </c>
      <c r="B103" s="16"/>
      <c r="C103" s="16">
        <v>28</v>
      </c>
      <c r="D103" s="16"/>
      <c r="E103" s="43">
        <f t="shared" si="36"/>
        <v>28</v>
      </c>
      <c r="F103" s="44">
        <f>N!AI12</f>
        <v>1</v>
      </c>
      <c r="G103" s="44">
        <f>N!AI36</f>
        <v>0</v>
      </c>
      <c r="H103" s="44">
        <f>N!AI60</f>
        <v>0</v>
      </c>
      <c r="I103" s="44">
        <f>N!AI84</f>
        <v>0</v>
      </c>
      <c r="J103" s="44">
        <f>N!AI108</f>
        <v>0</v>
      </c>
      <c r="K103" s="44">
        <f>N!AI132</f>
        <v>0</v>
      </c>
      <c r="L103" s="44">
        <f>N!AI156</f>
        <v>5</v>
      </c>
      <c r="M103" s="44">
        <f>N!AI180</f>
        <v>0</v>
      </c>
      <c r="N103" s="44">
        <f>N!AI204</f>
        <v>0</v>
      </c>
      <c r="O103" s="44">
        <f>N!AI228</f>
        <v>0</v>
      </c>
      <c r="P103" s="44">
        <f>N!AI252</f>
        <v>0</v>
      </c>
      <c r="Q103" s="44">
        <f>N!AI276</f>
        <v>0</v>
      </c>
      <c r="R103" s="40">
        <f t="shared" si="39"/>
        <v>6</v>
      </c>
      <c r="S103" s="45">
        <f t="shared" si="40"/>
        <v>22</v>
      </c>
    </row>
    <row r="104" spans="1:19" ht="20.100000000000001" customHeight="1">
      <c r="A104" s="18" t="s">
        <v>113</v>
      </c>
      <c r="B104" s="16">
        <v>1</v>
      </c>
      <c r="C104" s="16">
        <v>24</v>
      </c>
      <c r="D104" s="16"/>
      <c r="E104" s="43">
        <f t="shared" si="36"/>
        <v>25</v>
      </c>
      <c r="F104" s="44">
        <f>N!AI13</f>
        <v>1</v>
      </c>
      <c r="G104" s="44">
        <f>N!AI37</f>
        <v>0</v>
      </c>
      <c r="H104" s="44">
        <f>N!AI61</f>
        <v>0</v>
      </c>
      <c r="I104" s="44">
        <f>N!AI85</f>
        <v>1</v>
      </c>
      <c r="J104" s="44">
        <f>N!AI109</f>
        <v>0</v>
      </c>
      <c r="K104" s="44">
        <f>N!AI133</f>
        <v>0</v>
      </c>
      <c r="L104" s="44">
        <f>N!AI157</f>
        <v>0</v>
      </c>
      <c r="M104" s="44">
        <f>N!AI181</f>
        <v>0</v>
      </c>
      <c r="N104" s="44">
        <f>N!AI205</f>
        <v>0</v>
      </c>
      <c r="O104" s="44">
        <f>N!AI229</f>
        <v>0</v>
      </c>
      <c r="P104" s="44">
        <f>N!AI253</f>
        <v>0</v>
      </c>
      <c r="Q104" s="44">
        <f>N!AI277</f>
        <v>0</v>
      </c>
      <c r="R104" s="40">
        <f t="shared" si="39"/>
        <v>2</v>
      </c>
      <c r="S104" s="45">
        <f t="shared" si="40"/>
        <v>23</v>
      </c>
    </row>
    <row r="105" spans="1:19" ht="20.100000000000001" customHeight="1">
      <c r="A105" s="18" t="s">
        <v>119</v>
      </c>
      <c r="B105" s="16"/>
      <c r="C105" s="16"/>
      <c r="D105" s="16"/>
      <c r="E105" s="43">
        <f t="shared" si="36"/>
        <v>0</v>
      </c>
      <c r="F105" s="44">
        <f>N!AI14</f>
        <v>0</v>
      </c>
      <c r="G105" s="44">
        <f>N!AI38</f>
        <v>0</v>
      </c>
      <c r="H105" s="44">
        <f>N!AI62</f>
        <v>0</v>
      </c>
      <c r="I105" s="44">
        <f>N!AI86</f>
        <v>0</v>
      </c>
      <c r="J105" s="44">
        <f>N!AI110</f>
        <v>0</v>
      </c>
      <c r="K105" s="44">
        <f>N!AI134</f>
        <v>0</v>
      </c>
      <c r="L105" s="44">
        <f>N!AI158</f>
        <v>0</v>
      </c>
      <c r="M105" s="44">
        <f>N!AI182</f>
        <v>0</v>
      </c>
      <c r="N105" s="44">
        <f>N!AI206</f>
        <v>0</v>
      </c>
      <c r="O105" s="44">
        <f>N!AI230</f>
        <v>0</v>
      </c>
      <c r="P105" s="44">
        <f>N!AI254</f>
        <v>0</v>
      </c>
      <c r="Q105" s="44">
        <f>N!AI278</f>
        <v>0</v>
      </c>
      <c r="R105" s="40">
        <f t="shared" si="39"/>
        <v>0</v>
      </c>
      <c r="S105" s="45">
        <f t="shared" si="40"/>
        <v>0</v>
      </c>
    </row>
    <row r="106" spans="1:19" ht="20.100000000000001" hidden="1" customHeight="1">
      <c r="A106" s="18" t="s">
        <v>46</v>
      </c>
      <c r="B106" s="16"/>
      <c r="C106" s="16"/>
      <c r="D106" s="16"/>
      <c r="E106" s="43">
        <f t="shared" si="36"/>
        <v>0</v>
      </c>
      <c r="F106" s="44">
        <f>N!AI15</f>
        <v>0</v>
      </c>
      <c r="G106" s="44">
        <f>N!AI39</f>
        <v>0</v>
      </c>
      <c r="H106" s="44">
        <f>N!AI63</f>
        <v>0</v>
      </c>
      <c r="I106" s="44">
        <f>N!AI87</f>
        <v>0</v>
      </c>
      <c r="J106" s="44">
        <f>N!AI111</f>
        <v>0</v>
      </c>
      <c r="K106" s="44">
        <f>N!AI135</f>
        <v>0</v>
      </c>
      <c r="L106" s="44">
        <f>N!AI159</f>
        <v>0</v>
      </c>
      <c r="M106" s="44">
        <f>N!AI183</f>
        <v>0</v>
      </c>
      <c r="N106" s="44">
        <f>N!AI207</f>
        <v>0</v>
      </c>
      <c r="O106" s="44">
        <f>N!AI231</f>
        <v>0</v>
      </c>
      <c r="P106" s="44">
        <f>N!AI255</f>
        <v>0</v>
      </c>
      <c r="Q106" s="44">
        <f>N!AI279</f>
        <v>0</v>
      </c>
      <c r="R106" s="40">
        <f t="shared" si="39"/>
        <v>0</v>
      </c>
      <c r="S106" s="45">
        <f t="shared" si="40"/>
        <v>0</v>
      </c>
    </row>
    <row r="107" spans="1:19" ht="20.100000000000001" hidden="1" customHeight="1">
      <c r="A107" s="18" t="s">
        <v>47</v>
      </c>
      <c r="B107" s="16"/>
      <c r="C107" s="16"/>
      <c r="D107" s="16"/>
      <c r="E107" s="43">
        <f t="shared" si="36"/>
        <v>0</v>
      </c>
      <c r="F107" s="44">
        <f>N!AI16</f>
        <v>0</v>
      </c>
      <c r="G107" s="44">
        <f>N!AI40</f>
        <v>0</v>
      </c>
      <c r="H107" s="44">
        <f>N!AI64</f>
        <v>0</v>
      </c>
      <c r="I107" s="44">
        <f>N!AI88</f>
        <v>0</v>
      </c>
      <c r="J107" s="44">
        <f>N!AI112</f>
        <v>0</v>
      </c>
      <c r="K107" s="44">
        <f>N!AI136</f>
        <v>0</v>
      </c>
      <c r="L107" s="44">
        <f>N!AI160</f>
        <v>0</v>
      </c>
      <c r="M107" s="44">
        <f>N!AI184</f>
        <v>0</v>
      </c>
      <c r="N107" s="44">
        <f>N!AI208</f>
        <v>0</v>
      </c>
      <c r="O107" s="44">
        <f>N!AI232</f>
        <v>0</v>
      </c>
      <c r="P107" s="44">
        <f>N!AI256</f>
        <v>0</v>
      </c>
      <c r="Q107" s="44">
        <f>N!AI280</f>
        <v>0</v>
      </c>
      <c r="R107" s="40">
        <f t="shared" si="39"/>
        <v>0</v>
      </c>
      <c r="S107" s="45">
        <f t="shared" si="40"/>
        <v>0</v>
      </c>
    </row>
    <row r="108" spans="1:19" ht="20.100000000000001" hidden="1" customHeight="1">
      <c r="A108" s="18" t="s">
        <v>48</v>
      </c>
      <c r="B108" s="16"/>
      <c r="C108" s="16"/>
      <c r="D108" s="16"/>
      <c r="E108" s="43">
        <f t="shared" si="36"/>
        <v>0</v>
      </c>
      <c r="F108" s="44">
        <f>N!AI17</f>
        <v>0</v>
      </c>
      <c r="G108" s="44">
        <f>N!AI41</f>
        <v>0</v>
      </c>
      <c r="H108" s="44">
        <f>N!AI65</f>
        <v>0</v>
      </c>
      <c r="I108" s="44">
        <f>N!AI89</f>
        <v>0</v>
      </c>
      <c r="J108" s="44">
        <f>N!AI113</f>
        <v>0</v>
      </c>
      <c r="K108" s="44">
        <f>N!AI137</f>
        <v>0</v>
      </c>
      <c r="L108" s="44">
        <f>N!AI161</f>
        <v>0</v>
      </c>
      <c r="M108" s="44">
        <f>N!AI185</f>
        <v>0</v>
      </c>
      <c r="N108" s="44">
        <f>N!AI209</f>
        <v>0</v>
      </c>
      <c r="O108" s="44">
        <f>N!AI233</f>
        <v>0</v>
      </c>
      <c r="P108" s="44">
        <f>N!AI257</f>
        <v>0</v>
      </c>
      <c r="Q108" s="44">
        <f>N!AI281</f>
        <v>0</v>
      </c>
      <c r="R108" s="40">
        <f t="shared" si="39"/>
        <v>0</v>
      </c>
      <c r="S108" s="45">
        <f t="shared" si="40"/>
        <v>0</v>
      </c>
    </row>
    <row r="109" spans="1:19" ht="20.100000000000001" hidden="1" customHeight="1">
      <c r="A109" s="18" t="s">
        <v>43</v>
      </c>
      <c r="B109" s="16"/>
      <c r="C109" s="16"/>
      <c r="D109" s="16"/>
      <c r="E109" s="43">
        <f t="shared" si="36"/>
        <v>0</v>
      </c>
      <c r="F109" s="44">
        <f>N!AI18</f>
        <v>0</v>
      </c>
      <c r="G109" s="44">
        <f>N!AI42</f>
        <v>0</v>
      </c>
      <c r="H109" s="44">
        <f>N!AI66</f>
        <v>0</v>
      </c>
      <c r="I109" s="44">
        <f>N!AI90</f>
        <v>0</v>
      </c>
      <c r="J109" s="44">
        <f>N!AI114</f>
        <v>0</v>
      </c>
      <c r="K109" s="44">
        <f>N!AI138</f>
        <v>0</v>
      </c>
      <c r="L109" s="44">
        <f>N!AI162</f>
        <v>0</v>
      </c>
      <c r="M109" s="44">
        <f>N!AI186</f>
        <v>0</v>
      </c>
      <c r="N109" s="44">
        <f>N!AI210</f>
        <v>0</v>
      </c>
      <c r="O109" s="44">
        <f>N!AI234</f>
        <v>0</v>
      </c>
      <c r="P109" s="44">
        <f>N!AI258</f>
        <v>0</v>
      </c>
      <c r="Q109" s="44">
        <f>N!AI282</f>
        <v>0</v>
      </c>
      <c r="R109" s="40">
        <f t="shared" si="39"/>
        <v>0</v>
      </c>
      <c r="S109" s="45">
        <f t="shared" si="40"/>
        <v>0</v>
      </c>
    </row>
    <row r="110" spans="1:19" ht="20.100000000000001" hidden="1" customHeight="1">
      <c r="A110" s="18" t="s">
        <v>60</v>
      </c>
      <c r="B110" s="16"/>
      <c r="C110" s="16"/>
      <c r="D110" s="16"/>
      <c r="E110" s="43">
        <f t="shared" si="36"/>
        <v>0</v>
      </c>
      <c r="F110" s="44">
        <f>N!AI19</f>
        <v>0</v>
      </c>
      <c r="G110" s="44">
        <f>N!AI43</f>
        <v>0</v>
      </c>
      <c r="H110" s="44">
        <f>N!AI67</f>
        <v>0</v>
      </c>
      <c r="I110" s="44">
        <f>N!AI91</f>
        <v>0</v>
      </c>
      <c r="J110" s="44">
        <f>N!AI115</f>
        <v>0</v>
      </c>
      <c r="K110" s="44">
        <f>N!AI139</f>
        <v>0</v>
      </c>
      <c r="L110" s="44">
        <f>N!AI163</f>
        <v>0</v>
      </c>
      <c r="M110" s="44">
        <f>N!AI187</f>
        <v>0</v>
      </c>
      <c r="N110" s="44">
        <f>N!AI211</f>
        <v>0</v>
      </c>
      <c r="O110" s="44">
        <f>N!AI235</f>
        <v>0</v>
      </c>
      <c r="P110" s="44">
        <f>N!AI259</f>
        <v>0</v>
      </c>
      <c r="Q110" s="44">
        <f>N!AI283</f>
        <v>0</v>
      </c>
      <c r="R110" s="40">
        <f t="shared" si="39"/>
        <v>0</v>
      </c>
      <c r="S110" s="45">
        <f t="shared" si="40"/>
        <v>0</v>
      </c>
    </row>
    <row r="111" spans="1:19" ht="20.100000000000001" hidden="1" customHeight="1">
      <c r="A111" s="18" t="s">
        <v>61</v>
      </c>
      <c r="B111" s="16"/>
      <c r="C111" s="16"/>
      <c r="D111" s="16"/>
      <c r="E111" s="43">
        <f t="shared" si="36"/>
        <v>0</v>
      </c>
      <c r="F111" s="44">
        <f>N!AI20</f>
        <v>0</v>
      </c>
      <c r="G111" s="44">
        <f>N!AI44</f>
        <v>0</v>
      </c>
      <c r="H111" s="44">
        <f>N!AI68</f>
        <v>0</v>
      </c>
      <c r="I111" s="44">
        <f>N!AI92</f>
        <v>0</v>
      </c>
      <c r="J111" s="44">
        <f>N!AI116</f>
        <v>0</v>
      </c>
      <c r="K111" s="44">
        <f>N!AI140</f>
        <v>0</v>
      </c>
      <c r="L111" s="44">
        <f>N!AI164</f>
        <v>0</v>
      </c>
      <c r="M111" s="44">
        <f>N!AI188</f>
        <v>0</v>
      </c>
      <c r="N111" s="44">
        <f>N!AI212</f>
        <v>0</v>
      </c>
      <c r="O111" s="44">
        <f>N!AI236</f>
        <v>0</v>
      </c>
      <c r="P111" s="44">
        <f>N!AI260</f>
        <v>0</v>
      </c>
      <c r="Q111" s="44">
        <f>N!AI284</f>
        <v>0</v>
      </c>
      <c r="R111" s="40">
        <f t="shared" si="39"/>
        <v>0</v>
      </c>
      <c r="S111" s="45">
        <f t="shared" si="40"/>
        <v>0</v>
      </c>
    </row>
    <row r="112" spans="1:19" ht="20.100000000000001" hidden="1" customHeight="1">
      <c r="A112" s="18" t="s">
        <v>62</v>
      </c>
      <c r="B112" s="16"/>
      <c r="C112" s="16"/>
      <c r="D112" s="16"/>
      <c r="E112" s="43">
        <f t="shared" si="36"/>
        <v>0</v>
      </c>
      <c r="F112" s="44">
        <f>N!AI21</f>
        <v>0</v>
      </c>
      <c r="G112" s="44">
        <f>N!AI45</f>
        <v>0</v>
      </c>
      <c r="H112" s="44">
        <f>N!AI69</f>
        <v>0</v>
      </c>
      <c r="I112" s="44">
        <f>N!AI93</f>
        <v>0</v>
      </c>
      <c r="J112" s="44">
        <f>N!AI117</f>
        <v>0</v>
      </c>
      <c r="K112" s="44">
        <f>N!AI141</f>
        <v>0</v>
      </c>
      <c r="L112" s="44">
        <f>N!AI165</f>
        <v>0</v>
      </c>
      <c r="M112" s="44">
        <f>N!AI189</f>
        <v>0</v>
      </c>
      <c r="N112" s="44">
        <f>N!AI213</f>
        <v>0</v>
      </c>
      <c r="O112" s="44">
        <f>N!AI237</f>
        <v>0</v>
      </c>
      <c r="P112" s="44">
        <f>N!AI261</f>
        <v>0</v>
      </c>
      <c r="Q112" s="44">
        <f>N!AI285</f>
        <v>0</v>
      </c>
      <c r="R112" s="40">
        <f t="shared" si="39"/>
        <v>0</v>
      </c>
      <c r="S112" s="45">
        <f t="shared" si="40"/>
        <v>0</v>
      </c>
    </row>
    <row r="113" spans="1:19" ht="20.100000000000001" hidden="1" customHeight="1">
      <c r="A113" s="18" t="s">
        <v>63</v>
      </c>
      <c r="B113" s="16"/>
      <c r="C113" s="16"/>
      <c r="D113" s="16"/>
      <c r="E113" s="43">
        <f t="shared" si="36"/>
        <v>0</v>
      </c>
      <c r="F113" s="44">
        <f>N!AI22</f>
        <v>0</v>
      </c>
      <c r="G113" s="44">
        <f>N!AI46</f>
        <v>0</v>
      </c>
      <c r="H113" s="44">
        <f>N!AI70</f>
        <v>0</v>
      </c>
      <c r="I113" s="44">
        <f>N!AI94</f>
        <v>0</v>
      </c>
      <c r="J113" s="44">
        <f>N!AI118</f>
        <v>0</v>
      </c>
      <c r="K113" s="44">
        <f>N!AI142</f>
        <v>0</v>
      </c>
      <c r="L113" s="44">
        <f>N!AI166</f>
        <v>0</v>
      </c>
      <c r="M113" s="44">
        <f>N!AI190</f>
        <v>0</v>
      </c>
      <c r="N113" s="44">
        <f>N!AI214</f>
        <v>0</v>
      </c>
      <c r="O113" s="44">
        <f>N!AI238</f>
        <v>0</v>
      </c>
      <c r="P113" s="44">
        <f>N!AI262</f>
        <v>0</v>
      </c>
      <c r="Q113" s="44">
        <f>N!AI286</f>
        <v>0</v>
      </c>
      <c r="R113" s="40">
        <f t="shared" si="39"/>
        <v>0</v>
      </c>
      <c r="S113" s="45">
        <f t="shared" si="40"/>
        <v>0</v>
      </c>
    </row>
    <row r="114" spans="1:19" ht="20.100000000000001" hidden="1" customHeight="1">
      <c r="A114" s="18" t="s">
        <v>64</v>
      </c>
      <c r="B114" s="16"/>
      <c r="C114" s="16"/>
      <c r="D114" s="16"/>
      <c r="E114" s="43">
        <f t="shared" si="36"/>
        <v>0</v>
      </c>
      <c r="F114" s="44">
        <f>N!AI23</f>
        <v>0</v>
      </c>
      <c r="G114" s="44">
        <f>N!AI47</f>
        <v>0</v>
      </c>
      <c r="H114" s="44">
        <f>N!AI71</f>
        <v>0</v>
      </c>
      <c r="I114" s="44">
        <f>N!AI95</f>
        <v>0</v>
      </c>
      <c r="J114" s="44">
        <f>N!AI119</f>
        <v>0</v>
      </c>
      <c r="K114" s="44">
        <f>N!AI143</f>
        <v>0</v>
      </c>
      <c r="L114" s="44">
        <f>N!AI167</f>
        <v>0</v>
      </c>
      <c r="M114" s="44">
        <f>N!AI191</f>
        <v>0</v>
      </c>
      <c r="N114" s="44">
        <f>N!AI215</f>
        <v>0</v>
      </c>
      <c r="O114" s="44">
        <f>N!AI239</f>
        <v>0</v>
      </c>
      <c r="P114" s="44">
        <f>N!AI263</f>
        <v>0</v>
      </c>
      <c r="Q114" s="44">
        <f>N!AI287</f>
        <v>0</v>
      </c>
      <c r="R114" s="40">
        <f t="shared" si="39"/>
        <v>0</v>
      </c>
      <c r="S114" s="45">
        <f t="shared" si="40"/>
        <v>0</v>
      </c>
    </row>
  </sheetData>
  <sheetProtection password="DD6F" sheet="1" objects="1" scenarios="1"/>
  <mergeCells count="29">
    <mergeCell ref="A93:A94"/>
    <mergeCell ref="B93:B94"/>
    <mergeCell ref="D93:D94"/>
    <mergeCell ref="C93:C94"/>
    <mergeCell ref="R93:R94"/>
    <mergeCell ref="A24:A25"/>
    <mergeCell ref="B24:B25"/>
    <mergeCell ref="C24:C25"/>
    <mergeCell ref="A1:A2"/>
    <mergeCell ref="B1:B2"/>
    <mergeCell ref="D1:D2"/>
    <mergeCell ref="C1:C2"/>
    <mergeCell ref="D24:D25"/>
    <mergeCell ref="C70:C71"/>
    <mergeCell ref="R70:R71"/>
    <mergeCell ref="A47:A48"/>
    <mergeCell ref="B47:B48"/>
    <mergeCell ref="D47:D48"/>
    <mergeCell ref="C47:C48"/>
    <mergeCell ref="A70:A71"/>
    <mergeCell ref="B70:B71"/>
    <mergeCell ref="D70:D71"/>
    <mergeCell ref="AG70:AG71"/>
    <mergeCell ref="AG1:AG2"/>
    <mergeCell ref="R1:R2"/>
    <mergeCell ref="AG47:AG48"/>
    <mergeCell ref="R47:R48"/>
    <mergeCell ref="AG24:AG25"/>
    <mergeCell ref="R24:R25"/>
  </mergeCells>
  <phoneticPr fontId="0" type="noConversion"/>
  <printOptions horizontalCentered="1" verticalCentered="1"/>
  <pageMargins left="0.39370078740157483" right="0.39370078740157483" top="0.24" bottom="0.3" header="0.17" footer="0.3"/>
  <pageSetup paperSize="9" orientation="landscape" horizontalDpi="4294967292" r:id="rId1"/>
  <headerFooter alignWithMargins="0">
    <oddFooter>&amp;R&amp;F</oddFooter>
  </headerFooter>
  <rowBreaks count="2" manualBreakCount="2">
    <brk id="45" max="16383" man="1"/>
    <brk id="9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7"/>
  <sheetViews>
    <sheetView showGridLines="0" tabSelected="1" topLeftCell="A72" workbookViewId="0">
      <selection activeCell="AV96" sqref="AV96"/>
    </sheetView>
  </sheetViews>
  <sheetFormatPr defaultColWidth="12" defaultRowHeight="12.75"/>
  <cols>
    <col min="1" max="1" width="18.85546875" style="21" customWidth="1"/>
    <col min="2" max="2" width="4" style="27" customWidth="1"/>
    <col min="3" max="8" width="3.140625" style="27" customWidth="1"/>
    <col min="9" max="9" width="3" style="27" customWidth="1"/>
    <col min="10" max="31" width="3.140625" style="27" customWidth="1"/>
    <col min="32" max="32" width="3.85546875" style="27" customWidth="1"/>
    <col min="33" max="33" width="3.42578125" style="21" customWidth="1"/>
    <col min="34" max="35" width="6.85546875" style="27" hidden="1" customWidth="1"/>
    <col min="36" max="42" width="3.42578125" style="21" customWidth="1"/>
    <col min="43" max="16384" width="12" style="21"/>
  </cols>
  <sheetData>
    <row r="1" spans="1:35" s="25" customFormat="1" ht="20.100000000000001" customHeight="1">
      <c r="A1" s="88" t="s">
        <v>0</v>
      </c>
      <c r="B1" s="57">
        <v>1</v>
      </c>
      <c r="C1" s="24">
        <v>2</v>
      </c>
      <c r="D1" s="24">
        <v>3</v>
      </c>
      <c r="E1" s="24">
        <v>4</v>
      </c>
      <c r="F1" s="24">
        <v>5</v>
      </c>
      <c r="G1" s="24">
        <v>6</v>
      </c>
      <c r="H1" s="24">
        <v>7</v>
      </c>
      <c r="I1" s="24">
        <v>8</v>
      </c>
      <c r="J1" s="24">
        <v>9</v>
      </c>
      <c r="K1" s="24">
        <v>10</v>
      </c>
      <c r="L1" s="24">
        <v>11</v>
      </c>
      <c r="M1" s="24">
        <v>12</v>
      </c>
      <c r="N1" s="24">
        <v>13</v>
      </c>
      <c r="O1" s="24">
        <v>14</v>
      </c>
      <c r="P1" s="24">
        <v>15</v>
      </c>
      <c r="Q1" s="24">
        <v>16</v>
      </c>
      <c r="R1" s="24">
        <v>17</v>
      </c>
      <c r="S1" s="24">
        <v>18</v>
      </c>
      <c r="T1" s="24">
        <v>19</v>
      </c>
      <c r="U1" s="24">
        <v>20</v>
      </c>
      <c r="V1" s="24">
        <v>21</v>
      </c>
      <c r="W1" s="24">
        <v>22</v>
      </c>
      <c r="X1" s="24">
        <v>23</v>
      </c>
      <c r="Y1" s="24">
        <v>24</v>
      </c>
      <c r="Z1" s="24">
        <v>25</v>
      </c>
      <c r="AA1" s="24">
        <v>26</v>
      </c>
      <c r="AB1" s="24">
        <v>27</v>
      </c>
      <c r="AC1" s="24">
        <v>28</v>
      </c>
      <c r="AD1" s="24">
        <v>29</v>
      </c>
      <c r="AE1" s="24">
        <v>30</v>
      </c>
      <c r="AF1" s="24">
        <v>31</v>
      </c>
      <c r="AH1" s="88" t="s">
        <v>18</v>
      </c>
      <c r="AI1" s="88" t="s">
        <v>19</v>
      </c>
    </row>
    <row r="2" spans="1:35" ht="20.100000000000001" customHeight="1">
      <c r="A2" s="88"/>
      <c r="B2" s="26" t="str">
        <f>'2020'!B4</f>
        <v>Sze</v>
      </c>
      <c r="C2" s="26" t="str">
        <f>'2020'!C4</f>
        <v>Cs</v>
      </c>
      <c r="D2" s="26" t="str">
        <f>'2020'!D4</f>
        <v>P</v>
      </c>
      <c r="E2" s="26" t="str">
        <f>'2020'!E4</f>
        <v>Szo</v>
      </c>
      <c r="F2" s="26" t="str">
        <f>'2020'!F4</f>
        <v>V</v>
      </c>
      <c r="G2" s="26" t="str">
        <f>'2020'!G4</f>
        <v>H</v>
      </c>
      <c r="H2" s="26" t="str">
        <f>'2020'!H4</f>
        <v>K</v>
      </c>
      <c r="I2" s="26" t="str">
        <f>'2020'!I4</f>
        <v>Sze</v>
      </c>
      <c r="J2" s="26" t="str">
        <f>'2020'!J4</f>
        <v>Cs</v>
      </c>
      <c r="K2" s="26" t="str">
        <f>'2020'!K4</f>
        <v>P</v>
      </c>
      <c r="L2" s="26" t="str">
        <f>'2020'!L4</f>
        <v>Szo</v>
      </c>
      <c r="M2" s="26" t="str">
        <f>'2020'!M4</f>
        <v>V</v>
      </c>
      <c r="N2" s="26" t="str">
        <f>'2020'!N4</f>
        <v>H</v>
      </c>
      <c r="O2" s="26" t="str">
        <f>'2020'!O4</f>
        <v>K</v>
      </c>
      <c r="P2" s="26" t="str">
        <f>'2020'!P4</f>
        <v>Sze</v>
      </c>
      <c r="Q2" s="26" t="str">
        <f>'2020'!Q4</f>
        <v>Cs</v>
      </c>
      <c r="R2" s="26" t="str">
        <f>'2020'!R4</f>
        <v>P</v>
      </c>
      <c r="S2" s="26" t="str">
        <f>'2020'!S4</f>
        <v>Szo</v>
      </c>
      <c r="T2" s="26" t="str">
        <f>'2020'!T4</f>
        <v>V</v>
      </c>
      <c r="U2" s="26" t="str">
        <f>'2020'!U4</f>
        <v>H</v>
      </c>
      <c r="V2" s="26" t="str">
        <f>'2020'!V4</f>
        <v>K</v>
      </c>
      <c r="W2" s="26" t="str">
        <f>'2020'!W4</f>
        <v>Sze</v>
      </c>
      <c r="X2" s="26" t="str">
        <f>'2020'!X4</f>
        <v>Cs</v>
      </c>
      <c r="Y2" s="26" t="str">
        <f>'2020'!Y4</f>
        <v>P</v>
      </c>
      <c r="Z2" s="26" t="str">
        <f>'2020'!Z4</f>
        <v>Szo</v>
      </c>
      <c r="AA2" s="26" t="str">
        <f>'2020'!AA4</f>
        <v>V</v>
      </c>
      <c r="AB2" s="26" t="str">
        <f>'2020'!AB4</f>
        <v>H</v>
      </c>
      <c r="AC2" s="26" t="str">
        <f>'2020'!AC4</f>
        <v>K</v>
      </c>
      <c r="AD2" s="26" t="str">
        <f>'2020'!AD4</f>
        <v>Sze</v>
      </c>
      <c r="AE2" s="26" t="str">
        <f>'2020'!AE4</f>
        <v>Cs</v>
      </c>
      <c r="AF2" s="26" t="str">
        <f>'2020'!AF4</f>
        <v>P</v>
      </c>
      <c r="AH2" s="89"/>
      <c r="AI2" s="89"/>
    </row>
    <row r="3" spans="1:35" ht="20.100000000000001" customHeight="1">
      <c r="A3" s="88"/>
      <c r="B3" s="26">
        <f>'2020'!B5</f>
        <v>3</v>
      </c>
      <c r="C3" s="26">
        <f>'2020'!C5</f>
        <v>3</v>
      </c>
      <c r="D3" s="26" t="str">
        <f>'2020'!D5</f>
        <v>X</v>
      </c>
      <c r="E3" s="26" t="str">
        <f>'2020'!E5</f>
        <v>X</v>
      </c>
      <c r="F3" s="26">
        <f>'2020'!F5</f>
        <v>2</v>
      </c>
      <c r="G3" s="26">
        <f>'2020'!G5</f>
        <v>2</v>
      </c>
      <c r="H3" s="26">
        <f>'2020'!H5</f>
        <v>2</v>
      </c>
      <c r="I3" s="26">
        <f>'2020'!I5</f>
        <v>2</v>
      </c>
      <c r="J3" s="26">
        <f>'2020'!J5</f>
        <v>2</v>
      </c>
      <c r="K3" s="26">
        <f>'2020'!K5</f>
        <v>2</v>
      </c>
      <c r="L3" s="26" t="str">
        <f>'2020'!L5</f>
        <v>X</v>
      </c>
      <c r="M3" s="26" t="str">
        <f>'2020'!M5</f>
        <v>X</v>
      </c>
      <c r="N3" s="26">
        <f>'2020'!N5</f>
        <v>1</v>
      </c>
      <c r="O3" s="26">
        <f>'2020'!O5</f>
        <v>1</v>
      </c>
      <c r="P3" s="26">
        <f>'2020'!P5</f>
        <v>1</v>
      </c>
      <c r="Q3" s="26">
        <f>'2020'!Q5</f>
        <v>1</v>
      </c>
      <c r="R3" s="26">
        <f>'2020'!R5</f>
        <v>1</v>
      </c>
      <c r="S3" s="26">
        <f>'2020'!S5</f>
        <v>1</v>
      </c>
      <c r="T3" s="26" t="str">
        <f>'2020'!T5</f>
        <v>X</v>
      </c>
      <c r="U3" s="26" t="str">
        <f>'2020'!U5</f>
        <v>X</v>
      </c>
      <c r="V3" s="26">
        <f>'2020'!V5</f>
        <v>3</v>
      </c>
      <c r="W3" s="26">
        <f>'2020'!W5</f>
        <v>3</v>
      </c>
      <c r="X3" s="26">
        <f>'2020'!X5</f>
        <v>3</v>
      </c>
      <c r="Y3" s="26">
        <f>'2020'!Y5</f>
        <v>3</v>
      </c>
      <c r="Z3" s="26">
        <f>'2020'!Z5</f>
        <v>3</v>
      </c>
      <c r="AA3" s="26">
        <f>'2020'!AA5</f>
        <v>3</v>
      </c>
      <c r="AB3" s="26" t="str">
        <f>'2020'!AB5</f>
        <v>X</v>
      </c>
      <c r="AC3" s="26" t="str">
        <f>'2020'!AC5</f>
        <v>X</v>
      </c>
      <c r="AD3" s="26">
        <f>'2020'!AD5</f>
        <v>2</v>
      </c>
      <c r="AE3" s="26">
        <f>'2020'!AE5</f>
        <v>2</v>
      </c>
      <c r="AF3" s="26">
        <f>'2020'!AF5</f>
        <v>2</v>
      </c>
      <c r="AH3" s="89"/>
      <c r="AI3" s="89"/>
    </row>
    <row r="4" spans="1:35" ht="20.100000000000001" customHeight="1">
      <c r="A4" s="18" t="str">
        <f>ÖSSZES!$A$3</f>
        <v>Csuka Lajos</v>
      </c>
      <c r="B4" s="73"/>
      <c r="C4" s="72"/>
      <c r="D4" s="71" t="s">
        <v>2</v>
      </c>
      <c r="E4" s="71" t="s">
        <v>2</v>
      </c>
      <c r="F4" s="72"/>
      <c r="G4" s="65"/>
      <c r="H4" s="65"/>
      <c r="I4" s="72"/>
      <c r="J4" s="72"/>
      <c r="K4" s="72"/>
      <c r="L4" s="71" t="s">
        <v>2</v>
      </c>
      <c r="M4" s="71" t="s">
        <v>2</v>
      </c>
      <c r="N4" s="65"/>
      <c r="O4" s="65"/>
      <c r="P4" s="65"/>
      <c r="Q4" s="72"/>
      <c r="R4" s="72"/>
      <c r="S4" s="72" t="s">
        <v>114</v>
      </c>
      <c r="T4" s="71" t="s">
        <v>2</v>
      </c>
      <c r="U4" s="71" t="s">
        <v>2</v>
      </c>
      <c r="V4" s="65"/>
      <c r="W4" s="65"/>
      <c r="X4" s="65"/>
      <c r="Y4" s="72"/>
      <c r="Z4" s="72"/>
      <c r="AA4" s="72"/>
      <c r="AB4" s="71" t="s">
        <v>2</v>
      </c>
      <c r="AC4" s="71" t="s">
        <v>2</v>
      </c>
      <c r="AD4" s="65"/>
      <c r="AE4" s="65"/>
      <c r="AF4" s="72" t="s">
        <v>20</v>
      </c>
      <c r="AH4" s="16">
        <f>1*COUNTIF(A4:AF4,"+")</f>
        <v>1</v>
      </c>
      <c r="AI4" s="16">
        <f t="shared" ref="AI4" si="0">1*COUNTIF(B4:AF4,"szf")</f>
        <v>1</v>
      </c>
    </row>
    <row r="5" spans="1:35" ht="20.100000000000001" customHeight="1">
      <c r="A5" s="18" t="str">
        <f>ÖSSZES!$A$4</f>
        <v>Batiz Attila</v>
      </c>
      <c r="B5" s="73"/>
      <c r="C5" s="72"/>
      <c r="D5" s="71" t="s">
        <v>2</v>
      </c>
      <c r="E5" s="71" t="s">
        <v>2</v>
      </c>
      <c r="F5" s="65"/>
      <c r="G5" s="65"/>
      <c r="H5" s="65"/>
      <c r="I5" s="72"/>
      <c r="J5" s="72"/>
      <c r="K5" s="72"/>
      <c r="L5" s="71" t="s">
        <v>2</v>
      </c>
      <c r="M5" s="71" t="s">
        <v>2</v>
      </c>
      <c r="N5" s="72"/>
      <c r="O5" s="65"/>
      <c r="P5" s="65"/>
      <c r="Q5" s="72"/>
      <c r="R5" s="72"/>
      <c r="S5" s="72"/>
      <c r="T5" s="71" t="s">
        <v>2</v>
      </c>
      <c r="U5" s="71" t="s">
        <v>2</v>
      </c>
      <c r="V5" s="65"/>
      <c r="W5" s="65"/>
      <c r="X5" s="65"/>
      <c r="Y5" s="72"/>
      <c r="Z5" s="72"/>
      <c r="AA5" s="72" t="s">
        <v>114</v>
      </c>
      <c r="AB5" s="71" t="s">
        <v>2</v>
      </c>
      <c r="AC5" s="71" t="s">
        <v>2</v>
      </c>
      <c r="AD5" s="72"/>
      <c r="AE5" s="72"/>
      <c r="AF5" s="72"/>
      <c r="AH5" s="16">
        <f t="shared" ref="AH5:AH23" si="1">1*COUNTIF(A5:AF5,"+")</f>
        <v>1</v>
      </c>
      <c r="AI5" s="16">
        <f t="shared" ref="AI5:AI23" si="2">1*COUNTIF(B5:AF5,"szf")</f>
        <v>0</v>
      </c>
    </row>
    <row r="6" spans="1:35" ht="20.100000000000001" customHeight="1">
      <c r="A6" s="18" t="str">
        <f>ÖSSZES!$A$5</f>
        <v>Mizsák Péter</v>
      </c>
      <c r="B6" s="73" t="s">
        <v>20</v>
      </c>
      <c r="C6" s="72" t="s">
        <v>114</v>
      </c>
      <c r="D6" s="71" t="s">
        <v>2</v>
      </c>
      <c r="E6" s="71" t="s">
        <v>2</v>
      </c>
      <c r="F6" s="65"/>
      <c r="G6" s="65"/>
      <c r="H6" s="65"/>
      <c r="I6" s="72"/>
      <c r="J6" s="72"/>
      <c r="K6" s="72"/>
      <c r="L6" s="71" t="s">
        <v>2</v>
      </c>
      <c r="M6" s="71" t="s">
        <v>2</v>
      </c>
      <c r="N6" s="65"/>
      <c r="O6" s="65"/>
      <c r="P6" s="65"/>
      <c r="Q6" s="72"/>
      <c r="R6" s="72"/>
      <c r="S6" s="72"/>
      <c r="T6" s="71" t="s">
        <v>2</v>
      </c>
      <c r="U6" s="71" t="s">
        <v>2</v>
      </c>
      <c r="V6" s="65"/>
      <c r="W6" s="65"/>
      <c r="X6" s="65"/>
      <c r="Y6" s="72"/>
      <c r="Z6" s="72"/>
      <c r="AA6" s="72"/>
      <c r="AB6" s="71" t="s">
        <v>2</v>
      </c>
      <c r="AC6" s="71" t="s">
        <v>2</v>
      </c>
      <c r="AD6" s="65"/>
      <c r="AE6" s="65"/>
      <c r="AF6" s="65">
        <v>5.5</v>
      </c>
      <c r="AH6" s="16">
        <f t="shared" si="1"/>
        <v>1</v>
      </c>
      <c r="AI6" s="16">
        <f t="shared" si="2"/>
        <v>1</v>
      </c>
    </row>
    <row r="7" spans="1:35" ht="20.100000000000001" customHeight="1">
      <c r="A7" s="18" t="str">
        <f>ÖSSZES!$A$6</f>
        <v>Füredi Antal</v>
      </c>
      <c r="B7" s="73"/>
      <c r="C7" s="72"/>
      <c r="D7" s="71" t="s">
        <v>2</v>
      </c>
      <c r="E7" s="71" t="s">
        <v>2</v>
      </c>
      <c r="F7" s="72"/>
      <c r="G7" s="72"/>
      <c r="H7" s="72"/>
      <c r="I7" s="72"/>
      <c r="J7" s="72"/>
      <c r="K7" s="72"/>
      <c r="L7" s="71" t="s">
        <v>2</v>
      </c>
      <c r="M7" s="71" t="s">
        <v>2</v>
      </c>
      <c r="N7" s="65"/>
      <c r="O7" s="65"/>
      <c r="P7" s="65"/>
      <c r="Q7" s="72"/>
      <c r="R7" s="72"/>
      <c r="S7" s="72"/>
      <c r="T7" s="71" t="s">
        <v>2</v>
      </c>
      <c r="U7" s="71" t="s">
        <v>2</v>
      </c>
      <c r="V7" s="65"/>
      <c r="W7" s="65"/>
      <c r="X7" s="65"/>
      <c r="Y7" s="72"/>
      <c r="Z7" s="72"/>
      <c r="AA7" s="72"/>
      <c r="AB7" s="71" t="s">
        <v>2</v>
      </c>
      <c r="AC7" s="71" t="s">
        <v>2</v>
      </c>
      <c r="AD7" s="65"/>
      <c r="AE7" s="65"/>
      <c r="AF7" s="72"/>
      <c r="AH7" s="16">
        <f t="shared" si="1"/>
        <v>0</v>
      </c>
      <c r="AI7" s="16">
        <f t="shared" si="2"/>
        <v>0</v>
      </c>
    </row>
    <row r="8" spans="1:35" ht="20.100000000000001" customHeight="1">
      <c r="A8" s="18" t="str">
        <f>ÖSSZES!$A$7</f>
        <v>Iványi István</v>
      </c>
      <c r="B8" s="73"/>
      <c r="C8" s="72"/>
      <c r="D8" s="71" t="s">
        <v>2</v>
      </c>
      <c r="E8" s="71" t="s">
        <v>2</v>
      </c>
      <c r="F8" s="72" t="s">
        <v>114</v>
      </c>
      <c r="G8" s="65"/>
      <c r="H8" s="65"/>
      <c r="I8" s="72">
        <v>4</v>
      </c>
      <c r="J8" s="72"/>
      <c r="K8" s="72" t="s">
        <v>20</v>
      </c>
      <c r="L8" s="71" t="s">
        <v>2</v>
      </c>
      <c r="M8" s="71" t="s">
        <v>2</v>
      </c>
      <c r="N8" s="65"/>
      <c r="O8" s="65"/>
      <c r="P8" s="65"/>
      <c r="Q8" s="72"/>
      <c r="R8" s="72"/>
      <c r="S8" s="72"/>
      <c r="T8" s="71" t="s">
        <v>2</v>
      </c>
      <c r="U8" s="71" t="s">
        <v>2</v>
      </c>
      <c r="V8" s="65"/>
      <c r="W8" s="65"/>
      <c r="X8" s="65"/>
      <c r="Y8" s="72"/>
      <c r="Z8" s="72"/>
      <c r="AA8" s="72"/>
      <c r="AB8" s="71" t="s">
        <v>2</v>
      </c>
      <c r="AC8" s="71" t="s">
        <v>2</v>
      </c>
      <c r="AD8" s="65"/>
      <c r="AE8" s="65"/>
      <c r="AF8" s="65">
        <v>4</v>
      </c>
      <c r="AH8" s="16">
        <f t="shared" si="1"/>
        <v>1</v>
      </c>
      <c r="AI8" s="16">
        <f t="shared" si="2"/>
        <v>1</v>
      </c>
    </row>
    <row r="9" spans="1:35" ht="20.100000000000001" customHeight="1">
      <c r="A9" s="18" t="str">
        <f>ÖSSZES!$A$8</f>
        <v>Katonka Tibor</v>
      </c>
      <c r="B9" s="73"/>
      <c r="C9" s="72"/>
      <c r="D9" s="71" t="s">
        <v>2</v>
      </c>
      <c r="E9" s="71" t="s">
        <v>2</v>
      </c>
      <c r="F9" s="65"/>
      <c r="G9" s="65"/>
      <c r="H9" s="65"/>
      <c r="I9" s="72"/>
      <c r="J9" s="72"/>
      <c r="K9" s="72"/>
      <c r="L9" s="71" t="s">
        <v>2</v>
      </c>
      <c r="M9" s="71" t="s">
        <v>2</v>
      </c>
      <c r="N9" s="65"/>
      <c r="O9" s="72"/>
      <c r="P9" s="65"/>
      <c r="Q9" s="72"/>
      <c r="R9" s="72"/>
      <c r="S9" s="72"/>
      <c r="T9" s="71" t="s">
        <v>2</v>
      </c>
      <c r="U9" s="71" t="s">
        <v>2</v>
      </c>
      <c r="V9" s="65"/>
      <c r="W9" s="65"/>
      <c r="X9" s="65"/>
      <c r="Y9" s="72"/>
      <c r="Z9" s="72"/>
      <c r="AA9" s="72" t="s">
        <v>114</v>
      </c>
      <c r="AB9" s="71" t="s">
        <v>2</v>
      </c>
      <c r="AC9" s="71" t="s">
        <v>2</v>
      </c>
      <c r="AD9" s="65"/>
      <c r="AE9" s="65"/>
      <c r="AF9" s="65"/>
      <c r="AH9" s="16">
        <f t="shared" si="1"/>
        <v>1</v>
      </c>
      <c r="AI9" s="16">
        <f t="shared" si="2"/>
        <v>0</v>
      </c>
    </row>
    <row r="10" spans="1:35" ht="20.100000000000001" hidden="1" customHeight="1">
      <c r="A10" s="18" t="str">
        <f>ÖSSZES!$A$9</f>
        <v>Kiss János Tamás</v>
      </c>
      <c r="B10" s="73"/>
      <c r="C10" s="72"/>
      <c r="D10" s="71" t="s">
        <v>2</v>
      </c>
      <c r="E10" s="71" t="s">
        <v>2</v>
      </c>
      <c r="F10" s="65"/>
      <c r="G10" s="65"/>
      <c r="H10" s="65"/>
      <c r="I10" s="72"/>
      <c r="J10" s="72"/>
      <c r="K10" s="72"/>
      <c r="L10" s="71" t="s">
        <v>2</v>
      </c>
      <c r="M10" s="71" t="s">
        <v>2</v>
      </c>
      <c r="N10" s="65"/>
      <c r="O10" s="65"/>
      <c r="P10" s="65"/>
      <c r="Q10" s="72"/>
      <c r="R10" s="72"/>
      <c r="S10" s="72" t="s">
        <v>114</v>
      </c>
      <c r="T10" s="71" t="s">
        <v>2</v>
      </c>
      <c r="U10" s="71" t="s">
        <v>2</v>
      </c>
      <c r="V10" s="65"/>
      <c r="W10" s="65"/>
      <c r="X10" s="65"/>
      <c r="Y10" s="72"/>
      <c r="Z10" s="72"/>
      <c r="AA10" s="72"/>
      <c r="AB10" s="71" t="s">
        <v>2</v>
      </c>
      <c r="AC10" s="71" t="s">
        <v>2</v>
      </c>
      <c r="AD10" s="65"/>
      <c r="AE10" s="65"/>
      <c r="AF10" s="65"/>
      <c r="AH10" s="16">
        <f t="shared" si="1"/>
        <v>1</v>
      </c>
      <c r="AI10" s="16">
        <f t="shared" si="2"/>
        <v>0</v>
      </c>
    </row>
    <row r="11" spans="1:35" ht="20.100000000000001" customHeight="1">
      <c r="A11" s="18" t="str">
        <f>ÖSSZES!$A$10</f>
        <v>Vatamány Gergő</v>
      </c>
      <c r="B11" s="73"/>
      <c r="C11" s="72"/>
      <c r="D11" s="71" t="s">
        <v>2</v>
      </c>
      <c r="E11" s="71" t="s">
        <v>2</v>
      </c>
      <c r="F11" s="65"/>
      <c r="G11" s="65"/>
      <c r="H11" s="65"/>
      <c r="I11" s="72"/>
      <c r="J11" s="72"/>
      <c r="K11" s="72"/>
      <c r="L11" s="71" t="s">
        <v>2</v>
      </c>
      <c r="M11" s="71" t="s">
        <v>2</v>
      </c>
      <c r="N11" s="65"/>
      <c r="O11" s="65"/>
      <c r="P11" s="65"/>
      <c r="Q11" s="72"/>
      <c r="R11" s="72"/>
      <c r="S11" s="72"/>
      <c r="T11" s="71" t="s">
        <v>2</v>
      </c>
      <c r="U11" s="71" t="s">
        <v>2</v>
      </c>
      <c r="V11" s="65"/>
      <c r="W11" s="65"/>
      <c r="X11" s="65"/>
      <c r="Y11" s="72"/>
      <c r="Z11" s="72"/>
      <c r="AA11" s="72"/>
      <c r="AB11" s="71" t="s">
        <v>2</v>
      </c>
      <c r="AC11" s="71" t="s">
        <v>2</v>
      </c>
      <c r="AD11" s="65"/>
      <c r="AE11" s="65"/>
      <c r="AF11" s="65"/>
      <c r="AH11" s="16">
        <f t="shared" si="1"/>
        <v>0</v>
      </c>
      <c r="AI11" s="16">
        <f t="shared" si="2"/>
        <v>0</v>
      </c>
    </row>
    <row r="12" spans="1:35" ht="20.100000000000001" hidden="1" customHeight="1">
      <c r="A12" s="18" t="str">
        <f>ÖSSZES!$A$11</f>
        <v>Név9</v>
      </c>
      <c r="B12" s="59"/>
      <c r="C12" s="33"/>
      <c r="D12" s="58" t="s">
        <v>2</v>
      </c>
      <c r="E12" s="58" t="s">
        <v>2</v>
      </c>
      <c r="F12" s="31"/>
      <c r="G12" s="31"/>
      <c r="H12" s="31"/>
      <c r="I12" s="33"/>
      <c r="J12" s="33"/>
      <c r="K12" s="33"/>
      <c r="L12" s="58" t="s">
        <v>2</v>
      </c>
      <c r="M12" s="58" t="s">
        <v>2</v>
      </c>
      <c r="N12" s="31"/>
      <c r="O12" s="31"/>
      <c r="P12" s="31"/>
      <c r="Q12" s="33"/>
      <c r="R12" s="33"/>
      <c r="S12" s="33"/>
      <c r="T12" s="58" t="s">
        <v>2</v>
      </c>
      <c r="U12" s="58" t="s">
        <v>2</v>
      </c>
      <c r="V12" s="31"/>
      <c r="W12" s="31"/>
      <c r="X12" s="31"/>
      <c r="Y12" s="33"/>
      <c r="Z12" s="33"/>
      <c r="AA12" s="33"/>
      <c r="AB12" s="58" t="s">
        <v>2</v>
      </c>
      <c r="AC12" s="58" t="s">
        <v>2</v>
      </c>
      <c r="AD12" s="31"/>
      <c r="AE12" s="31"/>
      <c r="AF12" s="31"/>
      <c r="AH12" s="16">
        <f t="shared" si="1"/>
        <v>0</v>
      </c>
      <c r="AI12" s="16">
        <f t="shared" si="2"/>
        <v>0</v>
      </c>
    </row>
    <row r="13" spans="1:35" ht="20.100000000000001" hidden="1" customHeight="1">
      <c r="A13" s="18" t="str">
        <f>ÖSSZES!$A$12</f>
        <v>Név10</v>
      </c>
      <c r="B13" s="59"/>
      <c r="C13" s="33"/>
      <c r="D13" s="58" t="s">
        <v>2</v>
      </c>
      <c r="E13" s="58" t="s">
        <v>2</v>
      </c>
      <c r="F13" s="31"/>
      <c r="G13" s="31"/>
      <c r="H13" s="31"/>
      <c r="I13" s="33"/>
      <c r="J13" s="33"/>
      <c r="K13" s="33"/>
      <c r="L13" s="58" t="s">
        <v>2</v>
      </c>
      <c r="M13" s="58" t="s">
        <v>2</v>
      </c>
      <c r="N13" s="31"/>
      <c r="O13" s="31"/>
      <c r="P13" s="31"/>
      <c r="Q13" s="33"/>
      <c r="R13" s="33"/>
      <c r="S13" s="33"/>
      <c r="T13" s="58" t="s">
        <v>2</v>
      </c>
      <c r="U13" s="58" t="s">
        <v>2</v>
      </c>
      <c r="V13" s="31"/>
      <c r="W13" s="31"/>
      <c r="X13" s="31"/>
      <c r="Y13" s="33"/>
      <c r="Z13" s="33"/>
      <c r="AA13" s="33"/>
      <c r="AB13" s="58" t="s">
        <v>2</v>
      </c>
      <c r="AC13" s="58" t="s">
        <v>2</v>
      </c>
      <c r="AD13" s="31"/>
      <c r="AE13" s="31"/>
      <c r="AF13" s="31"/>
      <c r="AH13" s="16">
        <f t="shared" si="1"/>
        <v>0</v>
      </c>
      <c r="AI13" s="16">
        <f t="shared" si="2"/>
        <v>0</v>
      </c>
    </row>
    <row r="14" spans="1:35" ht="20.100000000000001" hidden="1" customHeight="1">
      <c r="A14" s="18" t="str">
        <f>ÖSSZES!$A$13</f>
        <v>Név11</v>
      </c>
      <c r="B14" s="59"/>
      <c r="C14" s="33"/>
      <c r="D14" s="58" t="s">
        <v>2</v>
      </c>
      <c r="E14" s="58" t="s">
        <v>2</v>
      </c>
      <c r="F14" s="31"/>
      <c r="G14" s="31"/>
      <c r="H14" s="31"/>
      <c r="I14" s="33"/>
      <c r="J14" s="33"/>
      <c r="K14" s="33"/>
      <c r="L14" s="58" t="s">
        <v>2</v>
      </c>
      <c r="M14" s="58" t="s">
        <v>2</v>
      </c>
      <c r="N14" s="31"/>
      <c r="O14" s="31"/>
      <c r="P14" s="31"/>
      <c r="Q14" s="33"/>
      <c r="R14" s="33"/>
      <c r="S14" s="33"/>
      <c r="T14" s="58" t="s">
        <v>2</v>
      </c>
      <c r="U14" s="58" t="s">
        <v>2</v>
      </c>
      <c r="V14" s="31"/>
      <c r="W14" s="31"/>
      <c r="X14" s="31"/>
      <c r="Y14" s="33"/>
      <c r="Z14" s="33"/>
      <c r="AA14" s="33"/>
      <c r="AB14" s="58" t="s">
        <v>2</v>
      </c>
      <c r="AC14" s="58" t="s">
        <v>2</v>
      </c>
      <c r="AD14" s="31"/>
      <c r="AE14" s="31"/>
      <c r="AF14" s="31"/>
      <c r="AH14" s="16">
        <f t="shared" si="1"/>
        <v>0</v>
      </c>
      <c r="AI14" s="16">
        <f t="shared" si="2"/>
        <v>0</v>
      </c>
    </row>
    <row r="15" spans="1:35" ht="20.100000000000001" hidden="1" customHeight="1">
      <c r="A15" s="18" t="str">
        <f>ÖSSZES!$A$14</f>
        <v>Név12</v>
      </c>
      <c r="B15" s="59"/>
      <c r="C15" s="33"/>
      <c r="D15" s="58" t="s">
        <v>2</v>
      </c>
      <c r="E15" s="58" t="s">
        <v>2</v>
      </c>
      <c r="F15" s="31"/>
      <c r="G15" s="31"/>
      <c r="H15" s="31"/>
      <c r="I15" s="33"/>
      <c r="J15" s="33"/>
      <c r="K15" s="33"/>
      <c r="L15" s="58" t="s">
        <v>2</v>
      </c>
      <c r="M15" s="58" t="s">
        <v>2</v>
      </c>
      <c r="N15" s="31"/>
      <c r="O15" s="31"/>
      <c r="P15" s="31"/>
      <c r="Q15" s="33"/>
      <c r="R15" s="33"/>
      <c r="S15" s="33"/>
      <c r="T15" s="58" t="s">
        <v>2</v>
      </c>
      <c r="U15" s="58" t="s">
        <v>2</v>
      </c>
      <c r="V15" s="31"/>
      <c r="W15" s="31"/>
      <c r="X15" s="31"/>
      <c r="Y15" s="33"/>
      <c r="Z15" s="33"/>
      <c r="AA15" s="33"/>
      <c r="AB15" s="58" t="s">
        <v>2</v>
      </c>
      <c r="AC15" s="58" t="s">
        <v>2</v>
      </c>
      <c r="AD15" s="31"/>
      <c r="AE15" s="31"/>
      <c r="AF15" s="31"/>
      <c r="AH15" s="16">
        <f t="shared" si="1"/>
        <v>0</v>
      </c>
      <c r="AI15" s="16">
        <f t="shared" si="2"/>
        <v>0</v>
      </c>
    </row>
    <row r="16" spans="1:35" ht="20.100000000000001" hidden="1" customHeight="1">
      <c r="A16" s="18" t="str">
        <f>ÖSSZES!$A$15</f>
        <v>Név13</v>
      </c>
      <c r="B16" s="59"/>
      <c r="C16" s="33"/>
      <c r="D16" s="58" t="s">
        <v>2</v>
      </c>
      <c r="E16" s="58" t="s">
        <v>2</v>
      </c>
      <c r="F16" s="31"/>
      <c r="G16" s="31"/>
      <c r="H16" s="31"/>
      <c r="I16" s="33"/>
      <c r="J16" s="33"/>
      <c r="K16" s="33"/>
      <c r="L16" s="58" t="s">
        <v>2</v>
      </c>
      <c r="M16" s="58" t="s">
        <v>2</v>
      </c>
      <c r="N16" s="31"/>
      <c r="O16" s="31"/>
      <c r="P16" s="31"/>
      <c r="Q16" s="33"/>
      <c r="R16" s="33"/>
      <c r="S16" s="33"/>
      <c r="T16" s="58" t="s">
        <v>2</v>
      </c>
      <c r="U16" s="58" t="s">
        <v>2</v>
      </c>
      <c r="V16" s="31"/>
      <c r="W16" s="31"/>
      <c r="X16" s="31"/>
      <c r="Y16" s="33"/>
      <c r="Z16" s="33"/>
      <c r="AA16" s="33"/>
      <c r="AB16" s="58" t="s">
        <v>2</v>
      </c>
      <c r="AC16" s="58" t="s">
        <v>2</v>
      </c>
      <c r="AD16" s="31"/>
      <c r="AE16" s="31"/>
      <c r="AF16" s="31"/>
      <c r="AH16" s="16">
        <f t="shared" si="1"/>
        <v>0</v>
      </c>
      <c r="AI16" s="16">
        <f t="shared" si="2"/>
        <v>0</v>
      </c>
    </row>
    <row r="17" spans="1:35" ht="20.100000000000001" hidden="1" customHeight="1">
      <c r="A17" s="18" t="str">
        <f>ÖSSZES!$A$16</f>
        <v>Név14</v>
      </c>
      <c r="B17" s="59"/>
      <c r="C17" s="33"/>
      <c r="D17" s="58" t="s">
        <v>2</v>
      </c>
      <c r="E17" s="58" t="s">
        <v>2</v>
      </c>
      <c r="F17" s="31"/>
      <c r="G17" s="31"/>
      <c r="H17" s="31"/>
      <c r="I17" s="33"/>
      <c r="J17" s="33"/>
      <c r="K17" s="33"/>
      <c r="L17" s="58" t="s">
        <v>2</v>
      </c>
      <c r="M17" s="58" t="s">
        <v>2</v>
      </c>
      <c r="N17" s="31"/>
      <c r="O17" s="31"/>
      <c r="P17" s="31"/>
      <c r="Q17" s="33"/>
      <c r="R17" s="33"/>
      <c r="S17" s="33"/>
      <c r="T17" s="58" t="s">
        <v>2</v>
      </c>
      <c r="U17" s="58" t="s">
        <v>2</v>
      </c>
      <c r="V17" s="31"/>
      <c r="W17" s="31"/>
      <c r="X17" s="31"/>
      <c r="Y17" s="33"/>
      <c r="Z17" s="33"/>
      <c r="AA17" s="33"/>
      <c r="AB17" s="58" t="s">
        <v>2</v>
      </c>
      <c r="AC17" s="58" t="s">
        <v>2</v>
      </c>
      <c r="AD17" s="31"/>
      <c r="AE17" s="31"/>
      <c r="AF17" s="31"/>
      <c r="AH17" s="16">
        <f t="shared" si="1"/>
        <v>0</v>
      </c>
      <c r="AI17" s="16">
        <f t="shared" si="2"/>
        <v>0</v>
      </c>
    </row>
    <row r="18" spans="1:35" ht="20.100000000000001" hidden="1" customHeight="1">
      <c r="A18" s="18" t="str">
        <f>ÖSSZES!$A$17</f>
        <v>Név15</v>
      </c>
      <c r="B18" s="59"/>
      <c r="C18" s="33"/>
      <c r="D18" s="58" t="s">
        <v>2</v>
      </c>
      <c r="E18" s="58" t="s">
        <v>2</v>
      </c>
      <c r="F18" s="31"/>
      <c r="G18" s="31"/>
      <c r="H18" s="31"/>
      <c r="I18" s="33"/>
      <c r="J18" s="33"/>
      <c r="K18" s="33"/>
      <c r="L18" s="58" t="s">
        <v>2</v>
      </c>
      <c r="M18" s="58" t="s">
        <v>2</v>
      </c>
      <c r="N18" s="31"/>
      <c r="O18" s="31"/>
      <c r="P18" s="31"/>
      <c r="Q18" s="33"/>
      <c r="R18" s="33"/>
      <c r="S18" s="33"/>
      <c r="T18" s="58" t="s">
        <v>2</v>
      </c>
      <c r="U18" s="58" t="s">
        <v>2</v>
      </c>
      <c r="V18" s="31"/>
      <c r="W18" s="31"/>
      <c r="X18" s="31"/>
      <c r="Y18" s="33"/>
      <c r="Z18" s="33"/>
      <c r="AA18" s="33"/>
      <c r="AB18" s="58" t="s">
        <v>2</v>
      </c>
      <c r="AC18" s="58" t="s">
        <v>2</v>
      </c>
      <c r="AD18" s="31"/>
      <c r="AE18" s="31"/>
      <c r="AF18" s="31"/>
      <c r="AH18" s="16">
        <f t="shared" si="1"/>
        <v>0</v>
      </c>
      <c r="AI18" s="16">
        <f t="shared" si="2"/>
        <v>0</v>
      </c>
    </row>
    <row r="19" spans="1:35" ht="20.100000000000001" hidden="1" customHeight="1">
      <c r="A19" s="18" t="str">
        <f>ÖSSZES!$A$18</f>
        <v>Név16</v>
      </c>
      <c r="B19" s="59"/>
      <c r="C19" s="33"/>
      <c r="D19" s="58" t="s">
        <v>2</v>
      </c>
      <c r="E19" s="58" t="s">
        <v>2</v>
      </c>
      <c r="F19" s="31"/>
      <c r="G19" s="31"/>
      <c r="H19" s="31"/>
      <c r="I19" s="33"/>
      <c r="J19" s="33"/>
      <c r="K19" s="33"/>
      <c r="L19" s="58" t="s">
        <v>2</v>
      </c>
      <c r="M19" s="58" t="s">
        <v>2</v>
      </c>
      <c r="N19" s="31"/>
      <c r="O19" s="31"/>
      <c r="P19" s="31"/>
      <c r="Q19" s="33"/>
      <c r="R19" s="33"/>
      <c r="S19" s="33"/>
      <c r="T19" s="58" t="s">
        <v>2</v>
      </c>
      <c r="U19" s="58" t="s">
        <v>2</v>
      </c>
      <c r="V19" s="31"/>
      <c r="W19" s="31"/>
      <c r="X19" s="31"/>
      <c r="Y19" s="33"/>
      <c r="Z19" s="33"/>
      <c r="AA19" s="33"/>
      <c r="AB19" s="58" t="s">
        <v>2</v>
      </c>
      <c r="AC19" s="58" t="s">
        <v>2</v>
      </c>
      <c r="AD19" s="31"/>
      <c r="AE19" s="31"/>
      <c r="AF19" s="31"/>
      <c r="AH19" s="16">
        <f t="shared" si="1"/>
        <v>0</v>
      </c>
      <c r="AI19" s="16">
        <f t="shared" si="2"/>
        <v>0</v>
      </c>
    </row>
    <row r="20" spans="1:35" ht="20.100000000000001" hidden="1" customHeight="1">
      <c r="A20" s="18" t="str">
        <f>ÖSSZES!$A$19</f>
        <v>Név17</v>
      </c>
      <c r="B20" s="59"/>
      <c r="C20" s="33"/>
      <c r="D20" s="58" t="s">
        <v>2</v>
      </c>
      <c r="E20" s="58" t="s">
        <v>2</v>
      </c>
      <c r="F20" s="31"/>
      <c r="G20" s="31"/>
      <c r="H20" s="31"/>
      <c r="I20" s="33"/>
      <c r="J20" s="33"/>
      <c r="K20" s="33"/>
      <c r="L20" s="58" t="s">
        <v>2</v>
      </c>
      <c r="M20" s="58" t="s">
        <v>2</v>
      </c>
      <c r="N20" s="31"/>
      <c r="O20" s="31"/>
      <c r="P20" s="31"/>
      <c r="Q20" s="33"/>
      <c r="R20" s="33"/>
      <c r="S20" s="33"/>
      <c r="T20" s="58" t="s">
        <v>2</v>
      </c>
      <c r="U20" s="58" t="s">
        <v>2</v>
      </c>
      <c r="V20" s="31"/>
      <c r="W20" s="31"/>
      <c r="X20" s="31"/>
      <c r="Y20" s="33"/>
      <c r="Z20" s="33"/>
      <c r="AA20" s="33"/>
      <c r="AB20" s="58" t="s">
        <v>2</v>
      </c>
      <c r="AC20" s="58" t="s">
        <v>2</v>
      </c>
      <c r="AD20" s="31"/>
      <c r="AE20" s="31"/>
      <c r="AF20" s="31"/>
      <c r="AH20" s="16">
        <f t="shared" si="1"/>
        <v>0</v>
      </c>
      <c r="AI20" s="16">
        <f t="shared" si="2"/>
        <v>0</v>
      </c>
    </row>
    <row r="21" spans="1:35" ht="20.100000000000001" hidden="1" customHeight="1">
      <c r="A21" s="18" t="str">
        <f>ÖSSZES!$A$20</f>
        <v>Név18</v>
      </c>
      <c r="B21" s="59"/>
      <c r="C21" s="33"/>
      <c r="D21" s="58" t="s">
        <v>2</v>
      </c>
      <c r="E21" s="58" t="s">
        <v>2</v>
      </c>
      <c r="F21" s="31"/>
      <c r="G21" s="31"/>
      <c r="H21" s="31"/>
      <c r="I21" s="33"/>
      <c r="J21" s="33"/>
      <c r="K21" s="33"/>
      <c r="L21" s="58" t="s">
        <v>2</v>
      </c>
      <c r="M21" s="58" t="s">
        <v>2</v>
      </c>
      <c r="N21" s="31"/>
      <c r="O21" s="31"/>
      <c r="P21" s="31"/>
      <c r="Q21" s="33"/>
      <c r="R21" s="33"/>
      <c r="S21" s="33"/>
      <c r="T21" s="58" t="s">
        <v>2</v>
      </c>
      <c r="U21" s="58" t="s">
        <v>2</v>
      </c>
      <c r="V21" s="31"/>
      <c r="W21" s="31"/>
      <c r="X21" s="31"/>
      <c r="Y21" s="33"/>
      <c r="Z21" s="33"/>
      <c r="AA21" s="33"/>
      <c r="AB21" s="58" t="s">
        <v>2</v>
      </c>
      <c r="AC21" s="58" t="s">
        <v>2</v>
      </c>
      <c r="AD21" s="31"/>
      <c r="AE21" s="31"/>
      <c r="AF21" s="31"/>
      <c r="AH21" s="16">
        <f t="shared" si="1"/>
        <v>0</v>
      </c>
      <c r="AI21" s="16">
        <f t="shared" si="2"/>
        <v>0</v>
      </c>
    </row>
    <row r="22" spans="1:35" ht="20.100000000000001" hidden="1" customHeight="1">
      <c r="A22" s="18" t="str">
        <f>ÖSSZES!$A$21</f>
        <v>Név19</v>
      </c>
      <c r="B22" s="59"/>
      <c r="C22" s="33"/>
      <c r="D22" s="58" t="s">
        <v>2</v>
      </c>
      <c r="E22" s="58" t="s">
        <v>2</v>
      </c>
      <c r="F22" s="31"/>
      <c r="G22" s="31"/>
      <c r="H22" s="31"/>
      <c r="I22" s="33"/>
      <c r="J22" s="33"/>
      <c r="K22" s="33"/>
      <c r="L22" s="58" t="s">
        <v>2</v>
      </c>
      <c r="M22" s="58" t="s">
        <v>2</v>
      </c>
      <c r="N22" s="31"/>
      <c r="O22" s="31"/>
      <c r="P22" s="31"/>
      <c r="Q22" s="33"/>
      <c r="R22" s="33"/>
      <c r="S22" s="33"/>
      <c r="T22" s="58" t="s">
        <v>2</v>
      </c>
      <c r="U22" s="58" t="s">
        <v>2</v>
      </c>
      <c r="V22" s="31"/>
      <c r="W22" s="31"/>
      <c r="X22" s="31"/>
      <c r="Y22" s="33"/>
      <c r="Z22" s="33"/>
      <c r="AA22" s="33"/>
      <c r="AB22" s="58" t="s">
        <v>2</v>
      </c>
      <c r="AC22" s="58" t="s">
        <v>2</v>
      </c>
      <c r="AD22" s="31"/>
      <c r="AE22" s="31"/>
      <c r="AF22" s="31"/>
      <c r="AH22" s="16">
        <f t="shared" si="1"/>
        <v>0</v>
      </c>
      <c r="AI22" s="16">
        <f t="shared" si="2"/>
        <v>0</v>
      </c>
    </row>
    <row r="23" spans="1:35" ht="20.100000000000001" hidden="1" customHeight="1">
      <c r="A23" s="18" t="str">
        <f>ÖSSZES!$A$22</f>
        <v>Név20</v>
      </c>
      <c r="B23" s="59"/>
      <c r="C23" s="33"/>
      <c r="D23" s="58" t="s">
        <v>2</v>
      </c>
      <c r="E23" s="58" t="s">
        <v>2</v>
      </c>
      <c r="F23" s="31"/>
      <c r="G23" s="31"/>
      <c r="H23" s="31"/>
      <c r="I23" s="33"/>
      <c r="J23" s="33"/>
      <c r="K23" s="33"/>
      <c r="L23" s="58" t="s">
        <v>2</v>
      </c>
      <c r="M23" s="58" t="s">
        <v>2</v>
      </c>
      <c r="N23" s="31"/>
      <c r="O23" s="31"/>
      <c r="P23" s="31"/>
      <c r="Q23" s="33"/>
      <c r="R23" s="33"/>
      <c r="S23" s="33"/>
      <c r="T23" s="58" t="s">
        <v>2</v>
      </c>
      <c r="U23" s="58" t="s">
        <v>2</v>
      </c>
      <c r="V23" s="31"/>
      <c r="W23" s="31"/>
      <c r="X23" s="31"/>
      <c r="Y23" s="33"/>
      <c r="Z23" s="33"/>
      <c r="AA23" s="33"/>
      <c r="AB23" s="58" t="s">
        <v>2</v>
      </c>
      <c r="AC23" s="58" t="s">
        <v>2</v>
      </c>
      <c r="AD23" s="31"/>
      <c r="AE23" s="31"/>
      <c r="AF23" s="31"/>
      <c r="AH23" s="16">
        <f t="shared" si="1"/>
        <v>0</v>
      </c>
      <c r="AI23" s="16">
        <f t="shared" si="2"/>
        <v>0</v>
      </c>
    </row>
    <row r="24" spans="1:35" ht="20.100000000000001" customHeight="1"/>
    <row r="25" spans="1:35" s="25" customFormat="1" ht="20.100000000000001" customHeight="1">
      <c r="A25" s="88" t="s">
        <v>6</v>
      </c>
      <c r="B25" s="24">
        <v>1</v>
      </c>
      <c r="C25" s="24">
        <v>2</v>
      </c>
      <c r="D25" s="24">
        <v>3</v>
      </c>
      <c r="E25" s="24">
        <v>4</v>
      </c>
      <c r="F25" s="24">
        <v>5</v>
      </c>
      <c r="G25" s="24">
        <v>6</v>
      </c>
      <c r="H25" s="24">
        <v>7</v>
      </c>
      <c r="I25" s="24">
        <v>8</v>
      </c>
      <c r="J25" s="24">
        <v>9</v>
      </c>
      <c r="K25" s="24">
        <v>10</v>
      </c>
      <c r="L25" s="24">
        <v>11</v>
      </c>
      <c r="M25" s="24">
        <v>12</v>
      </c>
      <c r="N25" s="24">
        <v>13</v>
      </c>
      <c r="O25" s="24">
        <v>14</v>
      </c>
      <c r="P25" s="24">
        <v>15</v>
      </c>
      <c r="Q25" s="24">
        <v>16</v>
      </c>
      <c r="R25" s="24">
        <v>17</v>
      </c>
      <c r="S25" s="24">
        <v>18</v>
      </c>
      <c r="T25" s="24">
        <v>19</v>
      </c>
      <c r="U25" s="24">
        <v>20</v>
      </c>
      <c r="V25" s="24">
        <v>21</v>
      </c>
      <c r="W25" s="24">
        <v>22</v>
      </c>
      <c r="X25" s="24">
        <v>23</v>
      </c>
      <c r="Y25" s="24">
        <v>24</v>
      </c>
      <c r="Z25" s="24">
        <v>25</v>
      </c>
      <c r="AA25" s="24">
        <v>26</v>
      </c>
      <c r="AB25" s="24">
        <v>27</v>
      </c>
      <c r="AC25" s="24">
        <v>28</v>
      </c>
      <c r="AD25" s="24">
        <v>29</v>
      </c>
      <c r="AH25" s="88" t="s">
        <v>18</v>
      </c>
      <c r="AI25" s="88" t="s">
        <v>19</v>
      </c>
    </row>
    <row r="26" spans="1:35" ht="20.100000000000001" customHeight="1">
      <c r="A26" s="90"/>
      <c r="B26" s="26" t="str">
        <f>'2020'!B12</f>
        <v>Szo</v>
      </c>
      <c r="C26" s="26" t="str">
        <f>'2020'!C12</f>
        <v>V</v>
      </c>
      <c r="D26" s="26" t="str">
        <f>'2020'!D12</f>
        <v>H</v>
      </c>
      <c r="E26" s="26" t="str">
        <f>'2020'!E12</f>
        <v>K</v>
      </c>
      <c r="F26" s="26" t="str">
        <f>'2020'!F12</f>
        <v>Sze</v>
      </c>
      <c r="G26" s="26" t="str">
        <f>'2020'!G12</f>
        <v>Cs</v>
      </c>
      <c r="H26" s="26" t="str">
        <f>'2020'!H12</f>
        <v>P</v>
      </c>
      <c r="I26" s="26" t="str">
        <f>'2020'!I12</f>
        <v>Szo</v>
      </c>
      <c r="J26" s="26" t="str">
        <f>'2020'!J12</f>
        <v>V</v>
      </c>
      <c r="K26" s="26" t="str">
        <f>'2020'!K12</f>
        <v>H</v>
      </c>
      <c r="L26" s="26" t="str">
        <f>'2020'!L12</f>
        <v>K</v>
      </c>
      <c r="M26" s="26" t="str">
        <f>'2020'!M12</f>
        <v>Sze</v>
      </c>
      <c r="N26" s="26" t="str">
        <f>'2020'!N12</f>
        <v>Cs</v>
      </c>
      <c r="O26" s="26" t="str">
        <f>'2020'!O12</f>
        <v>P</v>
      </c>
      <c r="P26" s="26" t="str">
        <f>'2020'!P12</f>
        <v>Szo</v>
      </c>
      <c r="Q26" s="26" t="str">
        <f>'2020'!Q12</f>
        <v>V</v>
      </c>
      <c r="R26" s="26" t="str">
        <f>'2020'!R12</f>
        <v>H</v>
      </c>
      <c r="S26" s="26" t="str">
        <f>'2020'!S12</f>
        <v>K</v>
      </c>
      <c r="T26" s="26" t="str">
        <f>'2020'!T12</f>
        <v>Sze</v>
      </c>
      <c r="U26" s="26" t="str">
        <f>'2020'!U12</f>
        <v>Cs</v>
      </c>
      <c r="V26" s="26" t="str">
        <f>'2020'!V12</f>
        <v>P</v>
      </c>
      <c r="W26" s="26" t="str">
        <f>'2020'!W12</f>
        <v>Szo</v>
      </c>
      <c r="X26" s="26" t="str">
        <f>'2020'!X12</f>
        <v>V</v>
      </c>
      <c r="Y26" s="26" t="str">
        <f>'2020'!Y12</f>
        <v>H</v>
      </c>
      <c r="Z26" s="26" t="str">
        <f>'2020'!Z12</f>
        <v>K</v>
      </c>
      <c r="AA26" s="26" t="str">
        <f>'2020'!AA12</f>
        <v>Sze</v>
      </c>
      <c r="AB26" s="26" t="str">
        <f>'2020'!AB12</f>
        <v>Cs</v>
      </c>
      <c r="AC26" s="26" t="str">
        <f>'2020'!AC12</f>
        <v>P</v>
      </c>
      <c r="AD26" s="26" t="str">
        <f>'2020'!AD12</f>
        <v>Szo</v>
      </c>
      <c r="AE26" s="21"/>
      <c r="AF26" s="21"/>
      <c r="AH26" s="89"/>
      <c r="AI26" s="89"/>
    </row>
    <row r="27" spans="1:35" ht="20.100000000000001" customHeight="1">
      <c r="A27" s="89"/>
      <c r="B27" s="26">
        <f>'2020'!B13</f>
        <v>2</v>
      </c>
      <c r="C27" s="26">
        <f>'2020'!C13</f>
        <v>2</v>
      </c>
      <c r="D27" s="26">
        <f>'2020'!D13</f>
        <v>2</v>
      </c>
      <c r="E27" s="26" t="str">
        <f>'2020'!E13</f>
        <v>X</v>
      </c>
      <c r="F27" s="26" t="str">
        <f>'2020'!F13</f>
        <v>X</v>
      </c>
      <c r="G27" s="26">
        <f>'2020'!G13</f>
        <v>1</v>
      </c>
      <c r="H27" s="26">
        <f>'2020'!H13</f>
        <v>1</v>
      </c>
      <c r="I27" s="26">
        <f>'2020'!I13</f>
        <v>1</v>
      </c>
      <c r="J27" s="26">
        <f>'2020'!J13</f>
        <v>1</v>
      </c>
      <c r="K27" s="26">
        <f>'2020'!K13</f>
        <v>1</v>
      </c>
      <c r="L27" s="26">
        <f>'2020'!L13</f>
        <v>1</v>
      </c>
      <c r="M27" s="26" t="str">
        <f>'2020'!M13</f>
        <v>X</v>
      </c>
      <c r="N27" s="26" t="str">
        <f>'2020'!N13</f>
        <v>X</v>
      </c>
      <c r="O27" s="26">
        <f>'2020'!O13</f>
        <v>3</v>
      </c>
      <c r="P27" s="26">
        <f>'2020'!P13</f>
        <v>3</v>
      </c>
      <c r="Q27" s="26">
        <f>'2020'!Q13</f>
        <v>3</v>
      </c>
      <c r="R27" s="26">
        <f>'2020'!R13</f>
        <v>3</v>
      </c>
      <c r="S27" s="26">
        <f>'2020'!S13</f>
        <v>3</v>
      </c>
      <c r="T27" s="26">
        <f>'2020'!T13</f>
        <v>3</v>
      </c>
      <c r="U27" s="26" t="str">
        <f>'2020'!U13</f>
        <v>X</v>
      </c>
      <c r="V27" s="26" t="str">
        <f>'2020'!V13</f>
        <v>X</v>
      </c>
      <c r="W27" s="26">
        <f>'2020'!W13</f>
        <v>2</v>
      </c>
      <c r="X27" s="26">
        <f>'2020'!X13</f>
        <v>2</v>
      </c>
      <c r="Y27" s="26">
        <f>'2020'!Y13</f>
        <v>2</v>
      </c>
      <c r="Z27" s="26">
        <f>'2020'!Z13</f>
        <v>2</v>
      </c>
      <c r="AA27" s="26">
        <f>'2020'!AA13</f>
        <v>2</v>
      </c>
      <c r="AB27" s="26">
        <f>'2020'!AB13</f>
        <v>2</v>
      </c>
      <c r="AC27" s="26" t="str">
        <f>'2020'!AC13</f>
        <v>X</v>
      </c>
      <c r="AD27" s="26" t="str">
        <f>'2020'!AD13</f>
        <v>X</v>
      </c>
      <c r="AE27" s="21"/>
      <c r="AF27" s="21"/>
      <c r="AH27" s="89"/>
      <c r="AI27" s="89"/>
    </row>
    <row r="28" spans="1:35" ht="20.100000000000001" customHeight="1">
      <c r="A28" s="18" t="str">
        <f>ÖSSZES!$A$3</f>
        <v>Csuka Lajos</v>
      </c>
      <c r="B28" s="72"/>
      <c r="C28" s="72"/>
      <c r="D28" s="72"/>
      <c r="E28" s="71" t="s">
        <v>2</v>
      </c>
      <c r="F28" s="71" t="s">
        <v>2</v>
      </c>
      <c r="G28" s="72"/>
      <c r="H28" s="79"/>
      <c r="I28" s="72" t="s">
        <v>114</v>
      </c>
      <c r="J28" s="72" t="s">
        <v>39</v>
      </c>
      <c r="K28" s="72"/>
      <c r="L28" s="72"/>
      <c r="M28" s="71" t="s">
        <v>2</v>
      </c>
      <c r="N28" s="71" t="s">
        <v>2</v>
      </c>
      <c r="O28" s="72"/>
      <c r="P28" s="79"/>
      <c r="Q28" s="72"/>
      <c r="R28" s="72"/>
      <c r="S28" s="72"/>
      <c r="T28" s="72"/>
      <c r="U28" s="71" t="s">
        <v>2</v>
      </c>
      <c r="V28" s="71" t="s">
        <v>2</v>
      </c>
      <c r="W28" s="72"/>
      <c r="X28" s="79"/>
      <c r="Y28" s="72"/>
      <c r="Z28" s="72"/>
      <c r="AA28" s="72"/>
      <c r="AB28" s="72"/>
      <c r="AC28" s="71" t="s">
        <v>2</v>
      </c>
      <c r="AD28" s="71" t="s">
        <v>2</v>
      </c>
      <c r="AE28" s="28"/>
      <c r="AF28" s="28"/>
      <c r="AH28" s="16">
        <f>1*COUNTIF(A28:AF28,"+")</f>
        <v>1</v>
      </c>
      <c r="AI28" s="16">
        <f t="shared" ref="AI28" si="3">1*COUNTIF(B28:AF28,"szf")</f>
        <v>1</v>
      </c>
    </row>
    <row r="29" spans="1:35" ht="20.100000000000001" customHeight="1">
      <c r="A29" s="18" t="str">
        <f>ÖSSZES!$A$4</f>
        <v>Batiz Attila</v>
      </c>
      <c r="B29" s="72"/>
      <c r="C29" s="72"/>
      <c r="D29" s="72"/>
      <c r="E29" s="71" t="s">
        <v>2</v>
      </c>
      <c r="F29" s="71" t="s">
        <v>2</v>
      </c>
      <c r="G29" s="72"/>
      <c r="H29" s="79"/>
      <c r="I29" s="72"/>
      <c r="J29" s="72"/>
      <c r="K29" s="72"/>
      <c r="L29" s="72"/>
      <c r="M29" s="71" t="s">
        <v>2</v>
      </c>
      <c r="N29" s="71" t="s">
        <v>2</v>
      </c>
      <c r="O29" s="72"/>
      <c r="P29" s="79"/>
      <c r="Q29" s="72"/>
      <c r="R29" s="72"/>
      <c r="S29" s="72"/>
      <c r="T29" s="72"/>
      <c r="U29" s="71" t="s">
        <v>2</v>
      </c>
      <c r="V29" s="71" t="s">
        <v>2</v>
      </c>
      <c r="W29" s="72"/>
      <c r="X29" s="79"/>
      <c r="Y29" s="72"/>
      <c r="Z29" s="72"/>
      <c r="AA29" s="72" t="s">
        <v>114</v>
      </c>
      <c r="AB29" s="72" t="s">
        <v>114</v>
      </c>
      <c r="AC29" s="71" t="s">
        <v>2</v>
      </c>
      <c r="AD29" s="71" t="s">
        <v>2</v>
      </c>
      <c r="AE29" s="28"/>
      <c r="AF29" s="28"/>
      <c r="AH29" s="16">
        <f t="shared" ref="AH29:AH47" si="4">1*COUNTIF(A29:AF29,"+")</f>
        <v>2</v>
      </c>
      <c r="AI29" s="16">
        <f t="shared" ref="AI29:AI47" si="5">1*COUNTIF(B29:AF29,"szf")</f>
        <v>0</v>
      </c>
    </row>
    <row r="30" spans="1:35" ht="20.100000000000001" customHeight="1">
      <c r="A30" s="18" t="str">
        <f>ÖSSZES!$A$5</f>
        <v>Mizsák Péter</v>
      </c>
      <c r="B30" s="72"/>
      <c r="C30" s="72"/>
      <c r="D30" s="72"/>
      <c r="E30" s="71" t="s">
        <v>2</v>
      </c>
      <c r="F30" s="71" t="s">
        <v>2</v>
      </c>
      <c r="G30" s="72"/>
      <c r="H30" s="79"/>
      <c r="I30" s="72"/>
      <c r="J30" s="72"/>
      <c r="K30" s="72"/>
      <c r="L30" s="72"/>
      <c r="M30" s="71" t="s">
        <v>2</v>
      </c>
      <c r="N30" s="71" t="s">
        <v>2</v>
      </c>
      <c r="O30" s="72"/>
      <c r="P30" s="79"/>
      <c r="Q30" s="72"/>
      <c r="R30" s="72"/>
      <c r="S30" s="72"/>
      <c r="T30" s="72"/>
      <c r="U30" s="71" t="s">
        <v>2</v>
      </c>
      <c r="V30" s="71" t="s">
        <v>2</v>
      </c>
      <c r="W30" s="72"/>
      <c r="X30" s="79"/>
      <c r="Y30" s="72"/>
      <c r="Z30" s="72"/>
      <c r="AA30" s="72"/>
      <c r="AB30" s="72"/>
      <c r="AC30" s="71" t="s">
        <v>2</v>
      </c>
      <c r="AD30" s="71" t="s">
        <v>2</v>
      </c>
      <c r="AE30" s="28"/>
      <c r="AF30" s="28"/>
      <c r="AH30" s="16">
        <f t="shared" si="4"/>
        <v>0</v>
      </c>
      <c r="AI30" s="16">
        <f t="shared" si="5"/>
        <v>0</v>
      </c>
    </row>
    <row r="31" spans="1:35" ht="20.100000000000001" customHeight="1">
      <c r="A31" s="18" t="str">
        <f>ÖSSZES!$A$6</f>
        <v>Füredi Antal</v>
      </c>
      <c r="B31" s="72"/>
      <c r="C31" s="72"/>
      <c r="D31" s="72"/>
      <c r="E31" s="71" t="s">
        <v>2</v>
      </c>
      <c r="F31" s="71" t="s">
        <v>2</v>
      </c>
      <c r="G31" s="72"/>
      <c r="H31" s="79"/>
      <c r="I31" s="72"/>
      <c r="J31" s="72"/>
      <c r="K31" s="72"/>
      <c r="L31" s="72"/>
      <c r="M31" s="71" t="s">
        <v>2</v>
      </c>
      <c r="N31" s="71" t="s">
        <v>2</v>
      </c>
      <c r="O31" s="72"/>
      <c r="P31" s="79"/>
      <c r="Q31" s="72"/>
      <c r="R31" s="72"/>
      <c r="S31" s="72"/>
      <c r="T31" s="72"/>
      <c r="U31" s="71" t="s">
        <v>2</v>
      </c>
      <c r="V31" s="71" t="s">
        <v>2</v>
      </c>
      <c r="W31" s="72" t="s">
        <v>114</v>
      </c>
      <c r="X31" s="72" t="s">
        <v>39</v>
      </c>
      <c r="Y31" s="72"/>
      <c r="Z31" s="72"/>
      <c r="AA31" s="72"/>
      <c r="AB31" s="72"/>
      <c r="AC31" s="71" t="s">
        <v>2</v>
      </c>
      <c r="AD31" s="71" t="s">
        <v>2</v>
      </c>
      <c r="AE31" s="28"/>
      <c r="AF31" s="28"/>
      <c r="AH31" s="16">
        <f t="shared" si="4"/>
        <v>1</v>
      </c>
      <c r="AI31" s="16">
        <f t="shared" si="5"/>
        <v>1</v>
      </c>
    </row>
    <row r="32" spans="1:35" ht="20.100000000000001" customHeight="1">
      <c r="A32" s="18" t="str">
        <f>ÖSSZES!$A$7</f>
        <v>Iványi István</v>
      </c>
      <c r="B32" s="72" t="s">
        <v>39</v>
      </c>
      <c r="C32" s="72" t="s">
        <v>114</v>
      </c>
      <c r="D32" s="72" t="s">
        <v>20</v>
      </c>
      <c r="E32" s="71" t="s">
        <v>2</v>
      </c>
      <c r="F32" s="71" t="s">
        <v>2</v>
      </c>
      <c r="G32" s="72"/>
      <c r="H32" s="79"/>
      <c r="I32" s="72"/>
      <c r="J32" s="72"/>
      <c r="K32" s="72"/>
      <c r="L32" s="72"/>
      <c r="M32" s="71" t="s">
        <v>2</v>
      </c>
      <c r="N32" s="71" t="s">
        <v>2</v>
      </c>
      <c r="O32" s="72"/>
      <c r="P32" s="72" t="s">
        <v>39</v>
      </c>
      <c r="Q32" s="72"/>
      <c r="R32" s="72"/>
      <c r="S32" s="72"/>
      <c r="T32" s="72"/>
      <c r="U32" s="71" t="s">
        <v>2</v>
      </c>
      <c r="V32" s="71" t="s">
        <v>2</v>
      </c>
      <c r="W32" s="72" t="s">
        <v>116</v>
      </c>
      <c r="X32" s="72" t="s">
        <v>116</v>
      </c>
      <c r="Y32" s="72" t="s">
        <v>116</v>
      </c>
      <c r="Z32" s="72" t="s">
        <v>116</v>
      </c>
      <c r="AA32" s="72" t="s">
        <v>116</v>
      </c>
      <c r="AB32" s="72" t="s">
        <v>116</v>
      </c>
      <c r="AC32" s="71" t="s">
        <v>2</v>
      </c>
      <c r="AD32" s="71" t="s">
        <v>2</v>
      </c>
      <c r="AE32" s="28"/>
      <c r="AF32" s="28"/>
      <c r="AH32" s="16">
        <f t="shared" si="4"/>
        <v>1</v>
      </c>
      <c r="AI32" s="16">
        <f t="shared" si="5"/>
        <v>3</v>
      </c>
    </row>
    <row r="33" spans="1:35" ht="20.100000000000001" customHeight="1">
      <c r="A33" s="18" t="str">
        <f>ÖSSZES!$A$8</f>
        <v>Katonka Tibor</v>
      </c>
      <c r="B33" s="72"/>
      <c r="C33" s="72"/>
      <c r="D33" s="72"/>
      <c r="E33" s="71" t="s">
        <v>2</v>
      </c>
      <c r="F33" s="71" t="s">
        <v>2</v>
      </c>
      <c r="G33" s="72"/>
      <c r="H33" s="79"/>
      <c r="I33" s="72"/>
      <c r="J33" s="72"/>
      <c r="K33" s="72"/>
      <c r="L33" s="72"/>
      <c r="M33" s="71" t="s">
        <v>2</v>
      </c>
      <c r="N33" s="71" t="s">
        <v>2</v>
      </c>
      <c r="O33" s="72"/>
      <c r="P33" s="79"/>
      <c r="Q33" s="72"/>
      <c r="R33" s="72"/>
      <c r="S33" s="72"/>
      <c r="T33" s="72" t="s">
        <v>114</v>
      </c>
      <c r="U33" s="71" t="s">
        <v>2</v>
      </c>
      <c r="V33" s="71" t="s">
        <v>2</v>
      </c>
      <c r="W33" s="72"/>
      <c r="X33" s="79"/>
      <c r="Y33" s="72"/>
      <c r="Z33" s="72"/>
      <c r="AA33" s="72"/>
      <c r="AB33" s="72"/>
      <c r="AC33" s="71" t="s">
        <v>2</v>
      </c>
      <c r="AD33" s="71" t="s">
        <v>2</v>
      </c>
      <c r="AE33" s="28"/>
      <c r="AF33" s="28"/>
      <c r="AH33" s="16">
        <f t="shared" si="4"/>
        <v>1</v>
      </c>
      <c r="AI33" s="16">
        <f t="shared" si="5"/>
        <v>0</v>
      </c>
    </row>
    <row r="34" spans="1:35" ht="20.100000000000001" hidden="1" customHeight="1">
      <c r="A34" s="18" t="str">
        <f>ÖSSZES!$A$9</f>
        <v>Kiss János Tamás</v>
      </c>
      <c r="B34" s="72" t="s">
        <v>114</v>
      </c>
      <c r="C34" s="72"/>
      <c r="D34" s="72"/>
      <c r="E34" s="71" t="s">
        <v>2</v>
      </c>
      <c r="F34" s="71" t="s">
        <v>2</v>
      </c>
      <c r="G34" s="72"/>
      <c r="H34" s="79"/>
      <c r="I34" s="72"/>
      <c r="J34" s="72"/>
      <c r="K34" s="72"/>
      <c r="L34" s="72"/>
      <c r="M34" s="71" t="s">
        <v>2</v>
      </c>
      <c r="N34" s="71" t="s">
        <v>2</v>
      </c>
      <c r="O34" s="72"/>
      <c r="P34" s="79"/>
      <c r="Q34" s="72"/>
      <c r="R34" s="72"/>
      <c r="S34" s="72"/>
      <c r="T34" s="72"/>
      <c r="U34" s="71" t="s">
        <v>2</v>
      </c>
      <c r="V34" s="71" t="s">
        <v>2</v>
      </c>
      <c r="W34" s="72"/>
      <c r="X34" s="79"/>
      <c r="Y34" s="72"/>
      <c r="Z34" s="72"/>
      <c r="AA34" s="72"/>
      <c r="AB34" s="72"/>
      <c r="AC34" s="71" t="s">
        <v>2</v>
      </c>
      <c r="AD34" s="71" t="s">
        <v>2</v>
      </c>
      <c r="AE34" s="28"/>
      <c r="AF34" s="28"/>
      <c r="AH34" s="16">
        <f t="shared" si="4"/>
        <v>1</v>
      </c>
      <c r="AI34" s="16">
        <f t="shared" si="5"/>
        <v>0</v>
      </c>
    </row>
    <row r="35" spans="1:35" ht="20.100000000000001" customHeight="1">
      <c r="A35" s="18" t="str">
        <f>ÖSSZES!$A$10</f>
        <v>Vatamány Gergő</v>
      </c>
      <c r="B35" s="72"/>
      <c r="C35" s="72"/>
      <c r="D35" s="72"/>
      <c r="E35" s="71" t="s">
        <v>2</v>
      </c>
      <c r="F35" s="71" t="s">
        <v>2</v>
      </c>
      <c r="G35" s="72"/>
      <c r="H35" s="79"/>
      <c r="I35" s="72"/>
      <c r="J35" s="72"/>
      <c r="K35" s="72"/>
      <c r="L35" s="72"/>
      <c r="M35" s="71" t="s">
        <v>2</v>
      </c>
      <c r="N35" s="71" t="s">
        <v>2</v>
      </c>
      <c r="O35" s="72"/>
      <c r="P35" s="79"/>
      <c r="Q35" s="72"/>
      <c r="R35" s="72"/>
      <c r="S35" s="72"/>
      <c r="T35" s="72"/>
      <c r="U35" s="71" t="s">
        <v>2</v>
      </c>
      <c r="V35" s="71" t="s">
        <v>2</v>
      </c>
      <c r="W35" s="72"/>
      <c r="X35" s="79"/>
      <c r="Y35" s="72"/>
      <c r="Z35" s="72"/>
      <c r="AA35" s="72"/>
      <c r="AB35" s="72"/>
      <c r="AC35" s="71" t="s">
        <v>2</v>
      </c>
      <c r="AD35" s="71" t="s">
        <v>2</v>
      </c>
      <c r="AE35" s="28"/>
      <c r="AF35" s="28"/>
      <c r="AH35" s="16">
        <f t="shared" si="4"/>
        <v>0</v>
      </c>
      <c r="AI35" s="16">
        <f t="shared" si="5"/>
        <v>0</v>
      </c>
    </row>
    <row r="36" spans="1:35" ht="20.100000000000001" hidden="1" customHeight="1">
      <c r="A36" s="18" t="str">
        <f>ÖSSZES!$A$11</f>
        <v>Név9</v>
      </c>
      <c r="B36" s="33"/>
      <c r="C36" s="33"/>
      <c r="D36" s="33"/>
      <c r="E36" s="58" t="s">
        <v>2</v>
      </c>
      <c r="F36" s="58" t="s">
        <v>2</v>
      </c>
      <c r="G36" s="33"/>
      <c r="H36" s="31"/>
      <c r="I36" s="33"/>
      <c r="J36" s="33"/>
      <c r="K36" s="33"/>
      <c r="L36" s="33"/>
      <c r="M36" s="58" t="s">
        <v>2</v>
      </c>
      <c r="N36" s="58" t="s">
        <v>2</v>
      </c>
      <c r="O36" s="33"/>
      <c r="P36" s="31"/>
      <c r="Q36" s="33"/>
      <c r="R36" s="33"/>
      <c r="S36" s="33"/>
      <c r="T36" s="33"/>
      <c r="U36" s="58" t="s">
        <v>2</v>
      </c>
      <c r="V36" s="58" t="s">
        <v>2</v>
      </c>
      <c r="W36" s="33"/>
      <c r="X36" s="31"/>
      <c r="Y36" s="33"/>
      <c r="Z36" s="33"/>
      <c r="AA36" s="33"/>
      <c r="AB36" s="33"/>
      <c r="AC36" s="58" t="s">
        <v>2</v>
      </c>
      <c r="AD36" s="58" t="s">
        <v>2</v>
      </c>
      <c r="AE36" s="28"/>
      <c r="AF36" s="28"/>
      <c r="AH36" s="16">
        <f t="shared" si="4"/>
        <v>0</v>
      </c>
      <c r="AI36" s="16">
        <f t="shared" si="5"/>
        <v>0</v>
      </c>
    </row>
    <row r="37" spans="1:35" ht="20.100000000000001" hidden="1" customHeight="1">
      <c r="A37" s="18" t="str">
        <f>ÖSSZES!$A$12</f>
        <v>Név10</v>
      </c>
      <c r="B37" s="33"/>
      <c r="C37" s="33"/>
      <c r="D37" s="33"/>
      <c r="E37" s="58" t="s">
        <v>2</v>
      </c>
      <c r="F37" s="58" t="s">
        <v>2</v>
      </c>
      <c r="G37" s="33"/>
      <c r="H37" s="31"/>
      <c r="I37" s="33"/>
      <c r="J37" s="33"/>
      <c r="K37" s="33"/>
      <c r="L37" s="33"/>
      <c r="M37" s="58" t="s">
        <v>2</v>
      </c>
      <c r="N37" s="58" t="s">
        <v>2</v>
      </c>
      <c r="O37" s="33"/>
      <c r="P37" s="31"/>
      <c r="Q37" s="33"/>
      <c r="R37" s="33"/>
      <c r="S37" s="33"/>
      <c r="T37" s="33"/>
      <c r="U37" s="58" t="s">
        <v>2</v>
      </c>
      <c r="V37" s="58" t="s">
        <v>2</v>
      </c>
      <c r="W37" s="33"/>
      <c r="X37" s="31"/>
      <c r="Y37" s="33"/>
      <c r="Z37" s="33"/>
      <c r="AA37" s="33"/>
      <c r="AB37" s="33"/>
      <c r="AC37" s="58" t="s">
        <v>2</v>
      </c>
      <c r="AD37" s="58" t="s">
        <v>2</v>
      </c>
      <c r="AE37" s="28"/>
      <c r="AF37" s="28"/>
      <c r="AH37" s="16">
        <f t="shared" si="4"/>
        <v>0</v>
      </c>
      <c r="AI37" s="16">
        <f t="shared" si="5"/>
        <v>0</v>
      </c>
    </row>
    <row r="38" spans="1:35" ht="20.100000000000001" hidden="1" customHeight="1">
      <c r="A38" s="18" t="str">
        <f>ÖSSZES!$A$13</f>
        <v>Név11</v>
      </c>
      <c r="B38" s="33"/>
      <c r="C38" s="33"/>
      <c r="D38" s="33"/>
      <c r="E38" s="58" t="s">
        <v>2</v>
      </c>
      <c r="F38" s="58" t="s">
        <v>2</v>
      </c>
      <c r="G38" s="33"/>
      <c r="H38" s="31"/>
      <c r="I38" s="33"/>
      <c r="J38" s="33"/>
      <c r="K38" s="33"/>
      <c r="L38" s="33"/>
      <c r="M38" s="58" t="s">
        <v>2</v>
      </c>
      <c r="N38" s="58" t="s">
        <v>2</v>
      </c>
      <c r="O38" s="33"/>
      <c r="P38" s="31"/>
      <c r="Q38" s="33"/>
      <c r="R38" s="33"/>
      <c r="S38" s="33"/>
      <c r="T38" s="33"/>
      <c r="U38" s="58" t="s">
        <v>2</v>
      </c>
      <c r="V38" s="58" t="s">
        <v>2</v>
      </c>
      <c r="W38" s="33"/>
      <c r="X38" s="31"/>
      <c r="Y38" s="33"/>
      <c r="Z38" s="33"/>
      <c r="AA38" s="33"/>
      <c r="AB38" s="33"/>
      <c r="AC38" s="58" t="s">
        <v>2</v>
      </c>
      <c r="AD38" s="58" t="s">
        <v>2</v>
      </c>
      <c r="AE38" s="28"/>
      <c r="AF38" s="28"/>
      <c r="AH38" s="16">
        <f t="shared" si="4"/>
        <v>0</v>
      </c>
      <c r="AI38" s="16">
        <f t="shared" si="5"/>
        <v>0</v>
      </c>
    </row>
    <row r="39" spans="1:35" ht="20.100000000000001" hidden="1" customHeight="1">
      <c r="A39" s="18" t="str">
        <f>ÖSSZES!$A$14</f>
        <v>Név12</v>
      </c>
      <c r="B39" s="33"/>
      <c r="C39" s="33"/>
      <c r="D39" s="33"/>
      <c r="E39" s="58" t="s">
        <v>2</v>
      </c>
      <c r="F39" s="58" t="s">
        <v>2</v>
      </c>
      <c r="G39" s="33"/>
      <c r="H39" s="31"/>
      <c r="I39" s="33"/>
      <c r="J39" s="33"/>
      <c r="K39" s="33"/>
      <c r="L39" s="33"/>
      <c r="M39" s="58" t="s">
        <v>2</v>
      </c>
      <c r="N39" s="58" t="s">
        <v>2</v>
      </c>
      <c r="O39" s="33"/>
      <c r="P39" s="31"/>
      <c r="Q39" s="33"/>
      <c r="R39" s="33"/>
      <c r="S39" s="33"/>
      <c r="T39" s="33"/>
      <c r="U39" s="58" t="s">
        <v>2</v>
      </c>
      <c r="V39" s="58" t="s">
        <v>2</v>
      </c>
      <c r="W39" s="33"/>
      <c r="X39" s="31"/>
      <c r="Y39" s="33"/>
      <c r="Z39" s="33"/>
      <c r="AA39" s="33"/>
      <c r="AB39" s="33"/>
      <c r="AC39" s="58" t="s">
        <v>2</v>
      </c>
      <c r="AD39" s="58" t="s">
        <v>2</v>
      </c>
      <c r="AE39" s="28"/>
      <c r="AF39" s="28"/>
      <c r="AH39" s="16">
        <f t="shared" si="4"/>
        <v>0</v>
      </c>
      <c r="AI39" s="16">
        <f t="shared" si="5"/>
        <v>0</v>
      </c>
    </row>
    <row r="40" spans="1:35" ht="20.100000000000001" hidden="1" customHeight="1">
      <c r="A40" s="18" t="str">
        <f>ÖSSZES!$A$15</f>
        <v>Név13</v>
      </c>
      <c r="B40" s="33"/>
      <c r="C40" s="33"/>
      <c r="D40" s="33"/>
      <c r="E40" s="58" t="s">
        <v>2</v>
      </c>
      <c r="F40" s="58" t="s">
        <v>2</v>
      </c>
      <c r="G40" s="33"/>
      <c r="H40" s="31"/>
      <c r="I40" s="33"/>
      <c r="J40" s="33"/>
      <c r="K40" s="33"/>
      <c r="L40" s="33"/>
      <c r="M40" s="58" t="s">
        <v>2</v>
      </c>
      <c r="N40" s="58" t="s">
        <v>2</v>
      </c>
      <c r="O40" s="33"/>
      <c r="P40" s="31"/>
      <c r="Q40" s="33"/>
      <c r="R40" s="33"/>
      <c r="S40" s="33"/>
      <c r="T40" s="33"/>
      <c r="U40" s="58" t="s">
        <v>2</v>
      </c>
      <c r="V40" s="58" t="s">
        <v>2</v>
      </c>
      <c r="W40" s="33"/>
      <c r="X40" s="31"/>
      <c r="Y40" s="33"/>
      <c r="Z40" s="33"/>
      <c r="AA40" s="33"/>
      <c r="AB40" s="33"/>
      <c r="AC40" s="58" t="s">
        <v>2</v>
      </c>
      <c r="AD40" s="58" t="s">
        <v>2</v>
      </c>
      <c r="AE40" s="28"/>
      <c r="AF40" s="28"/>
      <c r="AH40" s="16">
        <f t="shared" si="4"/>
        <v>0</v>
      </c>
      <c r="AI40" s="16">
        <f t="shared" si="5"/>
        <v>0</v>
      </c>
    </row>
    <row r="41" spans="1:35" ht="20.100000000000001" hidden="1" customHeight="1">
      <c r="A41" s="18" t="str">
        <f>ÖSSZES!$A$16</f>
        <v>Név14</v>
      </c>
      <c r="B41" s="33"/>
      <c r="C41" s="33"/>
      <c r="D41" s="33"/>
      <c r="E41" s="58" t="s">
        <v>2</v>
      </c>
      <c r="F41" s="58" t="s">
        <v>2</v>
      </c>
      <c r="G41" s="33"/>
      <c r="H41" s="31"/>
      <c r="I41" s="33"/>
      <c r="J41" s="33"/>
      <c r="K41" s="33"/>
      <c r="L41" s="33"/>
      <c r="M41" s="58" t="s">
        <v>2</v>
      </c>
      <c r="N41" s="58" t="s">
        <v>2</v>
      </c>
      <c r="O41" s="33"/>
      <c r="P41" s="31"/>
      <c r="Q41" s="33"/>
      <c r="R41" s="33"/>
      <c r="S41" s="33"/>
      <c r="T41" s="33"/>
      <c r="U41" s="58" t="s">
        <v>2</v>
      </c>
      <c r="V41" s="58" t="s">
        <v>2</v>
      </c>
      <c r="W41" s="33"/>
      <c r="X41" s="31"/>
      <c r="Y41" s="33"/>
      <c r="Z41" s="33"/>
      <c r="AA41" s="33"/>
      <c r="AB41" s="33"/>
      <c r="AC41" s="58" t="s">
        <v>2</v>
      </c>
      <c r="AD41" s="58" t="s">
        <v>2</v>
      </c>
      <c r="AE41" s="28"/>
      <c r="AF41" s="28"/>
      <c r="AH41" s="16">
        <f t="shared" si="4"/>
        <v>0</v>
      </c>
      <c r="AI41" s="16">
        <f t="shared" si="5"/>
        <v>0</v>
      </c>
    </row>
    <row r="42" spans="1:35" ht="20.100000000000001" hidden="1" customHeight="1">
      <c r="A42" s="18" t="str">
        <f>ÖSSZES!$A$17</f>
        <v>Név15</v>
      </c>
      <c r="B42" s="33"/>
      <c r="C42" s="33"/>
      <c r="D42" s="33"/>
      <c r="E42" s="58" t="s">
        <v>2</v>
      </c>
      <c r="F42" s="58" t="s">
        <v>2</v>
      </c>
      <c r="G42" s="33"/>
      <c r="H42" s="31"/>
      <c r="I42" s="33"/>
      <c r="J42" s="33"/>
      <c r="K42" s="33"/>
      <c r="L42" s="33"/>
      <c r="M42" s="58" t="s">
        <v>2</v>
      </c>
      <c r="N42" s="58" t="s">
        <v>2</v>
      </c>
      <c r="O42" s="33"/>
      <c r="P42" s="31"/>
      <c r="Q42" s="33"/>
      <c r="R42" s="33"/>
      <c r="S42" s="33"/>
      <c r="T42" s="33"/>
      <c r="U42" s="58" t="s">
        <v>2</v>
      </c>
      <c r="V42" s="58" t="s">
        <v>2</v>
      </c>
      <c r="W42" s="33"/>
      <c r="X42" s="31"/>
      <c r="Y42" s="33"/>
      <c r="Z42" s="33"/>
      <c r="AA42" s="33"/>
      <c r="AB42" s="33"/>
      <c r="AC42" s="58" t="s">
        <v>2</v>
      </c>
      <c r="AD42" s="58" t="s">
        <v>2</v>
      </c>
      <c r="AE42" s="28"/>
      <c r="AF42" s="28"/>
      <c r="AH42" s="16">
        <f t="shared" si="4"/>
        <v>0</v>
      </c>
      <c r="AI42" s="16">
        <f t="shared" si="5"/>
        <v>0</v>
      </c>
    </row>
    <row r="43" spans="1:35" ht="20.100000000000001" hidden="1" customHeight="1">
      <c r="A43" s="18" t="str">
        <f>ÖSSZES!$A$18</f>
        <v>Név16</v>
      </c>
      <c r="B43" s="33"/>
      <c r="C43" s="33"/>
      <c r="D43" s="33"/>
      <c r="E43" s="58" t="s">
        <v>2</v>
      </c>
      <c r="F43" s="58" t="s">
        <v>2</v>
      </c>
      <c r="G43" s="33"/>
      <c r="H43" s="31"/>
      <c r="I43" s="33"/>
      <c r="J43" s="33"/>
      <c r="K43" s="33"/>
      <c r="L43" s="33"/>
      <c r="M43" s="58" t="s">
        <v>2</v>
      </c>
      <c r="N43" s="58" t="s">
        <v>2</v>
      </c>
      <c r="O43" s="33"/>
      <c r="P43" s="31"/>
      <c r="Q43" s="33"/>
      <c r="R43" s="33"/>
      <c r="S43" s="33"/>
      <c r="T43" s="33"/>
      <c r="U43" s="58" t="s">
        <v>2</v>
      </c>
      <c r="V43" s="58" t="s">
        <v>2</v>
      </c>
      <c r="W43" s="33"/>
      <c r="X43" s="31"/>
      <c r="Y43" s="33"/>
      <c r="Z43" s="33"/>
      <c r="AA43" s="33"/>
      <c r="AB43" s="33"/>
      <c r="AC43" s="58" t="s">
        <v>2</v>
      </c>
      <c r="AD43" s="58" t="s">
        <v>2</v>
      </c>
      <c r="AE43" s="28"/>
      <c r="AF43" s="28"/>
      <c r="AH43" s="16">
        <f t="shared" si="4"/>
        <v>0</v>
      </c>
      <c r="AI43" s="16">
        <f t="shared" si="5"/>
        <v>0</v>
      </c>
    </row>
    <row r="44" spans="1:35" ht="20.100000000000001" hidden="1" customHeight="1">
      <c r="A44" s="18" t="str">
        <f>ÖSSZES!$A$19</f>
        <v>Név17</v>
      </c>
      <c r="B44" s="33"/>
      <c r="C44" s="33"/>
      <c r="D44" s="33"/>
      <c r="E44" s="58" t="s">
        <v>2</v>
      </c>
      <c r="F44" s="58" t="s">
        <v>2</v>
      </c>
      <c r="G44" s="33"/>
      <c r="H44" s="31"/>
      <c r="I44" s="33"/>
      <c r="J44" s="33"/>
      <c r="K44" s="33"/>
      <c r="L44" s="33"/>
      <c r="M44" s="58" t="s">
        <v>2</v>
      </c>
      <c r="N44" s="58" t="s">
        <v>2</v>
      </c>
      <c r="O44" s="33"/>
      <c r="P44" s="31"/>
      <c r="Q44" s="33"/>
      <c r="R44" s="33"/>
      <c r="S44" s="33"/>
      <c r="T44" s="33"/>
      <c r="U44" s="58" t="s">
        <v>2</v>
      </c>
      <c r="V44" s="58" t="s">
        <v>2</v>
      </c>
      <c r="W44" s="33"/>
      <c r="X44" s="31"/>
      <c r="Y44" s="33"/>
      <c r="Z44" s="33"/>
      <c r="AA44" s="33"/>
      <c r="AB44" s="33"/>
      <c r="AC44" s="58" t="s">
        <v>2</v>
      </c>
      <c r="AD44" s="58" t="s">
        <v>2</v>
      </c>
      <c r="AE44" s="28"/>
      <c r="AF44" s="28"/>
      <c r="AH44" s="16">
        <f t="shared" si="4"/>
        <v>0</v>
      </c>
      <c r="AI44" s="16">
        <f t="shared" si="5"/>
        <v>0</v>
      </c>
    </row>
    <row r="45" spans="1:35" ht="20.100000000000001" hidden="1" customHeight="1">
      <c r="A45" s="18" t="str">
        <f>ÖSSZES!$A$20</f>
        <v>Név18</v>
      </c>
      <c r="B45" s="33"/>
      <c r="C45" s="33"/>
      <c r="D45" s="33"/>
      <c r="E45" s="58" t="s">
        <v>2</v>
      </c>
      <c r="F45" s="58" t="s">
        <v>2</v>
      </c>
      <c r="G45" s="33"/>
      <c r="H45" s="31"/>
      <c r="I45" s="33"/>
      <c r="J45" s="33"/>
      <c r="K45" s="33"/>
      <c r="L45" s="33"/>
      <c r="M45" s="58" t="s">
        <v>2</v>
      </c>
      <c r="N45" s="58" t="s">
        <v>2</v>
      </c>
      <c r="O45" s="33"/>
      <c r="P45" s="31"/>
      <c r="Q45" s="33"/>
      <c r="R45" s="33"/>
      <c r="S45" s="33"/>
      <c r="T45" s="33"/>
      <c r="U45" s="58" t="s">
        <v>2</v>
      </c>
      <c r="V45" s="58" t="s">
        <v>2</v>
      </c>
      <c r="W45" s="33"/>
      <c r="X45" s="31"/>
      <c r="Y45" s="33"/>
      <c r="Z45" s="33"/>
      <c r="AA45" s="33"/>
      <c r="AB45" s="33"/>
      <c r="AC45" s="58" t="s">
        <v>2</v>
      </c>
      <c r="AD45" s="58" t="s">
        <v>2</v>
      </c>
      <c r="AE45" s="28"/>
      <c r="AF45" s="28"/>
      <c r="AH45" s="16">
        <f t="shared" si="4"/>
        <v>0</v>
      </c>
      <c r="AI45" s="16">
        <f t="shared" si="5"/>
        <v>0</v>
      </c>
    </row>
    <row r="46" spans="1:35" ht="20.100000000000001" hidden="1" customHeight="1">
      <c r="A46" s="18" t="str">
        <f>ÖSSZES!$A$21</f>
        <v>Név19</v>
      </c>
      <c r="B46" s="33"/>
      <c r="C46" s="33"/>
      <c r="D46" s="33"/>
      <c r="E46" s="58" t="s">
        <v>2</v>
      </c>
      <c r="F46" s="58" t="s">
        <v>2</v>
      </c>
      <c r="G46" s="33"/>
      <c r="H46" s="31"/>
      <c r="I46" s="33"/>
      <c r="J46" s="33"/>
      <c r="K46" s="33"/>
      <c r="L46" s="33"/>
      <c r="M46" s="58" t="s">
        <v>2</v>
      </c>
      <c r="N46" s="58" t="s">
        <v>2</v>
      </c>
      <c r="O46" s="33"/>
      <c r="P46" s="31"/>
      <c r="Q46" s="33"/>
      <c r="R46" s="33"/>
      <c r="S46" s="33"/>
      <c r="T46" s="33"/>
      <c r="U46" s="58" t="s">
        <v>2</v>
      </c>
      <c r="V46" s="58" t="s">
        <v>2</v>
      </c>
      <c r="W46" s="33"/>
      <c r="X46" s="31"/>
      <c r="Y46" s="33"/>
      <c r="Z46" s="33"/>
      <c r="AA46" s="33"/>
      <c r="AB46" s="33"/>
      <c r="AC46" s="58" t="s">
        <v>2</v>
      </c>
      <c r="AD46" s="58" t="s">
        <v>2</v>
      </c>
      <c r="AE46" s="28"/>
      <c r="AF46" s="28"/>
      <c r="AH46" s="16">
        <f t="shared" si="4"/>
        <v>0</v>
      </c>
      <c r="AI46" s="16">
        <f t="shared" si="5"/>
        <v>0</v>
      </c>
    </row>
    <row r="47" spans="1:35" ht="20.100000000000001" hidden="1" customHeight="1">
      <c r="A47" s="18" t="str">
        <f>ÖSSZES!$A$17</f>
        <v>Név15</v>
      </c>
      <c r="B47" s="33"/>
      <c r="C47" s="33"/>
      <c r="D47" s="33"/>
      <c r="E47" s="58" t="s">
        <v>2</v>
      </c>
      <c r="F47" s="58" t="s">
        <v>2</v>
      </c>
      <c r="G47" s="33"/>
      <c r="H47" s="31"/>
      <c r="I47" s="33"/>
      <c r="J47" s="33"/>
      <c r="K47" s="33"/>
      <c r="L47" s="33"/>
      <c r="M47" s="58" t="s">
        <v>2</v>
      </c>
      <c r="N47" s="58" t="s">
        <v>2</v>
      </c>
      <c r="O47" s="33"/>
      <c r="P47" s="31"/>
      <c r="Q47" s="33"/>
      <c r="R47" s="33"/>
      <c r="S47" s="33"/>
      <c r="T47" s="33"/>
      <c r="U47" s="58" t="s">
        <v>2</v>
      </c>
      <c r="V47" s="58" t="s">
        <v>2</v>
      </c>
      <c r="W47" s="33"/>
      <c r="X47" s="31"/>
      <c r="Y47" s="33"/>
      <c r="Z47" s="33"/>
      <c r="AA47" s="33"/>
      <c r="AB47" s="33"/>
      <c r="AC47" s="58" t="s">
        <v>2</v>
      </c>
      <c r="AD47" s="58" t="s">
        <v>2</v>
      </c>
      <c r="AE47" s="28"/>
      <c r="AF47" s="28"/>
      <c r="AH47" s="16">
        <f t="shared" si="4"/>
        <v>0</v>
      </c>
      <c r="AI47" s="16">
        <f t="shared" si="5"/>
        <v>0</v>
      </c>
    </row>
    <row r="48" spans="1:35" ht="20.100000000000001" customHeight="1"/>
    <row r="49" spans="1:35" s="25" customFormat="1" ht="20.100000000000001" customHeight="1">
      <c r="A49" s="88" t="s">
        <v>7</v>
      </c>
      <c r="B49" s="24">
        <v>1</v>
      </c>
      <c r="C49" s="24">
        <v>2</v>
      </c>
      <c r="D49" s="24">
        <v>3</v>
      </c>
      <c r="E49" s="24">
        <v>4</v>
      </c>
      <c r="F49" s="24">
        <v>5</v>
      </c>
      <c r="G49" s="24">
        <v>6</v>
      </c>
      <c r="H49" s="24">
        <v>7</v>
      </c>
      <c r="I49" s="24">
        <v>8</v>
      </c>
      <c r="J49" s="24">
        <v>9</v>
      </c>
      <c r="K49" s="24">
        <v>10</v>
      </c>
      <c r="L49" s="24">
        <v>11</v>
      </c>
      <c r="M49" s="24">
        <v>12</v>
      </c>
      <c r="N49" s="24">
        <v>13</v>
      </c>
      <c r="O49" s="24">
        <v>14</v>
      </c>
      <c r="P49" s="57">
        <v>15</v>
      </c>
      <c r="Q49" s="24">
        <v>16</v>
      </c>
      <c r="R49" s="24">
        <v>17</v>
      </c>
      <c r="S49" s="24">
        <v>18</v>
      </c>
      <c r="T49" s="24">
        <v>19</v>
      </c>
      <c r="U49" s="24">
        <v>20</v>
      </c>
      <c r="V49" s="24">
        <v>21</v>
      </c>
      <c r="W49" s="24">
        <v>22</v>
      </c>
      <c r="X49" s="24">
        <v>23</v>
      </c>
      <c r="Y49" s="24">
        <v>24</v>
      </c>
      <c r="Z49" s="24">
        <v>25</v>
      </c>
      <c r="AA49" s="24">
        <v>26</v>
      </c>
      <c r="AB49" s="24">
        <v>27</v>
      </c>
      <c r="AC49" s="24">
        <v>28</v>
      </c>
      <c r="AD49" s="24">
        <v>29</v>
      </c>
      <c r="AE49" s="24">
        <v>30</v>
      </c>
      <c r="AF49" s="24">
        <v>31</v>
      </c>
      <c r="AH49" s="88" t="s">
        <v>18</v>
      </c>
      <c r="AI49" s="88" t="s">
        <v>19</v>
      </c>
    </row>
    <row r="50" spans="1:35" ht="20.100000000000001" customHeight="1">
      <c r="A50" s="90"/>
      <c r="B50" s="26" t="str">
        <f>'2020'!B20</f>
        <v>V</v>
      </c>
      <c r="C50" s="26" t="str">
        <f>'2020'!C20</f>
        <v>H</v>
      </c>
      <c r="D50" s="26" t="str">
        <f>'2020'!D20</f>
        <v>K</v>
      </c>
      <c r="E50" s="26" t="str">
        <f>'2020'!E20</f>
        <v>Sze</v>
      </c>
      <c r="F50" s="26" t="str">
        <f>'2020'!F20</f>
        <v>Cs</v>
      </c>
      <c r="G50" s="26" t="str">
        <f>'2020'!G20</f>
        <v>P</v>
      </c>
      <c r="H50" s="26" t="str">
        <f>'2020'!H20</f>
        <v>Szo</v>
      </c>
      <c r="I50" s="26" t="str">
        <f>'2020'!I20</f>
        <v>V</v>
      </c>
      <c r="J50" s="26" t="str">
        <f>'2020'!J20</f>
        <v>H</v>
      </c>
      <c r="K50" s="26" t="str">
        <f>'2020'!K20</f>
        <v>K</v>
      </c>
      <c r="L50" s="26" t="str">
        <f>'2020'!L20</f>
        <v>Sze</v>
      </c>
      <c r="M50" s="26" t="str">
        <f>'2020'!M20</f>
        <v>Cs</v>
      </c>
      <c r="N50" s="26" t="str">
        <f>'2020'!N20</f>
        <v>P</v>
      </c>
      <c r="O50" s="26" t="str">
        <f>'2020'!O20</f>
        <v>Szo</v>
      </c>
      <c r="P50" s="26" t="str">
        <f>'2020'!P20</f>
        <v>V</v>
      </c>
      <c r="Q50" s="26" t="str">
        <f>'2020'!Q20</f>
        <v>H</v>
      </c>
      <c r="R50" s="26" t="str">
        <f>'2020'!R20</f>
        <v>K</v>
      </c>
      <c r="S50" s="26" t="str">
        <f>'2020'!S20</f>
        <v>Sze</v>
      </c>
      <c r="T50" s="26" t="str">
        <f>'2020'!T20</f>
        <v>Cs</v>
      </c>
      <c r="U50" s="26" t="str">
        <f>'2020'!U20</f>
        <v>P</v>
      </c>
      <c r="V50" s="26" t="str">
        <f>'2020'!V20</f>
        <v>Szo</v>
      </c>
      <c r="W50" s="26" t="str">
        <f>'2020'!W20</f>
        <v>V</v>
      </c>
      <c r="X50" s="26" t="str">
        <f>'2020'!X20</f>
        <v>H</v>
      </c>
      <c r="Y50" s="26" t="str">
        <f>'2020'!Y20</f>
        <v>K</v>
      </c>
      <c r="Z50" s="26" t="str">
        <f>'2020'!Z20</f>
        <v>Sze</v>
      </c>
      <c r="AA50" s="26" t="str">
        <f>'2020'!AA20</f>
        <v>Cs</v>
      </c>
      <c r="AB50" s="26" t="str">
        <f>'2020'!AB20</f>
        <v>P</v>
      </c>
      <c r="AC50" s="26" t="str">
        <f>'2020'!AC20</f>
        <v>Szo</v>
      </c>
      <c r="AD50" s="26" t="str">
        <f>'2020'!AD20</f>
        <v>V</v>
      </c>
      <c r="AE50" s="26" t="str">
        <f>'2020'!AE20</f>
        <v>H</v>
      </c>
      <c r="AF50" s="26" t="str">
        <f>'2020'!AF20</f>
        <v>K</v>
      </c>
      <c r="AH50" s="89"/>
      <c r="AI50" s="89"/>
    </row>
    <row r="51" spans="1:35" ht="20.100000000000001" customHeight="1">
      <c r="A51" s="89"/>
      <c r="B51" s="26">
        <f>'2020'!B21</f>
        <v>1</v>
      </c>
      <c r="C51" s="26">
        <f>'2020'!C21</f>
        <v>1</v>
      </c>
      <c r="D51" s="26">
        <f>'2020'!D21</f>
        <v>1</v>
      </c>
      <c r="E51" s="26">
        <f>'2020'!E21</f>
        <v>1</v>
      </c>
      <c r="F51" s="26">
        <f>'2020'!F21</f>
        <v>1</v>
      </c>
      <c r="G51" s="26">
        <f>'2020'!G21</f>
        <v>1</v>
      </c>
      <c r="H51" s="26" t="str">
        <f>'2020'!H21</f>
        <v>X</v>
      </c>
      <c r="I51" s="26" t="str">
        <f>'2020'!I21</f>
        <v>X</v>
      </c>
      <c r="J51" s="26">
        <f>'2020'!J21</f>
        <v>3</v>
      </c>
      <c r="K51" s="26">
        <f>'2020'!K21</f>
        <v>3</v>
      </c>
      <c r="L51" s="26">
        <f>'2020'!L21</f>
        <v>3</v>
      </c>
      <c r="M51" s="26">
        <f>'2020'!M21</f>
        <v>3</v>
      </c>
      <c r="N51" s="26">
        <f>'2020'!N21</f>
        <v>3</v>
      </c>
      <c r="O51" s="26">
        <f>'2020'!O21</f>
        <v>3</v>
      </c>
      <c r="P51" s="26" t="str">
        <f>'2020'!P21</f>
        <v>X</v>
      </c>
      <c r="Q51" s="26" t="str">
        <f>'2020'!Q21</f>
        <v>X</v>
      </c>
      <c r="R51" s="26">
        <f>'2020'!R21</f>
        <v>2</v>
      </c>
      <c r="S51" s="26">
        <f>'2020'!S21</f>
        <v>2</v>
      </c>
      <c r="T51" s="26">
        <f>'2020'!T21</f>
        <v>2</v>
      </c>
      <c r="U51" s="26">
        <f>'2020'!U21</f>
        <v>2</v>
      </c>
      <c r="V51" s="26">
        <f>'2020'!V21</f>
        <v>2</v>
      </c>
      <c r="W51" s="26">
        <f>'2020'!W21</f>
        <v>2</v>
      </c>
      <c r="X51" s="26" t="str">
        <f>'2020'!X21</f>
        <v>X</v>
      </c>
      <c r="Y51" s="26" t="str">
        <f>'2020'!Y21</f>
        <v>X</v>
      </c>
      <c r="Z51" s="26">
        <f>'2020'!Z21</f>
        <v>1</v>
      </c>
      <c r="AA51" s="26">
        <f>'2020'!AA21</f>
        <v>1</v>
      </c>
      <c r="AB51" s="26">
        <f>'2020'!AB21</f>
        <v>1</v>
      </c>
      <c r="AC51" s="26">
        <f>'2020'!AC21</f>
        <v>1</v>
      </c>
      <c r="AD51" s="26">
        <f>'2020'!AD21</f>
        <v>1</v>
      </c>
      <c r="AE51" s="26">
        <f>'2020'!AE21</f>
        <v>1</v>
      </c>
      <c r="AF51" s="26" t="str">
        <f>'2020'!AF21</f>
        <v>X</v>
      </c>
      <c r="AH51" s="89"/>
      <c r="AI51" s="89"/>
    </row>
    <row r="52" spans="1:35" ht="20.100000000000001" customHeight="1">
      <c r="A52" s="18" t="str">
        <f>ÖSSZES!$A$3</f>
        <v>Csuka Lajos</v>
      </c>
      <c r="B52" s="31"/>
      <c r="C52" s="31"/>
      <c r="D52" s="31"/>
      <c r="E52" s="31"/>
      <c r="F52" s="33"/>
      <c r="G52" s="33"/>
      <c r="H52" s="58" t="s">
        <v>2</v>
      </c>
      <c r="I52" s="58" t="s">
        <v>2</v>
      </c>
      <c r="J52" s="31"/>
      <c r="K52" s="31"/>
      <c r="L52" s="31"/>
      <c r="M52" s="33" t="s">
        <v>114</v>
      </c>
      <c r="N52" s="33" t="s">
        <v>114</v>
      </c>
      <c r="O52" s="33" t="s">
        <v>39</v>
      </c>
      <c r="P52" s="58" t="s">
        <v>2</v>
      </c>
      <c r="Q52" s="58" t="s">
        <v>2</v>
      </c>
      <c r="R52" s="31"/>
      <c r="S52" s="31"/>
      <c r="T52" s="31"/>
      <c r="U52" s="31"/>
      <c r="V52" s="33"/>
      <c r="W52" s="33"/>
      <c r="X52" s="58" t="s">
        <v>2</v>
      </c>
      <c r="Y52" s="58" t="s">
        <v>2</v>
      </c>
      <c r="Z52" s="31"/>
      <c r="AA52" s="31"/>
      <c r="AB52" s="31"/>
      <c r="AC52" s="31"/>
      <c r="AD52" s="33" t="s">
        <v>20</v>
      </c>
      <c r="AE52" s="33" t="s">
        <v>20</v>
      </c>
      <c r="AF52" s="58" t="s">
        <v>2</v>
      </c>
      <c r="AH52" s="16">
        <f>1*COUNTIF(A52:AF52,"+")</f>
        <v>2</v>
      </c>
      <c r="AI52" s="16">
        <f t="shared" ref="AI52" si="6">1*COUNTIF(B52:AF52,"szf")</f>
        <v>3</v>
      </c>
    </row>
    <row r="53" spans="1:35" ht="20.100000000000001" customHeight="1">
      <c r="A53" s="18" t="str">
        <f>ÖSSZES!$A$4</f>
        <v>Batiz Attila</v>
      </c>
      <c r="B53" s="31"/>
      <c r="C53" s="31"/>
      <c r="D53" s="31"/>
      <c r="E53" s="31"/>
      <c r="F53" s="33"/>
      <c r="G53" s="33"/>
      <c r="H53" s="58" t="s">
        <v>2</v>
      </c>
      <c r="I53" s="58" t="s">
        <v>2</v>
      </c>
      <c r="J53" s="31"/>
      <c r="K53" s="31"/>
      <c r="L53" s="31"/>
      <c r="M53" s="31"/>
      <c r="N53" s="33"/>
      <c r="O53" s="33"/>
      <c r="P53" s="58" t="s">
        <v>2</v>
      </c>
      <c r="Q53" s="58" t="s">
        <v>2</v>
      </c>
      <c r="R53" s="31"/>
      <c r="S53" s="31"/>
      <c r="T53" s="31"/>
      <c r="U53" s="31"/>
      <c r="V53" s="33"/>
      <c r="W53" s="33"/>
      <c r="X53" s="58" t="s">
        <v>2</v>
      </c>
      <c r="Y53" s="58" t="s">
        <v>2</v>
      </c>
      <c r="Z53" s="31"/>
      <c r="AA53" s="31"/>
      <c r="AB53" s="31"/>
      <c r="AC53" s="31"/>
      <c r="AD53" s="33"/>
      <c r="AE53" s="33"/>
      <c r="AF53" s="58" t="s">
        <v>2</v>
      </c>
      <c r="AH53" s="16">
        <f t="shared" ref="AH53:AH71" si="7">1*COUNTIF(A53:AF53,"+")</f>
        <v>0</v>
      </c>
      <c r="AI53" s="16">
        <f t="shared" ref="AI53:AI71" si="8">1*COUNTIF(B53:AF53,"szf")</f>
        <v>0</v>
      </c>
    </row>
    <row r="54" spans="1:35" ht="20.100000000000001" customHeight="1">
      <c r="A54" s="18" t="str">
        <f>ÖSSZES!$A$5</f>
        <v>Mizsák Péter</v>
      </c>
      <c r="B54" s="33" t="s">
        <v>114</v>
      </c>
      <c r="C54" s="31"/>
      <c r="D54" s="31"/>
      <c r="E54" s="31"/>
      <c r="F54" s="33"/>
      <c r="G54" s="33"/>
      <c r="H54" s="58" t="s">
        <v>2</v>
      </c>
      <c r="I54" s="58" t="s">
        <v>2</v>
      </c>
      <c r="J54" s="31"/>
      <c r="K54" s="31"/>
      <c r="L54" s="31"/>
      <c r="M54" s="31"/>
      <c r="N54" s="33"/>
      <c r="O54" s="33"/>
      <c r="P54" s="58" t="s">
        <v>2</v>
      </c>
      <c r="Q54" s="58" t="s">
        <v>2</v>
      </c>
      <c r="R54" s="31"/>
      <c r="S54" s="31"/>
      <c r="T54" s="31"/>
      <c r="U54" s="31"/>
      <c r="V54" s="33"/>
      <c r="W54" s="33"/>
      <c r="X54" s="58" t="s">
        <v>2</v>
      </c>
      <c r="Y54" s="58" t="s">
        <v>2</v>
      </c>
      <c r="Z54" s="31"/>
      <c r="AA54" s="31"/>
      <c r="AB54" s="31"/>
      <c r="AC54" s="31"/>
      <c r="AD54" s="33"/>
      <c r="AE54" s="33"/>
      <c r="AF54" s="58" t="s">
        <v>2</v>
      </c>
      <c r="AH54" s="16">
        <f t="shared" si="7"/>
        <v>1</v>
      </c>
      <c r="AI54" s="16">
        <f t="shared" si="8"/>
        <v>0</v>
      </c>
    </row>
    <row r="55" spans="1:35" ht="20.100000000000001" customHeight="1">
      <c r="A55" s="18" t="str">
        <f>ÖSSZES!$A$6</f>
        <v>Füredi Antal</v>
      </c>
      <c r="B55" s="31"/>
      <c r="C55" s="31"/>
      <c r="D55" s="31"/>
      <c r="E55" s="31"/>
      <c r="F55" s="33"/>
      <c r="G55" s="33"/>
      <c r="H55" s="58" t="s">
        <v>2</v>
      </c>
      <c r="I55" s="58" t="s">
        <v>2</v>
      </c>
      <c r="J55" s="31"/>
      <c r="K55" s="31"/>
      <c r="L55" s="31"/>
      <c r="M55" s="31"/>
      <c r="N55" s="33"/>
      <c r="O55" s="33"/>
      <c r="P55" s="58" t="s">
        <v>2</v>
      </c>
      <c r="Q55" s="58" t="s">
        <v>2</v>
      </c>
      <c r="R55" s="31"/>
      <c r="S55" s="31"/>
      <c r="T55" s="33"/>
      <c r="U55" s="31"/>
      <c r="V55" s="33"/>
      <c r="W55" s="33"/>
      <c r="X55" s="58" t="s">
        <v>2</v>
      </c>
      <c r="Y55" s="58" t="s">
        <v>2</v>
      </c>
      <c r="Z55" s="31"/>
      <c r="AA55" s="31"/>
      <c r="AB55" s="31"/>
      <c r="AC55" s="31"/>
      <c r="AD55" s="33"/>
      <c r="AE55" s="33"/>
      <c r="AF55" s="58" t="s">
        <v>2</v>
      </c>
      <c r="AH55" s="16">
        <f t="shared" si="7"/>
        <v>0</v>
      </c>
      <c r="AI55" s="16">
        <f t="shared" si="8"/>
        <v>0</v>
      </c>
    </row>
    <row r="56" spans="1:35" ht="20.100000000000001" customHeight="1">
      <c r="A56" s="18" t="str">
        <f>ÖSSZES!$A$7</f>
        <v>Iványi István</v>
      </c>
      <c r="B56" s="33" t="s">
        <v>116</v>
      </c>
      <c r="C56" s="31"/>
      <c r="D56" s="31"/>
      <c r="E56" s="31"/>
      <c r="F56" s="33"/>
      <c r="G56" s="33"/>
      <c r="H56" s="58" t="s">
        <v>2</v>
      </c>
      <c r="I56" s="58" t="s">
        <v>2</v>
      </c>
      <c r="J56" s="31"/>
      <c r="K56" s="31"/>
      <c r="L56" s="31"/>
      <c r="M56" s="31"/>
      <c r="N56" s="33"/>
      <c r="O56" s="33"/>
      <c r="P56" s="58" t="s">
        <v>2</v>
      </c>
      <c r="Q56" s="58" t="s">
        <v>2</v>
      </c>
      <c r="R56" s="31"/>
      <c r="S56" s="31"/>
      <c r="T56" s="31"/>
      <c r="U56" s="31"/>
      <c r="V56" s="33" t="s">
        <v>114</v>
      </c>
      <c r="W56" s="33" t="s">
        <v>39</v>
      </c>
      <c r="X56" s="58" t="s">
        <v>2</v>
      </c>
      <c r="Y56" s="58" t="s">
        <v>2</v>
      </c>
      <c r="Z56" s="31"/>
      <c r="AA56" s="31"/>
      <c r="AB56" s="33" t="s">
        <v>20</v>
      </c>
      <c r="AC56" s="31"/>
      <c r="AD56" s="33"/>
      <c r="AE56" s="33"/>
      <c r="AF56" s="58" t="s">
        <v>2</v>
      </c>
      <c r="AH56" s="16">
        <f t="shared" si="7"/>
        <v>1</v>
      </c>
      <c r="AI56" s="16">
        <f t="shared" si="8"/>
        <v>2</v>
      </c>
    </row>
    <row r="57" spans="1:35" ht="20.100000000000001" customHeight="1">
      <c r="A57" s="18" t="str">
        <f>ÖSSZES!$A$8</f>
        <v>Katonka Tibor</v>
      </c>
      <c r="B57" s="31"/>
      <c r="C57" s="31"/>
      <c r="D57" s="31"/>
      <c r="E57" s="31"/>
      <c r="F57" s="33"/>
      <c r="G57" s="33"/>
      <c r="H57" s="58" t="s">
        <v>2</v>
      </c>
      <c r="I57" s="58" t="s">
        <v>2</v>
      </c>
      <c r="J57" s="31"/>
      <c r="K57" s="31"/>
      <c r="L57" s="31"/>
      <c r="M57" s="31"/>
      <c r="N57" s="33"/>
      <c r="O57" s="33"/>
      <c r="P57" s="58" t="s">
        <v>2</v>
      </c>
      <c r="Q57" s="58" t="s">
        <v>2</v>
      </c>
      <c r="R57" s="31"/>
      <c r="S57" s="31"/>
      <c r="T57" s="31"/>
      <c r="U57" s="31"/>
      <c r="V57" s="33"/>
      <c r="W57" s="33"/>
      <c r="X57" s="58" t="s">
        <v>2</v>
      </c>
      <c r="Y57" s="58" t="s">
        <v>2</v>
      </c>
      <c r="Z57" s="31"/>
      <c r="AA57" s="31"/>
      <c r="AB57" s="31"/>
      <c r="AC57" s="31"/>
      <c r="AD57" s="33"/>
      <c r="AE57" s="33"/>
      <c r="AF57" s="58" t="s">
        <v>2</v>
      </c>
      <c r="AH57" s="16">
        <f t="shared" si="7"/>
        <v>0</v>
      </c>
      <c r="AI57" s="16">
        <f t="shared" si="8"/>
        <v>0</v>
      </c>
    </row>
    <row r="58" spans="1:35" ht="20.100000000000001" hidden="1" customHeight="1">
      <c r="A58" s="18" t="str">
        <f>ÖSSZES!$A$9</f>
        <v>Kiss János Tamás</v>
      </c>
      <c r="B58" s="31"/>
      <c r="C58" s="31"/>
      <c r="D58" s="31"/>
      <c r="E58" s="31"/>
      <c r="F58" s="33"/>
      <c r="G58" s="33"/>
      <c r="H58" s="58" t="s">
        <v>2</v>
      </c>
      <c r="I58" s="58" t="s">
        <v>2</v>
      </c>
      <c r="J58" s="31"/>
      <c r="K58" s="31"/>
      <c r="L58" s="31"/>
      <c r="M58" s="31"/>
      <c r="N58" s="33"/>
      <c r="O58" s="33"/>
      <c r="P58" s="58" t="s">
        <v>2</v>
      </c>
      <c r="Q58" s="58" t="s">
        <v>2</v>
      </c>
      <c r="R58" s="31"/>
      <c r="S58" s="31"/>
      <c r="T58" s="31"/>
      <c r="U58" s="31"/>
      <c r="V58" s="33"/>
      <c r="W58" s="33"/>
      <c r="X58" s="58" t="s">
        <v>2</v>
      </c>
      <c r="Y58" s="58" t="s">
        <v>2</v>
      </c>
      <c r="Z58" s="31"/>
      <c r="AA58" s="31"/>
      <c r="AB58" s="31"/>
      <c r="AC58" s="31"/>
      <c r="AD58" s="33"/>
      <c r="AE58" s="33"/>
      <c r="AF58" s="58" t="s">
        <v>2</v>
      </c>
      <c r="AH58" s="16">
        <f t="shared" si="7"/>
        <v>0</v>
      </c>
      <c r="AI58" s="16">
        <f t="shared" si="8"/>
        <v>0</v>
      </c>
    </row>
    <row r="59" spans="1:35" ht="20.100000000000001" customHeight="1">
      <c r="A59" s="18" t="str">
        <f>ÖSSZES!$A$10</f>
        <v>Vatamány Gergő</v>
      </c>
      <c r="B59" s="33"/>
      <c r="C59" s="31"/>
      <c r="D59" s="31"/>
      <c r="E59" s="31"/>
      <c r="F59" s="33"/>
      <c r="G59" s="33"/>
      <c r="H59" s="58" t="s">
        <v>2</v>
      </c>
      <c r="I59" s="58" t="s">
        <v>2</v>
      </c>
      <c r="J59" s="31"/>
      <c r="K59" s="31"/>
      <c r="L59" s="31"/>
      <c r="M59" s="31"/>
      <c r="N59" s="33"/>
      <c r="O59" s="33"/>
      <c r="P59" s="58" t="s">
        <v>2</v>
      </c>
      <c r="Q59" s="58" t="s">
        <v>2</v>
      </c>
      <c r="R59" s="31"/>
      <c r="S59" s="31"/>
      <c r="T59" s="31"/>
      <c r="U59" s="31"/>
      <c r="V59" s="33"/>
      <c r="W59" s="33"/>
      <c r="X59" s="58" t="s">
        <v>2</v>
      </c>
      <c r="Y59" s="58" t="s">
        <v>2</v>
      </c>
      <c r="Z59" s="31"/>
      <c r="AA59" s="31"/>
      <c r="AB59" s="31"/>
      <c r="AC59" s="33" t="s">
        <v>114</v>
      </c>
      <c r="AD59" s="33" t="s">
        <v>114</v>
      </c>
      <c r="AE59" s="33" t="s">
        <v>114</v>
      </c>
      <c r="AF59" s="58" t="s">
        <v>2</v>
      </c>
      <c r="AH59" s="16">
        <f t="shared" si="7"/>
        <v>3</v>
      </c>
      <c r="AI59" s="16">
        <f t="shared" si="8"/>
        <v>0</v>
      </c>
    </row>
    <row r="60" spans="1:35" ht="20.100000000000001" hidden="1" customHeight="1">
      <c r="A60" s="18" t="str">
        <f>ÖSSZES!$A$11</f>
        <v>Név9</v>
      </c>
      <c r="B60" s="31"/>
      <c r="C60" s="31"/>
      <c r="D60" s="31"/>
      <c r="E60" s="31"/>
      <c r="F60" s="33"/>
      <c r="G60" s="33"/>
      <c r="H60" s="58" t="s">
        <v>2</v>
      </c>
      <c r="I60" s="58" t="s">
        <v>2</v>
      </c>
      <c r="J60" s="31"/>
      <c r="K60" s="31"/>
      <c r="L60" s="31"/>
      <c r="M60" s="31"/>
      <c r="N60" s="33"/>
      <c r="O60" s="33"/>
      <c r="P60" s="58" t="s">
        <v>2</v>
      </c>
      <c r="Q60" s="58" t="s">
        <v>2</v>
      </c>
      <c r="R60" s="31"/>
      <c r="S60" s="33"/>
      <c r="T60" s="31"/>
      <c r="U60" s="31"/>
      <c r="V60" s="33"/>
      <c r="W60" s="33"/>
      <c r="X60" s="58" t="s">
        <v>2</v>
      </c>
      <c r="Y60" s="58" t="s">
        <v>2</v>
      </c>
      <c r="Z60" s="31"/>
      <c r="AA60" s="31"/>
      <c r="AB60" s="31"/>
      <c r="AC60" s="31"/>
      <c r="AD60" s="33"/>
      <c r="AE60" s="33"/>
      <c r="AF60" s="58" t="s">
        <v>2</v>
      </c>
      <c r="AH60" s="16">
        <f t="shared" si="7"/>
        <v>0</v>
      </c>
      <c r="AI60" s="16">
        <f t="shared" si="8"/>
        <v>0</v>
      </c>
    </row>
    <row r="61" spans="1:35" ht="20.100000000000001" hidden="1" customHeight="1">
      <c r="A61" s="18" t="str">
        <f>ÖSSZES!$A$12</f>
        <v>Név10</v>
      </c>
      <c r="B61" s="31"/>
      <c r="C61" s="31"/>
      <c r="D61" s="31"/>
      <c r="E61" s="31"/>
      <c r="F61" s="33"/>
      <c r="G61" s="33"/>
      <c r="H61" s="58" t="s">
        <v>2</v>
      </c>
      <c r="I61" s="58" t="s">
        <v>2</v>
      </c>
      <c r="J61" s="31"/>
      <c r="K61" s="31"/>
      <c r="L61" s="31"/>
      <c r="M61" s="31"/>
      <c r="N61" s="33"/>
      <c r="O61" s="33"/>
      <c r="P61" s="58" t="s">
        <v>2</v>
      </c>
      <c r="Q61" s="58" t="s">
        <v>2</v>
      </c>
      <c r="R61" s="31"/>
      <c r="S61" s="31"/>
      <c r="T61" s="31"/>
      <c r="U61" s="31"/>
      <c r="V61" s="33"/>
      <c r="W61" s="33"/>
      <c r="X61" s="58" t="s">
        <v>2</v>
      </c>
      <c r="Y61" s="58" t="s">
        <v>2</v>
      </c>
      <c r="Z61" s="31"/>
      <c r="AA61" s="31"/>
      <c r="AB61" s="31"/>
      <c r="AC61" s="31"/>
      <c r="AD61" s="33"/>
      <c r="AE61" s="33"/>
      <c r="AF61" s="58" t="s">
        <v>2</v>
      </c>
      <c r="AH61" s="16">
        <f t="shared" si="7"/>
        <v>0</v>
      </c>
      <c r="AI61" s="16">
        <f t="shared" si="8"/>
        <v>0</v>
      </c>
    </row>
    <row r="62" spans="1:35" ht="20.100000000000001" hidden="1" customHeight="1">
      <c r="A62" s="18" t="str">
        <f>ÖSSZES!$A$13</f>
        <v>Név11</v>
      </c>
      <c r="B62" s="31"/>
      <c r="C62" s="31"/>
      <c r="D62" s="31"/>
      <c r="E62" s="31"/>
      <c r="F62" s="33"/>
      <c r="G62" s="33"/>
      <c r="H62" s="58" t="s">
        <v>2</v>
      </c>
      <c r="I62" s="58" t="s">
        <v>2</v>
      </c>
      <c r="J62" s="31"/>
      <c r="K62" s="31"/>
      <c r="L62" s="31"/>
      <c r="M62" s="31"/>
      <c r="N62" s="33"/>
      <c r="O62" s="33"/>
      <c r="P62" s="58" t="s">
        <v>2</v>
      </c>
      <c r="Q62" s="58" t="s">
        <v>2</v>
      </c>
      <c r="R62" s="31"/>
      <c r="S62" s="31"/>
      <c r="T62" s="31"/>
      <c r="U62" s="31"/>
      <c r="V62" s="33"/>
      <c r="W62" s="33"/>
      <c r="X62" s="58" t="s">
        <v>2</v>
      </c>
      <c r="Y62" s="58" t="s">
        <v>2</v>
      </c>
      <c r="Z62" s="31"/>
      <c r="AA62" s="31"/>
      <c r="AB62" s="31"/>
      <c r="AC62" s="31"/>
      <c r="AD62" s="33"/>
      <c r="AE62" s="33"/>
      <c r="AF62" s="58" t="s">
        <v>2</v>
      </c>
      <c r="AH62" s="16">
        <f t="shared" si="7"/>
        <v>0</v>
      </c>
      <c r="AI62" s="16">
        <f t="shared" si="8"/>
        <v>0</v>
      </c>
    </row>
    <row r="63" spans="1:35" ht="20.100000000000001" hidden="1" customHeight="1">
      <c r="A63" s="18" t="str">
        <f>ÖSSZES!$A$14</f>
        <v>Név12</v>
      </c>
      <c r="B63" s="31"/>
      <c r="C63" s="31"/>
      <c r="D63" s="31"/>
      <c r="E63" s="31"/>
      <c r="F63" s="33"/>
      <c r="G63" s="33"/>
      <c r="H63" s="58" t="s">
        <v>2</v>
      </c>
      <c r="I63" s="58" t="s">
        <v>2</v>
      </c>
      <c r="J63" s="31"/>
      <c r="K63" s="31"/>
      <c r="L63" s="31"/>
      <c r="M63" s="31"/>
      <c r="N63" s="33"/>
      <c r="O63" s="33"/>
      <c r="P63" s="58" t="s">
        <v>2</v>
      </c>
      <c r="Q63" s="58" t="s">
        <v>2</v>
      </c>
      <c r="R63" s="31"/>
      <c r="S63" s="31"/>
      <c r="T63" s="31"/>
      <c r="U63" s="31"/>
      <c r="V63" s="33"/>
      <c r="W63" s="33"/>
      <c r="X63" s="58" t="s">
        <v>2</v>
      </c>
      <c r="Y63" s="58" t="s">
        <v>2</v>
      </c>
      <c r="Z63" s="31"/>
      <c r="AA63" s="31"/>
      <c r="AB63" s="31"/>
      <c r="AC63" s="31"/>
      <c r="AD63" s="33"/>
      <c r="AE63" s="33"/>
      <c r="AF63" s="58" t="s">
        <v>2</v>
      </c>
      <c r="AH63" s="16">
        <f t="shared" si="7"/>
        <v>0</v>
      </c>
      <c r="AI63" s="16">
        <f t="shared" si="8"/>
        <v>0</v>
      </c>
    </row>
    <row r="64" spans="1:35" ht="20.100000000000001" hidden="1" customHeight="1">
      <c r="A64" s="18" t="str">
        <f>ÖSSZES!$A$15</f>
        <v>Név13</v>
      </c>
      <c r="B64" s="31"/>
      <c r="C64" s="31"/>
      <c r="D64" s="31"/>
      <c r="E64" s="31"/>
      <c r="F64" s="33"/>
      <c r="G64" s="33"/>
      <c r="H64" s="58" t="s">
        <v>2</v>
      </c>
      <c r="I64" s="58" t="s">
        <v>2</v>
      </c>
      <c r="J64" s="31"/>
      <c r="K64" s="31"/>
      <c r="L64" s="31"/>
      <c r="M64" s="31"/>
      <c r="N64" s="33"/>
      <c r="O64" s="33"/>
      <c r="P64" s="58" t="s">
        <v>2</v>
      </c>
      <c r="Q64" s="58" t="s">
        <v>2</v>
      </c>
      <c r="R64" s="31"/>
      <c r="S64" s="31"/>
      <c r="T64" s="31"/>
      <c r="U64" s="31"/>
      <c r="V64" s="33"/>
      <c r="W64" s="33"/>
      <c r="X64" s="58" t="s">
        <v>2</v>
      </c>
      <c r="Y64" s="58" t="s">
        <v>2</v>
      </c>
      <c r="Z64" s="31"/>
      <c r="AA64" s="31"/>
      <c r="AB64" s="31"/>
      <c r="AC64" s="31"/>
      <c r="AD64" s="33"/>
      <c r="AE64" s="33"/>
      <c r="AF64" s="58" t="s">
        <v>2</v>
      </c>
      <c r="AH64" s="16">
        <f t="shared" si="7"/>
        <v>0</v>
      </c>
      <c r="AI64" s="16">
        <f t="shared" si="8"/>
        <v>0</v>
      </c>
    </row>
    <row r="65" spans="1:35" ht="20.100000000000001" hidden="1" customHeight="1">
      <c r="A65" s="18" t="str">
        <f>ÖSSZES!$A$16</f>
        <v>Név14</v>
      </c>
      <c r="B65" s="31"/>
      <c r="C65" s="31"/>
      <c r="D65" s="31"/>
      <c r="E65" s="31"/>
      <c r="F65" s="33"/>
      <c r="G65" s="33"/>
      <c r="H65" s="58" t="s">
        <v>2</v>
      </c>
      <c r="I65" s="58" t="s">
        <v>2</v>
      </c>
      <c r="J65" s="31"/>
      <c r="K65" s="31"/>
      <c r="L65" s="31"/>
      <c r="M65" s="31"/>
      <c r="N65" s="33"/>
      <c r="O65" s="33"/>
      <c r="P65" s="58" t="s">
        <v>2</v>
      </c>
      <c r="Q65" s="58" t="s">
        <v>2</v>
      </c>
      <c r="R65" s="31"/>
      <c r="S65" s="31"/>
      <c r="T65" s="31"/>
      <c r="U65" s="31"/>
      <c r="V65" s="33"/>
      <c r="W65" s="33"/>
      <c r="X65" s="58" t="s">
        <v>2</v>
      </c>
      <c r="Y65" s="58" t="s">
        <v>2</v>
      </c>
      <c r="Z65" s="31"/>
      <c r="AA65" s="31"/>
      <c r="AB65" s="31"/>
      <c r="AC65" s="31"/>
      <c r="AD65" s="33"/>
      <c r="AE65" s="33"/>
      <c r="AF65" s="58" t="s">
        <v>2</v>
      </c>
      <c r="AH65" s="16">
        <f t="shared" si="7"/>
        <v>0</v>
      </c>
      <c r="AI65" s="16">
        <f t="shared" si="8"/>
        <v>0</v>
      </c>
    </row>
    <row r="66" spans="1:35" ht="20.100000000000001" hidden="1" customHeight="1">
      <c r="A66" s="18" t="str">
        <f>ÖSSZES!$A$17</f>
        <v>Név15</v>
      </c>
      <c r="B66" s="31"/>
      <c r="C66" s="31"/>
      <c r="D66" s="31"/>
      <c r="E66" s="31"/>
      <c r="F66" s="33"/>
      <c r="G66" s="33"/>
      <c r="H66" s="58" t="s">
        <v>2</v>
      </c>
      <c r="I66" s="58" t="s">
        <v>2</v>
      </c>
      <c r="J66" s="31"/>
      <c r="K66" s="31"/>
      <c r="L66" s="31"/>
      <c r="M66" s="31"/>
      <c r="N66" s="33"/>
      <c r="O66" s="33"/>
      <c r="P66" s="58" t="s">
        <v>2</v>
      </c>
      <c r="Q66" s="58" t="s">
        <v>2</v>
      </c>
      <c r="R66" s="31"/>
      <c r="S66" s="31"/>
      <c r="T66" s="31"/>
      <c r="U66" s="31"/>
      <c r="V66" s="33"/>
      <c r="W66" s="33"/>
      <c r="X66" s="58" t="s">
        <v>2</v>
      </c>
      <c r="Y66" s="58" t="s">
        <v>2</v>
      </c>
      <c r="Z66" s="31"/>
      <c r="AA66" s="31"/>
      <c r="AB66" s="31"/>
      <c r="AC66" s="31"/>
      <c r="AD66" s="33"/>
      <c r="AE66" s="33"/>
      <c r="AF66" s="58" t="s">
        <v>2</v>
      </c>
      <c r="AH66" s="16">
        <f t="shared" si="7"/>
        <v>0</v>
      </c>
      <c r="AI66" s="16">
        <f t="shared" si="8"/>
        <v>0</v>
      </c>
    </row>
    <row r="67" spans="1:35" ht="20.100000000000001" hidden="1" customHeight="1">
      <c r="A67" s="18" t="str">
        <f>ÖSSZES!$A$18</f>
        <v>Név16</v>
      </c>
      <c r="B67" s="31"/>
      <c r="C67" s="31"/>
      <c r="D67" s="31"/>
      <c r="E67" s="31"/>
      <c r="F67" s="33"/>
      <c r="G67" s="33"/>
      <c r="H67" s="58" t="s">
        <v>2</v>
      </c>
      <c r="I67" s="58" t="s">
        <v>2</v>
      </c>
      <c r="J67" s="31"/>
      <c r="K67" s="31"/>
      <c r="L67" s="31"/>
      <c r="M67" s="31"/>
      <c r="N67" s="33"/>
      <c r="O67" s="33"/>
      <c r="P67" s="58" t="s">
        <v>2</v>
      </c>
      <c r="Q67" s="58" t="s">
        <v>2</v>
      </c>
      <c r="R67" s="31"/>
      <c r="S67" s="31"/>
      <c r="T67" s="31"/>
      <c r="U67" s="31"/>
      <c r="V67" s="33"/>
      <c r="W67" s="33"/>
      <c r="X67" s="58" t="s">
        <v>2</v>
      </c>
      <c r="Y67" s="58" t="s">
        <v>2</v>
      </c>
      <c r="Z67" s="31"/>
      <c r="AA67" s="31"/>
      <c r="AB67" s="31"/>
      <c r="AC67" s="31"/>
      <c r="AD67" s="33"/>
      <c r="AE67" s="33"/>
      <c r="AF67" s="58" t="s">
        <v>2</v>
      </c>
      <c r="AH67" s="16">
        <f t="shared" si="7"/>
        <v>0</v>
      </c>
      <c r="AI67" s="16">
        <f t="shared" si="8"/>
        <v>0</v>
      </c>
    </row>
    <row r="68" spans="1:35" ht="20.100000000000001" hidden="1" customHeight="1">
      <c r="A68" s="18" t="str">
        <f>ÖSSZES!$A$19</f>
        <v>Név17</v>
      </c>
      <c r="B68" s="31"/>
      <c r="C68" s="31"/>
      <c r="D68" s="31"/>
      <c r="E68" s="31"/>
      <c r="F68" s="33"/>
      <c r="G68" s="33"/>
      <c r="H68" s="58" t="s">
        <v>2</v>
      </c>
      <c r="I68" s="58" t="s">
        <v>2</v>
      </c>
      <c r="J68" s="31"/>
      <c r="K68" s="31"/>
      <c r="L68" s="31"/>
      <c r="M68" s="31"/>
      <c r="N68" s="33"/>
      <c r="O68" s="33"/>
      <c r="P68" s="58" t="s">
        <v>2</v>
      </c>
      <c r="Q68" s="58" t="s">
        <v>2</v>
      </c>
      <c r="R68" s="31"/>
      <c r="S68" s="31"/>
      <c r="T68" s="31"/>
      <c r="U68" s="31"/>
      <c r="V68" s="33"/>
      <c r="W68" s="33"/>
      <c r="X68" s="58" t="s">
        <v>2</v>
      </c>
      <c r="Y68" s="58" t="s">
        <v>2</v>
      </c>
      <c r="Z68" s="31"/>
      <c r="AA68" s="31"/>
      <c r="AB68" s="31"/>
      <c r="AC68" s="31"/>
      <c r="AD68" s="33"/>
      <c r="AE68" s="33"/>
      <c r="AF68" s="58" t="s">
        <v>2</v>
      </c>
      <c r="AH68" s="16">
        <f t="shared" si="7"/>
        <v>0</v>
      </c>
      <c r="AI68" s="16">
        <f t="shared" si="8"/>
        <v>0</v>
      </c>
    </row>
    <row r="69" spans="1:35" ht="20.100000000000001" hidden="1" customHeight="1">
      <c r="A69" s="18" t="str">
        <f>ÖSSZES!$A$20</f>
        <v>Név18</v>
      </c>
      <c r="B69" s="31"/>
      <c r="C69" s="31"/>
      <c r="D69" s="31"/>
      <c r="E69" s="31"/>
      <c r="F69" s="33"/>
      <c r="G69" s="33"/>
      <c r="H69" s="58" t="s">
        <v>2</v>
      </c>
      <c r="I69" s="58" t="s">
        <v>2</v>
      </c>
      <c r="J69" s="31"/>
      <c r="K69" s="31"/>
      <c r="L69" s="31"/>
      <c r="M69" s="31"/>
      <c r="N69" s="33"/>
      <c r="O69" s="33"/>
      <c r="P69" s="58" t="s">
        <v>2</v>
      </c>
      <c r="Q69" s="58" t="s">
        <v>2</v>
      </c>
      <c r="R69" s="31"/>
      <c r="S69" s="31"/>
      <c r="T69" s="31"/>
      <c r="U69" s="31"/>
      <c r="V69" s="33"/>
      <c r="W69" s="33"/>
      <c r="X69" s="58" t="s">
        <v>2</v>
      </c>
      <c r="Y69" s="58" t="s">
        <v>2</v>
      </c>
      <c r="Z69" s="31"/>
      <c r="AA69" s="31"/>
      <c r="AB69" s="31"/>
      <c r="AC69" s="31"/>
      <c r="AD69" s="33"/>
      <c r="AE69" s="33"/>
      <c r="AF69" s="58" t="s">
        <v>2</v>
      </c>
      <c r="AH69" s="16">
        <f t="shared" si="7"/>
        <v>0</v>
      </c>
      <c r="AI69" s="16">
        <f t="shared" si="8"/>
        <v>0</v>
      </c>
    </row>
    <row r="70" spans="1:35" ht="20.100000000000001" hidden="1" customHeight="1">
      <c r="A70" s="18" t="str">
        <f>ÖSSZES!$A$21</f>
        <v>Név19</v>
      </c>
      <c r="B70" s="31"/>
      <c r="C70" s="31"/>
      <c r="D70" s="31"/>
      <c r="E70" s="31"/>
      <c r="F70" s="33"/>
      <c r="G70" s="33"/>
      <c r="H70" s="58" t="s">
        <v>2</v>
      </c>
      <c r="I70" s="58" t="s">
        <v>2</v>
      </c>
      <c r="J70" s="31"/>
      <c r="K70" s="31"/>
      <c r="L70" s="31"/>
      <c r="M70" s="31"/>
      <c r="N70" s="33"/>
      <c r="O70" s="33"/>
      <c r="P70" s="58" t="s">
        <v>2</v>
      </c>
      <c r="Q70" s="58" t="s">
        <v>2</v>
      </c>
      <c r="R70" s="31"/>
      <c r="S70" s="31"/>
      <c r="T70" s="31"/>
      <c r="U70" s="31"/>
      <c r="V70" s="33"/>
      <c r="W70" s="33"/>
      <c r="X70" s="58" t="s">
        <v>2</v>
      </c>
      <c r="Y70" s="58" t="s">
        <v>2</v>
      </c>
      <c r="Z70" s="31"/>
      <c r="AA70" s="31"/>
      <c r="AB70" s="31"/>
      <c r="AC70" s="31"/>
      <c r="AD70" s="33"/>
      <c r="AE70" s="33"/>
      <c r="AF70" s="58" t="s">
        <v>2</v>
      </c>
      <c r="AH70" s="16">
        <f t="shared" si="7"/>
        <v>0</v>
      </c>
      <c r="AI70" s="16">
        <f t="shared" si="8"/>
        <v>0</v>
      </c>
    </row>
    <row r="71" spans="1:35" ht="20.100000000000001" hidden="1" customHeight="1">
      <c r="A71" s="18" t="str">
        <f>ÖSSZES!$A$17</f>
        <v>Név15</v>
      </c>
      <c r="B71" s="31"/>
      <c r="C71" s="31"/>
      <c r="D71" s="31"/>
      <c r="E71" s="31"/>
      <c r="F71" s="33"/>
      <c r="G71" s="33"/>
      <c r="H71" s="58" t="s">
        <v>2</v>
      </c>
      <c r="I71" s="58" t="s">
        <v>2</v>
      </c>
      <c r="J71" s="31"/>
      <c r="K71" s="31"/>
      <c r="L71" s="31"/>
      <c r="M71" s="31"/>
      <c r="N71" s="33"/>
      <c r="O71" s="33"/>
      <c r="P71" s="58" t="s">
        <v>2</v>
      </c>
      <c r="Q71" s="58" t="s">
        <v>2</v>
      </c>
      <c r="R71" s="31"/>
      <c r="S71" s="31"/>
      <c r="T71" s="31"/>
      <c r="U71" s="31"/>
      <c r="V71" s="33"/>
      <c r="W71" s="33"/>
      <c r="X71" s="58" t="s">
        <v>2</v>
      </c>
      <c r="Y71" s="58" t="s">
        <v>2</v>
      </c>
      <c r="Z71" s="31"/>
      <c r="AA71" s="31"/>
      <c r="AB71" s="31"/>
      <c r="AC71" s="31"/>
      <c r="AD71" s="33"/>
      <c r="AE71" s="33"/>
      <c r="AF71" s="58" t="s">
        <v>2</v>
      </c>
      <c r="AH71" s="16">
        <f t="shared" si="7"/>
        <v>0</v>
      </c>
      <c r="AI71" s="16">
        <f t="shared" si="8"/>
        <v>0</v>
      </c>
    </row>
    <row r="72" spans="1:35" ht="20.100000000000001" customHeight="1"/>
    <row r="73" spans="1:35" s="25" customFormat="1" ht="20.100000000000001" customHeight="1">
      <c r="A73" s="88" t="s">
        <v>17</v>
      </c>
      <c r="B73" s="24">
        <v>1</v>
      </c>
      <c r="C73" s="24">
        <v>2</v>
      </c>
      <c r="D73" s="24">
        <v>3</v>
      </c>
      <c r="E73" s="24">
        <v>4</v>
      </c>
      <c r="F73" s="24">
        <v>5</v>
      </c>
      <c r="G73" s="24">
        <v>6</v>
      </c>
      <c r="H73" s="24">
        <v>7</v>
      </c>
      <c r="I73" s="24">
        <v>8</v>
      </c>
      <c r="J73" s="24">
        <v>9</v>
      </c>
      <c r="K73" s="57">
        <v>10</v>
      </c>
      <c r="L73" s="24">
        <v>11</v>
      </c>
      <c r="M73" s="57">
        <v>12</v>
      </c>
      <c r="N73" s="57">
        <v>13</v>
      </c>
      <c r="O73" s="24">
        <v>14</v>
      </c>
      <c r="P73" s="24">
        <v>15</v>
      </c>
      <c r="Q73" s="24">
        <v>16</v>
      </c>
      <c r="R73" s="24">
        <v>17</v>
      </c>
      <c r="S73" s="24">
        <v>18</v>
      </c>
      <c r="T73" s="24">
        <v>19</v>
      </c>
      <c r="U73" s="24">
        <v>20</v>
      </c>
      <c r="V73" s="24">
        <v>21</v>
      </c>
      <c r="W73" s="24">
        <v>22</v>
      </c>
      <c r="X73" s="24">
        <v>23</v>
      </c>
      <c r="Y73" s="24">
        <v>24</v>
      </c>
      <c r="Z73" s="24">
        <v>25</v>
      </c>
      <c r="AA73" s="24">
        <v>26</v>
      </c>
      <c r="AB73" s="24">
        <v>27</v>
      </c>
      <c r="AC73" s="24">
        <v>28</v>
      </c>
      <c r="AD73" s="24">
        <v>29</v>
      </c>
      <c r="AE73" s="24">
        <v>30</v>
      </c>
      <c r="AH73" s="88" t="s">
        <v>18</v>
      </c>
      <c r="AI73" s="88" t="s">
        <v>19</v>
      </c>
    </row>
    <row r="74" spans="1:35" ht="20.100000000000001" customHeight="1">
      <c r="A74" s="90"/>
      <c r="B74" s="26" t="str">
        <f>'2020'!B28</f>
        <v>Sze</v>
      </c>
      <c r="C74" s="26" t="str">
        <f>'2020'!C28</f>
        <v>Cs</v>
      </c>
      <c r="D74" s="26" t="str">
        <f>'2020'!D28</f>
        <v>P</v>
      </c>
      <c r="E74" s="26" t="str">
        <f>'2020'!E28</f>
        <v>Szo</v>
      </c>
      <c r="F74" s="26" t="str">
        <f>'2020'!F28</f>
        <v>V</v>
      </c>
      <c r="G74" s="26" t="str">
        <f>'2020'!G28</f>
        <v>H</v>
      </c>
      <c r="H74" s="26" t="str">
        <f>'2020'!H28</f>
        <v>K</v>
      </c>
      <c r="I74" s="26" t="str">
        <f>'2020'!I28</f>
        <v>Sze</v>
      </c>
      <c r="J74" s="26" t="str">
        <f>'2020'!J28</f>
        <v>Cs</v>
      </c>
      <c r="K74" s="26" t="str">
        <f>'2020'!K28</f>
        <v>P</v>
      </c>
      <c r="L74" s="26" t="str">
        <f>'2020'!L28</f>
        <v>Szo</v>
      </c>
      <c r="M74" s="26" t="str">
        <f>'2020'!M28</f>
        <v>V</v>
      </c>
      <c r="N74" s="26" t="str">
        <f>'2020'!N28</f>
        <v>H</v>
      </c>
      <c r="O74" s="26" t="str">
        <f>'2020'!O28</f>
        <v>K</v>
      </c>
      <c r="P74" s="26" t="str">
        <f>'2020'!P28</f>
        <v>Sze</v>
      </c>
      <c r="Q74" s="26" t="str">
        <f>'2020'!Q28</f>
        <v>Cs</v>
      </c>
      <c r="R74" s="26" t="str">
        <f>'2020'!R28</f>
        <v>P</v>
      </c>
      <c r="S74" s="26" t="str">
        <f>'2020'!S28</f>
        <v>Szo</v>
      </c>
      <c r="T74" s="26" t="str">
        <f>'2020'!T28</f>
        <v>V</v>
      </c>
      <c r="U74" s="26" t="str">
        <f>'2020'!U28</f>
        <v>H</v>
      </c>
      <c r="V74" s="26" t="str">
        <f>'2020'!V28</f>
        <v>K</v>
      </c>
      <c r="W74" s="26" t="str">
        <f>'2020'!W28</f>
        <v>Sze</v>
      </c>
      <c r="X74" s="26" t="str">
        <f>'2020'!X28</f>
        <v>Cs</v>
      </c>
      <c r="Y74" s="26" t="str">
        <f>'2020'!Y28</f>
        <v>P</v>
      </c>
      <c r="Z74" s="26" t="str">
        <f>'2020'!Z28</f>
        <v>Szo</v>
      </c>
      <c r="AA74" s="26" t="str">
        <f>'2020'!AA28</f>
        <v>V</v>
      </c>
      <c r="AB74" s="26" t="str">
        <f>'2020'!AB28</f>
        <v>H</v>
      </c>
      <c r="AC74" s="26" t="str">
        <f>'2020'!AC28</f>
        <v>K</v>
      </c>
      <c r="AD74" s="26" t="str">
        <f>'2020'!AD28</f>
        <v>Sze</v>
      </c>
      <c r="AE74" s="26" t="str">
        <f>'2020'!AE28</f>
        <v>Cs</v>
      </c>
      <c r="AF74" s="21"/>
      <c r="AH74" s="89"/>
      <c r="AI74" s="89"/>
    </row>
    <row r="75" spans="1:35" ht="20.100000000000001" customHeight="1">
      <c r="A75" s="89"/>
      <c r="B75" s="26" t="str">
        <f>'2020'!B29</f>
        <v>X</v>
      </c>
      <c r="C75" s="26">
        <f>'2020'!C29</f>
        <v>3</v>
      </c>
      <c r="D75" s="26">
        <f>'2020'!D29</f>
        <v>3</v>
      </c>
      <c r="E75" s="26">
        <f>'2020'!E29</f>
        <v>3</v>
      </c>
      <c r="F75" s="26">
        <f>'2020'!F29</f>
        <v>3</v>
      </c>
      <c r="G75" s="26">
        <f>'2020'!G29</f>
        <v>3</v>
      </c>
      <c r="H75" s="26">
        <f>'2020'!H29</f>
        <v>3</v>
      </c>
      <c r="I75" s="26" t="str">
        <f>'2020'!I29</f>
        <v>X</v>
      </c>
      <c r="J75" s="26" t="str">
        <f>'2020'!J29</f>
        <v>X</v>
      </c>
      <c r="K75" s="26">
        <f>'2020'!K29</f>
        <v>2</v>
      </c>
      <c r="L75" s="26">
        <f>'2020'!L29</f>
        <v>2</v>
      </c>
      <c r="M75" s="26">
        <f>'2020'!M29</f>
        <v>2</v>
      </c>
      <c r="N75" s="26">
        <f>'2020'!N29</f>
        <v>2</v>
      </c>
      <c r="O75" s="26">
        <f>'2020'!O29</f>
        <v>2</v>
      </c>
      <c r="P75" s="26">
        <f>'2020'!P29</f>
        <v>2</v>
      </c>
      <c r="Q75" s="26" t="str">
        <f>'2020'!Q29</f>
        <v>X</v>
      </c>
      <c r="R75" s="26" t="str">
        <f>'2020'!R29</f>
        <v>X</v>
      </c>
      <c r="S75" s="26">
        <f>'2020'!S29</f>
        <v>1</v>
      </c>
      <c r="T75" s="26">
        <f>'2020'!T29</f>
        <v>1</v>
      </c>
      <c r="U75" s="26">
        <f>'2020'!U29</f>
        <v>1</v>
      </c>
      <c r="V75" s="26">
        <f>'2020'!V29</f>
        <v>1</v>
      </c>
      <c r="W75" s="26">
        <f>'2020'!W29</f>
        <v>1</v>
      </c>
      <c r="X75" s="26">
        <f>'2020'!X29</f>
        <v>1</v>
      </c>
      <c r="Y75" s="26" t="str">
        <f>'2020'!Y29</f>
        <v>X</v>
      </c>
      <c r="Z75" s="26" t="str">
        <f>'2020'!Z29</f>
        <v>X</v>
      </c>
      <c r="AA75" s="26">
        <f>'2020'!AA29</f>
        <v>3</v>
      </c>
      <c r="AB75" s="26">
        <f>'2020'!AB29</f>
        <v>3</v>
      </c>
      <c r="AC75" s="26">
        <f>'2020'!AC29</f>
        <v>3</v>
      </c>
      <c r="AD75" s="26">
        <f>'2020'!AD29</f>
        <v>3</v>
      </c>
      <c r="AE75" s="26">
        <f>'2020'!AE29</f>
        <v>3</v>
      </c>
      <c r="AF75" s="21"/>
      <c r="AH75" s="89"/>
      <c r="AI75" s="89"/>
    </row>
    <row r="76" spans="1:35" ht="20.100000000000001" customHeight="1">
      <c r="A76" s="18" t="str">
        <f>ÖSSZES!$A$3</f>
        <v>Csuka Lajos</v>
      </c>
      <c r="B76" s="58" t="s">
        <v>2</v>
      </c>
      <c r="C76" s="31"/>
      <c r="D76" s="31"/>
      <c r="E76" s="31"/>
      <c r="F76" s="31"/>
      <c r="G76" s="33"/>
      <c r="H76" s="33"/>
      <c r="I76" s="58" t="s">
        <v>2</v>
      </c>
      <c r="J76" s="58" t="s">
        <v>2</v>
      </c>
      <c r="K76" s="59"/>
      <c r="L76" s="31"/>
      <c r="M76" s="59"/>
      <c r="N76" s="59"/>
      <c r="O76" s="33"/>
      <c r="P76" s="33"/>
      <c r="Q76" s="58" t="s">
        <v>2</v>
      </c>
      <c r="R76" s="58" t="s">
        <v>2</v>
      </c>
      <c r="S76" s="31"/>
      <c r="T76" s="31"/>
      <c r="U76" s="31"/>
      <c r="V76" s="31"/>
      <c r="W76" s="33"/>
      <c r="X76" s="33"/>
      <c r="Y76" s="58" t="s">
        <v>2</v>
      </c>
      <c r="Z76" s="58" t="s">
        <v>2</v>
      </c>
      <c r="AA76" s="33" t="s">
        <v>114</v>
      </c>
      <c r="AB76" s="33" t="s">
        <v>39</v>
      </c>
      <c r="AC76" s="31"/>
      <c r="AD76" s="31"/>
      <c r="AE76" s="33"/>
      <c r="AF76" s="21"/>
      <c r="AH76" s="16">
        <f>1*COUNTIF(A76:AF76,"+")</f>
        <v>1</v>
      </c>
      <c r="AI76" s="16">
        <f t="shared" ref="AI76" si="9">1*COUNTIF(B76:AF76,"szf")</f>
        <v>1</v>
      </c>
    </row>
    <row r="77" spans="1:35" ht="20.100000000000001" customHeight="1">
      <c r="A77" s="18" t="str">
        <f>ÖSSZES!$A$4</f>
        <v>Batiz Attila</v>
      </c>
      <c r="B77" s="58" t="s">
        <v>2</v>
      </c>
      <c r="C77" s="31"/>
      <c r="D77" s="31"/>
      <c r="E77" s="31"/>
      <c r="F77" s="31"/>
      <c r="G77" s="33"/>
      <c r="H77" s="33"/>
      <c r="I77" s="58" t="s">
        <v>2</v>
      </c>
      <c r="J77" s="58" t="s">
        <v>2</v>
      </c>
      <c r="K77" s="59"/>
      <c r="L77" s="31"/>
      <c r="M77" s="59"/>
      <c r="N77" s="59"/>
      <c r="O77" s="33"/>
      <c r="P77" s="33"/>
      <c r="Q77" s="58" t="s">
        <v>2</v>
      </c>
      <c r="R77" s="58" t="s">
        <v>2</v>
      </c>
      <c r="S77" s="31"/>
      <c r="T77" s="31"/>
      <c r="U77" s="31"/>
      <c r="V77" s="31"/>
      <c r="W77" s="33"/>
      <c r="X77" s="33"/>
      <c r="Y77" s="58" t="s">
        <v>2</v>
      </c>
      <c r="Z77" s="58" t="s">
        <v>2</v>
      </c>
      <c r="AA77" s="31"/>
      <c r="AB77" s="31"/>
      <c r="AC77" s="31"/>
      <c r="AD77" s="33" t="s">
        <v>114</v>
      </c>
      <c r="AE77" s="33" t="s">
        <v>114</v>
      </c>
      <c r="AF77" s="21"/>
      <c r="AH77" s="16">
        <f t="shared" ref="AH77:AH95" si="10">1*COUNTIF(A77:AF77,"+")</f>
        <v>2</v>
      </c>
      <c r="AI77" s="16">
        <f t="shared" ref="AI77:AI95" si="11">1*COUNTIF(B77:AF77,"szf")</f>
        <v>0</v>
      </c>
    </row>
    <row r="78" spans="1:35" ht="20.100000000000001" customHeight="1">
      <c r="A78" s="18" t="str">
        <f>ÖSSZES!$A$5</f>
        <v>Mizsák Péter</v>
      </c>
      <c r="B78" s="58" t="s">
        <v>2</v>
      </c>
      <c r="C78" s="31"/>
      <c r="D78" s="31"/>
      <c r="E78" s="31"/>
      <c r="F78" s="31"/>
      <c r="G78" s="33"/>
      <c r="H78" s="33"/>
      <c r="I78" s="58" t="s">
        <v>2</v>
      </c>
      <c r="J78" s="58" t="s">
        <v>2</v>
      </c>
      <c r="K78" s="59"/>
      <c r="L78" s="31"/>
      <c r="M78" s="59"/>
      <c r="N78" s="59"/>
      <c r="O78" s="33"/>
      <c r="P78" s="33"/>
      <c r="Q78" s="58" t="s">
        <v>2</v>
      </c>
      <c r="R78" s="58" t="s">
        <v>2</v>
      </c>
      <c r="S78" s="33" t="s">
        <v>114</v>
      </c>
      <c r="T78" s="33" t="s">
        <v>114</v>
      </c>
      <c r="U78" s="33" t="s">
        <v>39</v>
      </c>
      <c r="V78" s="31"/>
      <c r="W78" s="33"/>
      <c r="X78" s="33"/>
      <c r="Y78" s="58" t="s">
        <v>2</v>
      </c>
      <c r="Z78" s="58" t="s">
        <v>2</v>
      </c>
      <c r="AA78" s="31"/>
      <c r="AB78" s="31"/>
      <c r="AC78" s="31"/>
      <c r="AD78" s="31"/>
      <c r="AE78" s="33"/>
      <c r="AF78" s="21"/>
      <c r="AH78" s="16">
        <f t="shared" si="10"/>
        <v>2</v>
      </c>
      <c r="AI78" s="16">
        <f t="shared" si="11"/>
        <v>1</v>
      </c>
    </row>
    <row r="79" spans="1:35" ht="20.100000000000001" customHeight="1">
      <c r="A79" s="18" t="str">
        <f>ÖSSZES!$A$6</f>
        <v>Füredi Antal</v>
      </c>
      <c r="B79" s="58" t="s">
        <v>2</v>
      </c>
      <c r="C79" s="31"/>
      <c r="D79" s="31"/>
      <c r="E79" s="31"/>
      <c r="F79" s="31"/>
      <c r="G79" s="33"/>
      <c r="H79" s="33"/>
      <c r="I79" s="58" t="s">
        <v>2</v>
      </c>
      <c r="J79" s="58" t="s">
        <v>2</v>
      </c>
      <c r="K79" s="59"/>
      <c r="L79" s="31"/>
      <c r="M79" s="59"/>
      <c r="N79" s="59"/>
      <c r="O79" s="33"/>
      <c r="P79" s="33"/>
      <c r="Q79" s="58" t="s">
        <v>2</v>
      </c>
      <c r="R79" s="58" t="s">
        <v>2</v>
      </c>
      <c r="S79" s="31"/>
      <c r="T79" s="31"/>
      <c r="U79" s="31"/>
      <c r="V79" s="31"/>
      <c r="W79" s="33"/>
      <c r="X79" s="33"/>
      <c r="Y79" s="58" t="s">
        <v>2</v>
      </c>
      <c r="Z79" s="58" t="s">
        <v>2</v>
      </c>
      <c r="AA79" s="31"/>
      <c r="AB79" s="31"/>
      <c r="AC79" s="31"/>
      <c r="AD79" s="31"/>
      <c r="AE79" s="33"/>
      <c r="AF79" s="21"/>
      <c r="AH79" s="16">
        <f t="shared" si="10"/>
        <v>0</v>
      </c>
      <c r="AI79" s="16">
        <f t="shared" si="11"/>
        <v>0</v>
      </c>
    </row>
    <row r="80" spans="1:35" ht="20.100000000000001" customHeight="1">
      <c r="A80" s="18" t="str">
        <f>ÖSSZES!$A$7</f>
        <v>Iványi István</v>
      </c>
      <c r="B80" s="58" t="s">
        <v>2</v>
      </c>
      <c r="C80" s="31"/>
      <c r="D80" s="31"/>
      <c r="E80" s="31"/>
      <c r="F80" s="31"/>
      <c r="G80" s="33"/>
      <c r="H80" s="33"/>
      <c r="I80" s="58" t="s">
        <v>2</v>
      </c>
      <c r="J80" s="58" t="s">
        <v>2</v>
      </c>
      <c r="K80" s="59"/>
      <c r="L80" s="31">
        <v>4</v>
      </c>
      <c r="M80" s="59"/>
      <c r="N80" s="59"/>
      <c r="O80" s="33">
        <v>4</v>
      </c>
      <c r="P80" s="33"/>
      <c r="Q80" s="58" t="s">
        <v>2</v>
      </c>
      <c r="R80" s="58" t="s">
        <v>2</v>
      </c>
      <c r="S80" s="31"/>
      <c r="T80" s="31"/>
      <c r="U80" s="31"/>
      <c r="V80" s="31"/>
      <c r="W80" s="33"/>
      <c r="X80" s="33"/>
      <c r="Y80" s="58" t="s">
        <v>2</v>
      </c>
      <c r="Z80" s="58" t="s">
        <v>2</v>
      </c>
      <c r="AA80" s="31"/>
      <c r="AB80" s="31"/>
      <c r="AC80" s="31"/>
      <c r="AD80" s="31"/>
      <c r="AE80" s="33"/>
      <c r="AF80" s="21"/>
      <c r="AH80" s="16">
        <f t="shared" si="10"/>
        <v>0</v>
      </c>
      <c r="AI80" s="16">
        <f t="shared" si="11"/>
        <v>0</v>
      </c>
    </row>
    <row r="81" spans="1:35" ht="20.100000000000001" customHeight="1">
      <c r="A81" s="18" t="str">
        <f>ÖSSZES!$A$8</f>
        <v>Katonka Tibor</v>
      </c>
      <c r="B81" s="58" t="s">
        <v>2</v>
      </c>
      <c r="C81" s="31"/>
      <c r="D81" s="31"/>
      <c r="E81" s="31"/>
      <c r="F81" s="31"/>
      <c r="G81" s="33" t="s">
        <v>114</v>
      </c>
      <c r="H81" s="33" t="s">
        <v>114</v>
      </c>
      <c r="I81" s="58" t="s">
        <v>2</v>
      </c>
      <c r="J81" s="58" t="s">
        <v>2</v>
      </c>
      <c r="K81" s="59"/>
      <c r="L81" s="31"/>
      <c r="M81" s="59"/>
      <c r="N81" s="59"/>
      <c r="O81" s="33"/>
      <c r="P81" s="33"/>
      <c r="Q81" s="58" t="s">
        <v>2</v>
      </c>
      <c r="R81" s="58" t="s">
        <v>2</v>
      </c>
      <c r="S81" s="31"/>
      <c r="T81" s="31"/>
      <c r="U81" s="31"/>
      <c r="V81" s="31"/>
      <c r="W81" s="33"/>
      <c r="X81" s="33"/>
      <c r="Y81" s="58" t="s">
        <v>2</v>
      </c>
      <c r="Z81" s="58" t="s">
        <v>2</v>
      </c>
      <c r="AA81" s="31"/>
      <c r="AB81" s="31"/>
      <c r="AC81" s="31"/>
      <c r="AD81" s="31"/>
      <c r="AE81" s="33" t="s">
        <v>39</v>
      </c>
      <c r="AF81" s="21"/>
      <c r="AH81" s="16">
        <f t="shared" si="10"/>
        <v>2</v>
      </c>
      <c r="AI81" s="16">
        <f t="shared" si="11"/>
        <v>1</v>
      </c>
    </row>
    <row r="82" spans="1:35" ht="20.100000000000001" hidden="1" customHeight="1">
      <c r="A82" s="18" t="str">
        <f>ÖSSZES!$A$9</f>
        <v>Kiss János Tamás</v>
      </c>
      <c r="B82" s="58" t="s">
        <v>2</v>
      </c>
      <c r="C82" s="31"/>
      <c r="D82" s="31"/>
      <c r="E82" s="31"/>
      <c r="F82" s="31"/>
      <c r="G82" s="33"/>
      <c r="H82" s="33"/>
      <c r="I82" s="58" t="s">
        <v>2</v>
      </c>
      <c r="J82" s="58" t="s">
        <v>2</v>
      </c>
      <c r="K82" s="59"/>
      <c r="L82" s="31"/>
      <c r="M82" s="59"/>
      <c r="N82" s="59"/>
      <c r="O82" s="33"/>
      <c r="P82" s="33"/>
      <c r="Q82" s="58" t="s">
        <v>2</v>
      </c>
      <c r="R82" s="58" t="s">
        <v>2</v>
      </c>
      <c r="S82" s="31"/>
      <c r="T82" s="31"/>
      <c r="U82" s="31"/>
      <c r="V82" s="31"/>
      <c r="W82" s="33"/>
      <c r="X82" s="33"/>
      <c r="Y82" s="58" t="s">
        <v>2</v>
      </c>
      <c r="Z82" s="58" t="s">
        <v>2</v>
      </c>
      <c r="AA82" s="31"/>
      <c r="AB82" s="31"/>
      <c r="AC82" s="31"/>
      <c r="AD82" s="31"/>
      <c r="AE82" s="33"/>
      <c r="AF82" s="21"/>
      <c r="AH82" s="16">
        <f t="shared" si="10"/>
        <v>0</v>
      </c>
      <c r="AI82" s="16">
        <f t="shared" si="11"/>
        <v>0</v>
      </c>
    </row>
    <row r="83" spans="1:35" ht="20.100000000000001" customHeight="1">
      <c r="A83" s="18" t="str">
        <f>ÖSSZES!$A$10</f>
        <v>Vatamány Gergő</v>
      </c>
      <c r="B83" s="58" t="s">
        <v>2</v>
      </c>
      <c r="C83" s="31"/>
      <c r="D83" s="31"/>
      <c r="E83" s="31"/>
      <c r="F83" s="31"/>
      <c r="G83" s="33"/>
      <c r="H83" s="33"/>
      <c r="I83" s="58" t="s">
        <v>2</v>
      </c>
      <c r="J83" s="58" t="s">
        <v>2</v>
      </c>
      <c r="K83" s="59"/>
      <c r="L83" s="31"/>
      <c r="M83" s="59"/>
      <c r="N83" s="59"/>
      <c r="O83" s="33"/>
      <c r="P83" s="33"/>
      <c r="Q83" s="58" t="s">
        <v>2</v>
      </c>
      <c r="R83" s="58" t="s">
        <v>2</v>
      </c>
      <c r="S83" s="33"/>
      <c r="T83" s="33"/>
      <c r="U83" s="31"/>
      <c r="V83" s="31"/>
      <c r="W83" s="33"/>
      <c r="X83" s="33"/>
      <c r="Y83" s="58" t="s">
        <v>2</v>
      </c>
      <c r="Z83" s="58" t="s">
        <v>2</v>
      </c>
      <c r="AA83" s="31"/>
      <c r="AB83" s="31"/>
      <c r="AC83" s="31"/>
      <c r="AD83" s="31"/>
      <c r="AE83" s="33"/>
      <c r="AF83" s="21"/>
      <c r="AH83" s="16">
        <f t="shared" si="10"/>
        <v>0</v>
      </c>
      <c r="AI83" s="16">
        <f t="shared" si="11"/>
        <v>0</v>
      </c>
    </row>
    <row r="84" spans="1:35" ht="20.100000000000001" hidden="1" customHeight="1">
      <c r="A84" s="18" t="str">
        <f>ÖSSZES!$A$11</f>
        <v>Név9</v>
      </c>
      <c r="B84" s="58" t="s">
        <v>2</v>
      </c>
      <c r="C84" s="31"/>
      <c r="D84" s="31"/>
      <c r="E84" s="31"/>
      <c r="F84" s="31"/>
      <c r="G84" s="33"/>
      <c r="H84" s="33"/>
      <c r="I84" s="58" t="s">
        <v>2</v>
      </c>
      <c r="J84" s="58" t="s">
        <v>2</v>
      </c>
      <c r="K84" s="59"/>
      <c r="L84" s="31"/>
      <c r="M84" s="59"/>
      <c r="N84" s="59"/>
      <c r="O84" s="33"/>
      <c r="P84" s="33"/>
      <c r="Q84" s="58" t="s">
        <v>2</v>
      </c>
      <c r="R84" s="58" t="s">
        <v>2</v>
      </c>
      <c r="S84" s="31"/>
      <c r="T84" s="31"/>
      <c r="U84" s="31"/>
      <c r="V84" s="31"/>
      <c r="W84" s="33"/>
      <c r="X84" s="33"/>
      <c r="Y84" s="58" t="s">
        <v>2</v>
      </c>
      <c r="Z84" s="58" t="s">
        <v>2</v>
      </c>
      <c r="AA84" s="31"/>
      <c r="AB84" s="31"/>
      <c r="AC84" s="31"/>
      <c r="AD84" s="31"/>
      <c r="AE84" s="33"/>
      <c r="AF84" s="21"/>
      <c r="AH84" s="16">
        <f t="shared" si="10"/>
        <v>0</v>
      </c>
      <c r="AI84" s="16">
        <f t="shared" si="11"/>
        <v>0</v>
      </c>
    </row>
    <row r="85" spans="1:35" ht="20.100000000000001" hidden="1" customHeight="1">
      <c r="A85" s="18" t="str">
        <f>ÖSSZES!$A$12</f>
        <v>Név10</v>
      </c>
      <c r="B85" s="58" t="s">
        <v>2</v>
      </c>
      <c r="C85" s="31"/>
      <c r="D85" s="31"/>
      <c r="E85" s="31"/>
      <c r="F85" s="31"/>
      <c r="G85" s="33"/>
      <c r="H85" s="33"/>
      <c r="I85" s="58" t="s">
        <v>2</v>
      </c>
      <c r="J85" s="58" t="s">
        <v>2</v>
      </c>
      <c r="K85" s="59"/>
      <c r="L85" s="31"/>
      <c r="M85" s="59"/>
      <c r="N85" s="59"/>
      <c r="O85" s="33"/>
      <c r="P85" s="33"/>
      <c r="Q85" s="58" t="s">
        <v>2</v>
      </c>
      <c r="R85" s="58" t="s">
        <v>2</v>
      </c>
      <c r="S85" s="31"/>
      <c r="T85" s="31"/>
      <c r="U85" s="31"/>
      <c r="V85" s="31"/>
      <c r="W85" s="33"/>
      <c r="X85" s="33"/>
      <c r="Y85" s="58" t="s">
        <v>2</v>
      </c>
      <c r="Z85" s="58" t="s">
        <v>2</v>
      </c>
      <c r="AA85" s="31"/>
      <c r="AB85" s="31"/>
      <c r="AC85" s="31"/>
      <c r="AD85" s="31"/>
      <c r="AE85" s="33"/>
      <c r="AF85" s="21"/>
      <c r="AH85" s="16">
        <f t="shared" si="10"/>
        <v>0</v>
      </c>
      <c r="AI85" s="16">
        <f t="shared" si="11"/>
        <v>0</v>
      </c>
    </row>
    <row r="86" spans="1:35" ht="20.100000000000001" hidden="1" customHeight="1">
      <c r="A86" s="18" t="str">
        <f>ÖSSZES!$A$13</f>
        <v>Név11</v>
      </c>
      <c r="B86" s="58" t="s">
        <v>2</v>
      </c>
      <c r="C86" s="31"/>
      <c r="D86" s="31"/>
      <c r="E86" s="31"/>
      <c r="F86" s="31"/>
      <c r="G86" s="33"/>
      <c r="H86" s="33"/>
      <c r="I86" s="58" t="s">
        <v>2</v>
      </c>
      <c r="J86" s="58" t="s">
        <v>2</v>
      </c>
      <c r="K86" s="59"/>
      <c r="L86" s="31"/>
      <c r="M86" s="59"/>
      <c r="N86" s="59"/>
      <c r="O86" s="33"/>
      <c r="P86" s="33"/>
      <c r="Q86" s="58" t="s">
        <v>2</v>
      </c>
      <c r="R86" s="58" t="s">
        <v>2</v>
      </c>
      <c r="S86" s="31"/>
      <c r="T86" s="31"/>
      <c r="U86" s="31"/>
      <c r="V86" s="31"/>
      <c r="W86" s="33"/>
      <c r="X86" s="33"/>
      <c r="Y86" s="58" t="s">
        <v>2</v>
      </c>
      <c r="Z86" s="58" t="s">
        <v>2</v>
      </c>
      <c r="AA86" s="31"/>
      <c r="AB86" s="31"/>
      <c r="AC86" s="31"/>
      <c r="AD86" s="31"/>
      <c r="AE86" s="33"/>
      <c r="AF86" s="21"/>
      <c r="AH86" s="16">
        <f t="shared" si="10"/>
        <v>0</v>
      </c>
      <c r="AI86" s="16">
        <f t="shared" si="11"/>
        <v>0</v>
      </c>
    </row>
    <row r="87" spans="1:35" ht="20.100000000000001" hidden="1" customHeight="1">
      <c r="A87" s="18" t="str">
        <f>ÖSSZES!$A$14</f>
        <v>Név12</v>
      </c>
      <c r="B87" s="58" t="s">
        <v>2</v>
      </c>
      <c r="C87" s="31"/>
      <c r="D87" s="31"/>
      <c r="E87" s="31"/>
      <c r="F87" s="31"/>
      <c r="G87" s="33"/>
      <c r="H87" s="33"/>
      <c r="I87" s="58" t="s">
        <v>2</v>
      </c>
      <c r="J87" s="58" t="s">
        <v>2</v>
      </c>
      <c r="K87" s="59"/>
      <c r="L87" s="31"/>
      <c r="M87" s="59"/>
      <c r="N87" s="59"/>
      <c r="O87" s="33"/>
      <c r="P87" s="33"/>
      <c r="Q87" s="58" t="s">
        <v>2</v>
      </c>
      <c r="R87" s="58" t="s">
        <v>2</v>
      </c>
      <c r="S87" s="31"/>
      <c r="T87" s="31"/>
      <c r="U87" s="31"/>
      <c r="V87" s="31"/>
      <c r="W87" s="33"/>
      <c r="X87" s="33"/>
      <c r="Y87" s="58" t="s">
        <v>2</v>
      </c>
      <c r="Z87" s="58" t="s">
        <v>2</v>
      </c>
      <c r="AA87" s="31"/>
      <c r="AB87" s="31"/>
      <c r="AC87" s="31"/>
      <c r="AD87" s="31"/>
      <c r="AE87" s="33"/>
      <c r="AF87" s="21"/>
      <c r="AH87" s="16">
        <f t="shared" si="10"/>
        <v>0</v>
      </c>
      <c r="AI87" s="16">
        <f t="shared" si="11"/>
        <v>0</v>
      </c>
    </row>
    <row r="88" spans="1:35" ht="20.100000000000001" hidden="1" customHeight="1">
      <c r="A88" s="18" t="str">
        <f>ÖSSZES!$A$15</f>
        <v>Név13</v>
      </c>
      <c r="B88" s="58" t="s">
        <v>2</v>
      </c>
      <c r="C88" s="31"/>
      <c r="D88" s="31"/>
      <c r="E88" s="31"/>
      <c r="F88" s="31"/>
      <c r="G88" s="33"/>
      <c r="H88" s="33"/>
      <c r="I88" s="58" t="s">
        <v>2</v>
      </c>
      <c r="J88" s="58" t="s">
        <v>2</v>
      </c>
      <c r="K88" s="59"/>
      <c r="L88" s="31"/>
      <c r="M88" s="59"/>
      <c r="N88" s="59"/>
      <c r="O88" s="33"/>
      <c r="P88" s="33"/>
      <c r="Q88" s="58" t="s">
        <v>2</v>
      </c>
      <c r="R88" s="58" t="s">
        <v>2</v>
      </c>
      <c r="S88" s="31"/>
      <c r="T88" s="31"/>
      <c r="U88" s="31"/>
      <c r="V88" s="31"/>
      <c r="W88" s="33"/>
      <c r="X88" s="33"/>
      <c r="Y88" s="58" t="s">
        <v>2</v>
      </c>
      <c r="Z88" s="58" t="s">
        <v>2</v>
      </c>
      <c r="AA88" s="31"/>
      <c r="AB88" s="31"/>
      <c r="AC88" s="31"/>
      <c r="AD88" s="31"/>
      <c r="AE88" s="33"/>
      <c r="AF88" s="21"/>
      <c r="AH88" s="16">
        <f t="shared" si="10"/>
        <v>0</v>
      </c>
      <c r="AI88" s="16">
        <f t="shared" si="11"/>
        <v>0</v>
      </c>
    </row>
    <row r="89" spans="1:35" ht="20.100000000000001" hidden="1" customHeight="1">
      <c r="A89" s="18" t="str">
        <f>ÖSSZES!$A$16</f>
        <v>Név14</v>
      </c>
      <c r="B89" s="58" t="s">
        <v>2</v>
      </c>
      <c r="C89" s="31"/>
      <c r="D89" s="31"/>
      <c r="E89" s="31"/>
      <c r="F89" s="31"/>
      <c r="G89" s="33"/>
      <c r="H89" s="33"/>
      <c r="I89" s="58" t="s">
        <v>2</v>
      </c>
      <c r="J89" s="58" t="s">
        <v>2</v>
      </c>
      <c r="K89" s="59"/>
      <c r="L89" s="31"/>
      <c r="M89" s="59"/>
      <c r="N89" s="59"/>
      <c r="O89" s="33"/>
      <c r="P89" s="33"/>
      <c r="Q89" s="58" t="s">
        <v>2</v>
      </c>
      <c r="R89" s="58" t="s">
        <v>2</v>
      </c>
      <c r="S89" s="31"/>
      <c r="T89" s="31"/>
      <c r="U89" s="31"/>
      <c r="V89" s="31"/>
      <c r="W89" s="33"/>
      <c r="X89" s="33"/>
      <c r="Y89" s="58" t="s">
        <v>2</v>
      </c>
      <c r="Z89" s="58" t="s">
        <v>2</v>
      </c>
      <c r="AA89" s="31"/>
      <c r="AB89" s="31"/>
      <c r="AC89" s="31"/>
      <c r="AD89" s="31"/>
      <c r="AE89" s="33"/>
      <c r="AF89" s="21"/>
      <c r="AH89" s="16">
        <f t="shared" si="10"/>
        <v>0</v>
      </c>
      <c r="AI89" s="16">
        <f t="shared" si="11"/>
        <v>0</v>
      </c>
    </row>
    <row r="90" spans="1:35" ht="20.100000000000001" hidden="1" customHeight="1">
      <c r="A90" s="18" t="str">
        <f>ÖSSZES!$A$17</f>
        <v>Név15</v>
      </c>
      <c r="B90" s="58" t="s">
        <v>2</v>
      </c>
      <c r="C90" s="31"/>
      <c r="D90" s="31"/>
      <c r="E90" s="31"/>
      <c r="F90" s="31"/>
      <c r="G90" s="33"/>
      <c r="H90" s="33"/>
      <c r="I90" s="58" t="s">
        <v>2</v>
      </c>
      <c r="J90" s="58" t="s">
        <v>2</v>
      </c>
      <c r="K90" s="59"/>
      <c r="L90" s="31"/>
      <c r="M90" s="59"/>
      <c r="N90" s="59"/>
      <c r="O90" s="33"/>
      <c r="P90" s="33"/>
      <c r="Q90" s="58" t="s">
        <v>2</v>
      </c>
      <c r="R90" s="58" t="s">
        <v>2</v>
      </c>
      <c r="S90" s="31"/>
      <c r="T90" s="31"/>
      <c r="U90" s="31"/>
      <c r="V90" s="31"/>
      <c r="W90" s="33"/>
      <c r="X90" s="33"/>
      <c r="Y90" s="58" t="s">
        <v>2</v>
      </c>
      <c r="Z90" s="58" t="s">
        <v>2</v>
      </c>
      <c r="AA90" s="31"/>
      <c r="AB90" s="31"/>
      <c r="AC90" s="31"/>
      <c r="AD90" s="31"/>
      <c r="AE90" s="33"/>
      <c r="AF90" s="21"/>
      <c r="AH90" s="16">
        <f t="shared" si="10"/>
        <v>0</v>
      </c>
      <c r="AI90" s="16">
        <f t="shared" si="11"/>
        <v>0</v>
      </c>
    </row>
    <row r="91" spans="1:35" ht="20.100000000000001" hidden="1" customHeight="1">
      <c r="A91" s="18" t="str">
        <f>ÖSSZES!$A$18</f>
        <v>Név16</v>
      </c>
      <c r="B91" s="58" t="s">
        <v>2</v>
      </c>
      <c r="C91" s="31"/>
      <c r="D91" s="31"/>
      <c r="E91" s="31"/>
      <c r="F91" s="31"/>
      <c r="G91" s="33"/>
      <c r="H91" s="33"/>
      <c r="I91" s="58" t="s">
        <v>2</v>
      </c>
      <c r="J91" s="58" t="s">
        <v>2</v>
      </c>
      <c r="K91" s="59"/>
      <c r="L91" s="31"/>
      <c r="M91" s="59"/>
      <c r="N91" s="59"/>
      <c r="O91" s="33"/>
      <c r="P91" s="33"/>
      <c r="Q91" s="58" t="s">
        <v>2</v>
      </c>
      <c r="R91" s="58" t="s">
        <v>2</v>
      </c>
      <c r="S91" s="31"/>
      <c r="T91" s="31"/>
      <c r="U91" s="31"/>
      <c r="V91" s="31"/>
      <c r="W91" s="33"/>
      <c r="X91" s="33"/>
      <c r="Y91" s="58" t="s">
        <v>2</v>
      </c>
      <c r="Z91" s="58" t="s">
        <v>2</v>
      </c>
      <c r="AA91" s="31"/>
      <c r="AB91" s="31"/>
      <c r="AC91" s="31"/>
      <c r="AD91" s="31"/>
      <c r="AE91" s="33"/>
      <c r="AF91" s="21"/>
      <c r="AH91" s="16">
        <f t="shared" si="10"/>
        <v>0</v>
      </c>
      <c r="AI91" s="16">
        <f t="shared" si="11"/>
        <v>0</v>
      </c>
    </row>
    <row r="92" spans="1:35" ht="20.100000000000001" hidden="1" customHeight="1">
      <c r="A92" s="18" t="str">
        <f>ÖSSZES!$A$19</f>
        <v>Név17</v>
      </c>
      <c r="B92" s="58" t="s">
        <v>2</v>
      </c>
      <c r="C92" s="31"/>
      <c r="D92" s="31"/>
      <c r="E92" s="31"/>
      <c r="F92" s="31"/>
      <c r="G92" s="33"/>
      <c r="H92" s="33"/>
      <c r="I92" s="58" t="s">
        <v>2</v>
      </c>
      <c r="J92" s="58" t="s">
        <v>2</v>
      </c>
      <c r="K92" s="59"/>
      <c r="L92" s="31"/>
      <c r="M92" s="59"/>
      <c r="N92" s="59"/>
      <c r="O92" s="33"/>
      <c r="P92" s="33"/>
      <c r="Q92" s="58" t="s">
        <v>2</v>
      </c>
      <c r="R92" s="58" t="s">
        <v>2</v>
      </c>
      <c r="S92" s="31"/>
      <c r="T92" s="31"/>
      <c r="U92" s="31"/>
      <c r="V92" s="31"/>
      <c r="W92" s="33"/>
      <c r="X92" s="33"/>
      <c r="Y92" s="58" t="s">
        <v>2</v>
      </c>
      <c r="Z92" s="58" t="s">
        <v>2</v>
      </c>
      <c r="AA92" s="31"/>
      <c r="AB92" s="31"/>
      <c r="AC92" s="31"/>
      <c r="AD92" s="31"/>
      <c r="AE92" s="33"/>
      <c r="AF92" s="21"/>
      <c r="AH92" s="16">
        <f t="shared" si="10"/>
        <v>0</v>
      </c>
      <c r="AI92" s="16">
        <f t="shared" si="11"/>
        <v>0</v>
      </c>
    </row>
    <row r="93" spans="1:35" ht="20.100000000000001" hidden="1" customHeight="1">
      <c r="A93" s="18" t="str">
        <f>ÖSSZES!$A$20</f>
        <v>Név18</v>
      </c>
      <c r="B93" s="58" t="s">
        <v>2</v>
      </c>
      <c r="C93" s="31"/>
      <c r="D93" s="31"/>
      <c r="E93" s="31"/>
      <c r="F93" s="31"/>
      <c r="G93" s="33"/>
      <c r="H93" s="33"/>
      <c r="I93" s="58" t="s">
        <v>2</v>
      </c>
      <c r="J93" s="58" t="s">
        <v>2</v>
      </c>
      <c r="K93" s="59"/>
      <c r="L93" s="31"/>
      <c r="M93" s="59"/>
      <c r="N93" s="59"/>
      <c r="O93" s="33"/>
      <c r="P93" s="33"/>
      <c r="Q93" s="58" t="s">
        <v>2</v>
      </c>
      <c r="R93" s="58" t="s">
        <v>2</v>
      </c>
      <c r="S93" s="31"/>
      <c r="T93" s="31"/>
      <c r="U93" s="31"/>
      <c r="V93" s="31"/>
      <c r="W93" s="33"/>
      <c r="X93" s="33"/>
      <c r="Y93" s="58" t="s">
        <v>2</v>
      </c>
      <c r="Z93" s="58" t="s">
        <v>2</v>
      </c>
      <c r="AA93" s="31"/>
      <c r="AB93" s="31"/>
      <c r="AC93" s="31"/>
      <c r="AD93" s="31"/>
      <c r="AE93" s="33"/>
      <c r="AF93" s="21"/>
      <c r="AH93" s="16">
        <f t="shared" si="10"/>
        <v>0</v>
      </c>
      <c r="AI93" s="16">
        <f t="shared" si="11"/>
        <v>0</v>
      </c>
    </row>
    <row r="94" spans="1:35" ht="20.100000000000001" hidden="1" customHeight="1">
      <c r="A94" s="18" t="str">
        <f>ÖSSZES!$A$21</f>
        <v>Név19</v>
      </c>
      <c r="B94" s="58" t="s">
        <v>2</v>
      </c>
      <c r="C94" s="31"/>
      <c r="D94" s="31"/>
      <c r="E94" s="31"/>
      <c r="F94" s="31"/>
      <c r="G94" s="33"/>
      <c r="H94" s="33"/>
      <c r="I94" s="58" t="s">
        <v>2</v>
      </c>
      <c r="J94" s="58" t="s">
        <v>2</v>
      </c>
      <c r="K94" s="59"/>
      <c r="L94" s="31"/>
      <c r="M94" s="59"/>
      <c r="N94" s="59"/>
      <c r="O94" s="33"/>
      <c r="P94" s="33"/>
      <c r="Q94" s="58" t="s">
        <v>2</v>
      </c>
      <c r="R94" s="58" t="s">
        <v>2</v>
      </c>
      <c r="S94" s="31"/>
      <c r="T94" s="31"/>
      <c r="U94" s="31"/>
      <c r="V94" s="31"/>
      <c r="W94" s="33"/>
      <c r="X94" s="33"/>
      <c r="Y94" s="58" t="s">
        <v>2</v>
      </c>
      <c r="Z94" s="58" t="s">
        <v>2</v>
      </c>
      <c r="AA94" s="31"/>
      <c r="AB94" s="31"/>
      <c r="AC94" s="31"/>
      <c r="AD94" s="31"/>
      <c r="AE94" s="33"/>
      <c r="AF94" s="21"/>
      <c r="AH94" s="16">
        <f t="shared" si="10"/>
        <v>0</v>
      </c>
      <c r="AI94" s="16">
        <f t="shared" si="11"/>
        <v>0</v>
      </c>
    </row>
    <row r="95" spans="1:35" ht="20.100000000000001" hidden="1" customHeight="1">
      <c r="A95" s="18" t="str">
        <f>ÖSSZES!$A$17</f>
        <v>Név15</v>
      </c>
      <c r="B95" s="58" t="s">
        <v>2</v>
      </c>
      <c r="C95" s="31"/>
      <c r="D95" s="31"/>
      <c r="E95" s="31"/>
      <c r="F95" s="31"/>
      <c r="G95" s="33"/>
      <c r="H95" s="33"/>
      <c r="I95" s="58" t="s">
        <v>2</v>
      </c>
      <c r="J95" s="58" t="s">
        <v>2</v>
      </c>
      <c r="K95" s="59"/>
      <c r="L95" s="31"/>
      <c r="M95" s="59"/>
      <c r="N95" s="59"/>
      <c r="O95" s="33"/>
      <c r="P95" s="33"/>
      <c r="Q95" s="58" t="s">
        <v>2</v>
      </c>
      <c r="R95" s="58" t="s">
        <v>2</v>
      </c>
      <c r="S95" s="31"/>
      <c r="T95" s="31"/>
      <c r="U95" s="31"/>
      <c r="V95" s="31"/>
      <c r="W95" s="33"/>
      <c r="X95" s="33"/>
      <c r="Y95" s="58" t="s">
        <v>2</v>
      </c>
      <c r="Z95" s="58" t="s">
        <v>2</v>
      </c>
      <c r="AA95" s="31"/>
      <c r="AB95" s="31"/>
      <c r="AC95" s="31"/>
      <c r="AD95" s="31"/>
      <c r="AE95" s="33"/>
      <c r="AF95" s="21"/>
      <c r="AH95" s="16">
        <f t="shared" si="10"/>
        <v>0</v>
      </c>
      <c r="AI95" s="16">
        <f t="shared" si="11"/>
        <v>0</v>
      </c>
    </row>
    <row r="96" spans="1:35" ht="20.100000000000001" customHeight="1"/>
    <row r="97" spans="1:35" s="25" customFormat="1" ht="20.100000000000001" customHeight="1">
      <c r="A97" s="88" t="s">
        <v>9</v>
      </c>
      <c r="B97" s="23">
        <v>1</v>
      </c>
      <c r="C97" s="24">
        <v>2</v>
      </c>
      <c r="D97" s="24">
        <v>3</v>
      </c>
      <c r="E97" s="24">
        <v>4</v>
      </c>
      <c r="F97" s="24">
        <v>5</v>
      </c>
      <c r="G97" s="24">
        <v>6</v>
      </c>
      <c r="H97" s="24">
        <v>7</v>
      </c>
      <c r="I97" s="24">
        <v>8</v>
      </c>
      <c r="J97" s="24">
        <v>9</v>
      </c>
      <c r="K97" s="24">
        <v>10</v>
      </c>
      <c r="L97" s="24">
        <v>11</v>
      </c>
      <c r="M97" s="24">
        <v>12</v>
      </c>
      <c r="N97" s="24">
        <v>13</v>
      </c>
      <c r="O97" s="24">
        <v>14</v>
      </c>
      <c r="P97" s="24">
        <v>15</v>
      </c>
      <c r="Q97" s="24">
        <v>16</v>
      </c>
      <c r="R97" s="24">
        <v>17</v>
      </c>
      <c r="S97" s="24">
        <v>18</v>
      </c>
      <c r="T97" s="24">
        <v>19</v>
      </c>
      <c r="U97" s="24">
        <v>20</v>
      </c>
      <c r="V97" s="24">
        <v>21</v>
      </c>
      <c r="W97" s="24">
        <v>22</v>
      </c>
      <c r="X97" s="24">
        <v>23</v>
      </c>
      <c r="Y97" s="24">
        <v>24</v>
      </c>
      <c r="Z97" s="24">
        <v>25</v>
      </c>
      <c r="AA97" s="24">
        <v>26</v>
      </c>
      <c r="AB97" s="24">
        <v>27</v>
      </c>
      <c r="AC97" s="24">
        <v>28</v>
      </c>
      <c r="AD97" s="24">
        <v>29</v>
      </c>
      <c r="AE97" s="24">
        <v>30</v>
      </c>
      <c r="AF97" s="57">
        <v>31</v>
      </c>
      <c r="AH97" s="88" t="s">
        <v>18</v>
      </c>
      <c r="AI97" s="88" t="s">
        <v>19</v>
      </c>
    </row>
    <row r="98" spans="1:35" ht="20.100000000000001" customHeight="1">
      <c r="A98" s="90"/>
      <c r="B98" s="29" t="str">
        <f>'2020'!B36</f>
        <v>P</v>
      </c>
      <c r="C98" s="29" t="str">
        <f>'2020'!C36</f>
        <v>Szo</v>
      </c>
      <c r="D98" s="29" t="str">
        <f>'2020'!D36</f>
        <v>V</v>
      </c>
      <c r="E98" s="29" t="str">
        <f>'2020'!E36</f>
        <v>H</v>
      </c>
      <c r="F98" s="29" t="str">
        <f>'2020'!F36</f>
        <v>K</v>
      </c>
      <c r="G98" s="29" t="str">
        <f>'2020'!G36</f>
        <v>Sze</v>
      </c>
      <c r="H98" s="29" t="str">
        <f>'2020'!H36</f>
        <v>Cs</v>
      </c>
      <c r="I98" s="29" t="str">
        <f>'2020'!I36</f>
        <v>P</v>
      </c>
      <c r="J98" s="29" t="str">
        <f>'2020'!J36</f>
        <v>Szo</v>
      </c>
      <c r="K98" s="29" t="str">
        <f>'2020'!K36</f>
        <v>V</v>
      </c>
      <c r="L98" s="29" t="str">
        <f>'2020'!L36</f>
        <v>H</v>
      </c>
      <c r="M98" s="29" t="str">
        <f>'2020'!M36</f>
        <v>K</v>
      </c>
      <c r="N98" s="29" t="str">
        <f>'2020'!N36</f>
        <v>Sze</v>
      </c>
      <c r="O98" s="29" t="str">
        <f>'2020'!O36</f>
        <v>Cs</v>
      </c>
      <c r="P98" s="29" t="str">
        <f>'2020'!P36</f>
        <v>P</v>
      </c>
      <c r="Q98" s="29" t="str">
        <f>'2020'!Q36</f>
        <v>Szo</v>
      </c>
      <c r="R98" s="29" t="str">
        <f>'2020'!R36</f>
        <v>V</v>
      </c>
      <c r="S98" s="29" t="str">
        <f>'2020'!S36</f>
        <v>H</v>
      </c>
      <c r="T98" s="29" t="str">
        <f>'2020'!T36</f>
        <v>K</v>
      </c>
      <c r="U98" s="29" t="str">
        <f>'2020'!U36</f>
        <v>Sze</v>
      </c>
      <c r="V98" s="29" t="str">
        <f>'2020'!V36</f>
        <v>Cs</v>
      </c>
      <c r="W98" s="29" t="str">
        <f>'2020'!W36</f>
        <v>P</v>
      </c>
      <c r="X98" s="29" t="str">
        <f>'2020'!X36</f>
        <v>Szo</v>
      </c>
      <c r="Y98" s="29" t="str">
        <f>'2020'!Y36</f>
        <v>V</v>
      </c>
      <c r="Z98" s="29" t="str">
        <f>'2020'!Z36</f>
        <v>H</v>
      </c>
      <c r="AA98" s="29" t="str">
        <f>'2020'!AA36</f>
        <v>K</v>
      </c>
      <c r="AB98" s="29" t="str">
        <f>'2020'!AB36</f>
        <v>Sze</v>
      </c>
      <c r="AC98" s="29" t="str">
        <f>'2020'!AC36</f>
        <v>Cs</v>
      </c>
      <c r="AD98" s="29" t="str">
        <f>'2020'!AD36</f>
        <v>P</v>
      </c>
      <c r="AE98" s="29" t="str">
        <f>'2020'!AE36</f>
        <v>Szo</v>
      </c>
      <c r="AF98" s="29" t="str">
        <f>'2020'!AF36</f>
        <v>V</v>
      </c>
      <c r="AH98" s="89"/>
      <c r="AI98" s="89"/>
    </row>
    <row r="99" spans="1:35" ht="20.100000000000001" customHeight="1">
      <c r="A99" s="89"/>
      <c r="B99" s="26">
        <f>'2020'!B37</f>
        <v>3</v>
      </c>
      <c r="C99" s="26" t="str">
        <f>'2020'!C37</f>
        <v>X</v>
      </c>
      <c r="D99" s="26" t="str">
        <f>'2020'!D37</f>
        <v>X</v>
      </c>
      <c r="E99" s="26">
        <f>'2020'!E37</f>
        <v>2</v>
      </c>
      <c r="F99" s="26">
        <f>'2020'!F37</f>
        <v>2</v>
      </c>
      <c r="G99" s="26">
        <f>'2020'!G37</f>
        <v>2</v>
      </c>
      <c r="H99" s="26">
        <f>'2020'!H37</f>
        <v>2</v>
      </c>
      <c r="I99" s="26">
        <f>'2020'!I37</f>
        <v>2</v>
      </c>
      <c r="J99" s="26">
        <f>'2020'!J37</f>
        <v>2</v>
      </c>
      <c r="K99" s="26" t="str">
        <f>'2020'!K37</f>
        <v>X</v>
      </c>
      <c r="L99" s="26" t="str">
        <f>'2020'!L37</f>
        <v>X</v>
      </c>
      <c r="M99" s="26">
        <f>'2020'!M37</f>
        <v>1</v>
      </c>
      <c r="N99" s="26">
        <f>'2020'!N37</f>
        <v>1</v>
      </c>
      <c r="O99" s="26">
        <f>'2020'!O37</f>
        <v>1</v>
      </c>
      <c r="P99" s="26">
        <f>'2020'!P37</f>
        <v>1</v>
      </c>
      <c r="Q99" s="26">
        <f>'2020'!Q37</f>
        <v>1</v>
      </c>
      <c r="R99" s="26">
        <f>'2020'!R37</f>
        <v>1</v>
      </c>
      <c r="S99" s="26" t="str">
        <f>'2020'!S37</f>
        <v>X</v>
      </c>
      <c r="T99" s="26" t="str">
        <f>'2020'!T37</f>
        <v>X</v>
      </c>
      <c r="U99" s="26">
        <f>'2020'!U37</f>
        <v>3</v>
      </c>
      <c r="V99" s="26">
        <f>'2020'!V37</f>
        <v>3</v>
      </c>
      <c r="W99" s="26">
        <f>'2020'!W37</f>
        <v>3</v>
      </c>
      <c r="X99" s="26">
        <f>'2020'!X37</f>
        <v>3</v>
      </c>
      <c r="Y99" s="26">
        <f>'2020'!Y37</f>
        <v>3</v>
      </c>
      <c r="Z99" s="26">
        <f>'2020'!Z37</f>
        <v>3</v>
      </c>
      <c r="AA99" s="26" t="str">
        <f>'2020'!AA37</f>
        <v>X</v>
      </c>
      <c r="AB99" s="26" t="str">
        <f>'2020'!AB37</f>
        <v>X</v>
      </c>
      <c r="AC99" s="26">
        <f>'2020'!AC37</f>
        <v>2</v>
      </c>
      <c r="AD99" s="26">
        <f>'2020'!AD37</f>
        <v>2</v>
      </c>
      <c r="AE99" s="26">
        <f>'2020'!AE37</f>
        <v>2</v>
      </c>
      <c r="AF99" s="26">
        <f>'2020'!AF37</f>
        <v>2</v>
      </c>
      <c r="AH99" s="89"/>
      <c r="AI99" s="89"/>
    </row>
    <row r="100" spans="1:35" ht="20.100000000000001" customHeight="1">
      <c r="A100" s="18" t="str">
        <f>ÖSSZES!$A$3</f>
        <v>Csuka Lajos</v>
      </c>
      <c r="B100" s="59"/>
      <c r="C100" s="58" t="s">
        <v>2</v>
      </c>
      <c r="D100" s="58" t="s">
        <v>2</v>
      </c>
      <c r="E100" s="31"/>
      <c r="F100" s="31"/>
      <c r="G100" s="31"/>
      <c r="H100" s="31"/>
      <c r="I100" s="33"/>
      <c r="J100" s="33"/>
      <c r="K100" s="58" t="s">
        <v>2</v>
      </c>
      <c r="L100" s="58" t="s">
        <v>2</v>
      </c>
      <c r="M100" s="31"/>
      <c r="N100" s="31"/>
      <c r="O100" s="31"/>
      <c r="P100" s="31"/>
      <c r="Q100" s="33"/>
      <c r="R100" s="33"/>
      <c r="S100" s="58" t="s">
        <v>2</v>
      </c>
      <c r="T100" s="58" t="s">
        <v>2</v>
      </c>
      <c r="U100" s="31"/>
      <c r="V100" s="31"/>
      <c r="W100" s="31"/>
      <c r="X100" s="31"/>
      <c r="Y100" s="33"/>
      <c r="Z100" s="33"/>
      <c r="AA100" s="58" t="s">
        <v>2</v>
      </c>
      <c r="AB100" s="58" t="s">
        <v>2</v>
      </c>
      <c r="AC100" s="31"/>
      <c r="AD100" s="31"/>
      <c r="AE100" s="31"/>
      <c r="AF100" s="59"/>
      <c r="AH100" s="16">
        <f>1*COUNTIF(A100:AF100,"+")</f>
        <v>0</v>
      </c>
      <c r="AI100" s="16">
        <f t="shared" ref="AI100" si="12">1*COUNTIF(B100:AF100,"szf")</f>
        <v>0</v>
      </c>
    </row>
    <row r="101" spans="1:35" ht="20.100000000000001" customHeight="1">
      <c r="A101" s="18" t="str">
        <f>ÖSSZES!$A$4</f>
        <v>Batiz Attila</v>
      </c>
      <c r="B101" s="59"/>
      <c r="C101" s="58" t="s">
        <v>2</v>
      </c>
      <c r="D101" s="58" t="s">
        <v>2</v>
      </c>
      <c r="E101" s="31"/>
      <c r="F101" s="31"/>
      <c r="G101" s="31"/>
      <c r="H101" s="31"/>
      <c r="I101" s="33"/>
      <c r="J101" s="33"/>
      <c r="K101" s="58" t="s">
        <v>2</v>
      </c>
      <c r="L101" s="58" t="s">
        <v>2</v>
      </c>
      <c r="M101" s="31"/>
      <c r="N101" s="31"/>
      <c r="O101" s="31"/>
      <c r="P101" s="31"/>
      <c r="Q101" s="33"/>
      <c r="R101" s="33"/>
      <c r="S101" s="58" t="s">
        <v>2</v>
      </c>
      <c r="T101" s="58" t="s">
        <v>2</v>
      </c>
      <c r="U101" s="31"/>
      <c r="V101" s="31"/>
      <c r="W101" s="31"/>
      <c r="X101" s="31"/>
      <c r="Y101" s="33"/>
      <c r="Z101" s="33"/>
      <c r="AA101" s="58" t="s">
        <v>2</v>
      </c>
      <c r="AB101" s="58" t="s">
        <v>2</v>
      </c>
      <c r="AC101" s="31"/>
      <c r="AD101" s="31"/>
      <c r="AE101" s="31"/>
      <c r="AF101" s="59"/>
      <c r="AH101" s="16">
        <f t="shared" ref="AH101:AH119" si="13">1*COUNTIF(A101:AF101,"+")</f>
        <v>0</v>
      </c>
      <c r="AI101" s="16">
        <f t="shared" ref="AI101:AI119" si="14">1*COUNTIF(B101:AF101,"szf")</f>
        <v>0</v>
      </c>
    </row>
    <row r="102" spans="1:35" ht="20.100000000000001" customHeight="1">
      <c r="A102" s="18" t="str">
        <f>ÖSSZES!$A$5</f>
        <v>Mizsák Péter</v>
      </c>
      <c r="B102" s="59"/>
      <c r="C102" s="58" t="s">
        <v>2</v>
      </c>
      <c r="D102" s="58" t="s">
        <v>2</v>
      </c>
      <c r="E102" s="31"/>
      <c r="F102" s="31"/>
      <c r="G102" s="31"/>
      <c r="H102" s="31"/>
      <c r="I102" s="33"/>
      <c r="J102" s="33"/>
      <c r="K102" s="58" t="s">
        <v>2</v>
      </c>
      <c r="L102" s="58" t="s">
        <v>2</v>
      </c>
      <c r="M102" s="31"/>
      <c r="N102" s="31"/>
      <c r="O102" s="31"/>
      <c r="P102" s="31"/>
      <c r="Q102" s="33"/>
      <c r="R102" s="33"/>
      <c r="S102" s="58" t="s">
        <v>2</v>
      </c>
      <c r="T102" s="58" t="s">
        <v>2</v>
      </c>
      <c r="U102" s="31"/>
      <c r="V102" s="31"/>
      <c r="W102" s="31"/>
      <c r="X102" s="31"/>
      <c r="Y102" s="33"/>
      <c r="Z102" s="33"/>
      <c r="AA102" s="58" t="s">
        <v>2</v>
      </c>
      <c r="AB102" s="58" t="s">
        <v>2</v>
      </c>
      <c r="AC102" s="31"/>
      <c r="AD102" s="31"/>
      <c r="AE102" s="31"/>
      <c r="AF102" s="59"/>
      <c r="AH102" s="16">
        <f t="shared" si="13"/>
        <v>0</v>
      </c>
      <c r="AI102" s="16">
        <f t="shared" si="14"/>
        <v>0</v>
      </c>
    </row>
    <row r="103" spans="1:35" ht="20.100000000000001" customHeight="1">
      <c r="A103" s="18" t="str">
        <f>ÖSSZES!$A$6</f>
        <v>Füredi Antal</v>
      </c>
      <c r="B103" s="59"/>
      <c r="C103" s="58" t="s">
        <v>2</v>
      </c>
      <c r="D103" s="58" t="s">
        <v>2</v>
      </c>
      <c r="E103" s="33" t="s">
        <v>114</v>
      </c>
      <c r="F103" s="33" t="s">
        <v>114</v>
      </c>
      <c r="G103" s="33" t="s">
        <v>114</v>
      </c>
      <c r="H103" s="33" t="s">
        <v>39</v>
      </c>
      <c r="I103" s="33" t="s">
        <v>39</v>
      </c>
      <c r="J103" s="33" t="s">
        <v>39</v>
      </c>
      <c r="K103" s="58" t="s">
        <v>2</v>
      </c>
      <c r="L103" s="58" t="s">
        <v>2</v>
      </c>
      <c r="M103" s="31"/>
      <c r="N103" s="31"/>
      <c r="O103" s="31"/>
      <c r="P103" s="31"/>
      <c r="Q103" s="33"/>
      <c r="R103" s="33"/>
      <c r="S103" s="58" t="s">
        <v>2</v>
      </c>
      <c r="T103" s="58" t="s">
        <v>2</v>
      </c>
      <c r="U103" s="31"/>
      <c r="V103" s="31"/>
      <c r="W103" s="31"/>
      <c r="X103" s="31"/>
      <c r="Y103" s="33"/>
      <c r="Z103" s="33"/>
      <c r="AA103" s="58" t="s">
        <v>2</v>
      </c>
      <c r="AB103" s="58" t="s">
        <v>2</v>
      </c>
      <c r="AC103" s="31"/>
      <c r="AD103" s="31"/>
      <c r="AE103" s="31"/>
      <c r="AF103" s="59"/>
      <c r="AH103" s="16">
        <f t="shared" si="13"/>
        <v>3</v>
      </c>
      <c r="AI103" s="16">
        <f t="shared" si="14"/>
        <v>3</v>
      </c>
    </row>
    <row r="104" spans="1:35" ht="20.100000000000001" customHeight="1">
      <c r="A104" s="18" t="str">
        <f>ÖSSZES!$A$7</f>
        <v>Iványi István</v>
      </c>
      <c r="B104" s="59"/>
      <c r="C104" s="58" t="s">
        <v>2</v>
      </c>
      <c r="D104" s="58" t="s">
        <v>2</v>
      </c>
      <c r="E104" s="33" t="s">
        <v>114</v>
      </c>
      <c r="F104" s="33" t="s">
        <v>39</v>
      </c>
      <c r="G104" s="31"/>
      <c r="H104" s="31"/>
      <c r="I104" s="33"/>
      <c r="J104" s="33"/>
      <c r="K104" s="58" t="s">
        <v>2</v>
      </c>
      <c r="L104" s="58" t="s">
        <v>2</v>
      </c>
      <c r="M104" s="31"/>
      <c r="N104" s="31"/>
      <c r="O104" s="31"/>
      <c r="P104" s="31"/>
      <c r="Q104" s="33"/>
      <c r="R104" s="33"/>
      <c r="S104" s="58" t="s">
        <v>2</v>
      </c>
      <c r="T104" s="58" t="s">
        <v>2</v>
      </c>
      <c r="U104" s="31"/>
      <c r="V104" s="31"/>
      <c r="W104" s="31"/>
      <c r="X104" s="31"/>
      <c r="Y104" s="33"/>
      <c r="Z104" s="33"/>
      <c r="AA104" s="58" t="s">
        <v>2</v>
      </c>
      <c r="AB104" s="58" t="s">
        <v>2</v>
      </c>
      <c r="AC104" s="31"/>
      <c r="AD104" s="31"/>
      <c r="AE104" s="31"/>
      <c r="AF104" s="59"/>
      <c r="AH104" s="16">
        <f t="shared" si="13"/>
        <v>1</v>
      </c>
      <c r="AI104" s="16">
        <f t="shared" si="14"/>
        <v>1</v>
      </c>
    </row>
    <row r="105" spans="1:35" ht="20.100000000000001" customHeight="1">
      <c r="A105" s="18" t="str">
        <f>ÖSSZES!$A$8</f>
        <v>Katonka Tibor</v>
      </c>
      <c r="B105" s="59" t="s">
        <v>39</v>
      </c>
      <c r="C105" s="58" t="s">
        <v>2</v>
      </c>
      <c r="D105" s="58" t="s">
        <v>2</v>
      </c>
      <c r="E105" s="31"/>
      <c r="F105" s="31"/>
      <c r="G105" s="31"/>
      <c r="H105" s="31"/>
      <c r="I105" s="33"/>
      <c r="J105" s="33"/>
      <c r="K105" s="58" t="s">
        <v>2</v>
      </c>
      <c r="L105" s="58" t="s">
        <v>2</v>
      </c>
      <c r="M105" s="31"/>
      <c r="N105" s="31"/>
      <c r="O105" s="31"/>
      <c r="P105" s="31"/>
      <c r="Q105" s="33"/>
      <c r="R105" s="33"/>
      <c r="S105" s="58" t="s">
        <v>2</v>
      </c>
      <c r="T105" s="58" t="s">
        <v>2</v>
      </c>
      <c r="U105" s="31"/>
      <c r="V105" s="31"/>
      <c r="W105" s="31"/>
      <c r="X105" s="31"/>
      <c r="Y105" s="33"/>
      <c r="Z105" s="33"/>
      <c r="AA105" s="58" t="s">
        <v>2</v>
      </c>
      <c r="AB105" s="58" t="s">
        <v>2</v>
      </c>
      <c r="AC105" s="31"/>
      <c r="AD105" s="31"/>
      <c r="AE105" s="31"/>
      <c r="AF105" s="59"/>
      <c r="AH105" s="16">
        <f t="shared" si="13"/>
        <v>0</v>
      </c>
      <c r="AI105" s="16">
        <f t="shared" si="14"/>
        <v>1</v>
      </c>
    </row>
    <row r="106" spans="1:35" ht="20.100000000000001" hidden="1" customHeight="1">
      <c r="A106" s="18" t="str">
        <f>ÖSSZES!$A$9</f>
        <v>Kiss János Tamás</v>
      </c>
      <c r="B106" s="59"/>
      <c r="C106" s="58" t="s">
        <v>2</v>
      </c>
      <c r="D106" s="58" t="s">
        <v>2</v>
      </c>
      <c r="E106" s="31"/>
      <c r="F106" s="31"/>
      <c r="G106" s="31"/>
      <c r="H106" s="31"/>
      <c r="I106" s="33"/>
      <c r="J106" s="33"/>
      <c r="K106" s="58" t="s">
        <v>2</v>
      </c>
      <c r="L106" s="58" t="s">
        <v>2</v>
      </c>
      <c r="M106" s="31"/>
      <c r="N106" s="31"/>
      <c r="O106" s="31"/>
      <c r="P106" s="31"/>
      <c r="Q106" s="33"/>
      <c r="R106" s="33"/>
      <c r="S106" s="58" t="s">
        <v>2</v>
      </c>
      <c r="T106" s="58" t="s">
        <v>2</v>
      </c>
      <c r="U106" s="31"/>
      <c r="V106" s="31"/>
      <c r="W106" s="31"/>
      <c r="X106" s="31"/>
      <c r="Y106" s="33"/>
      <c r="Z106" s="33"/>
      <c r="AA106" s="58" t="s">
        <v>2</v>
      </c>
      <c r="AB106" s="58" t="s">
        <v>2</v>
      </c>
      <c r="AC106" s="31"/>
      <c r="AD106" s="31"/>
      <c r="AE106" s="31"/>
      <c r="AF106" s="59"/>
      <c r="AH106" s="16">
        <f t="shared" si="13"/>
        <v>0</v>
      </c>
      <c r="AI106" s="16">
        <f t="shared" si="14"/>
        <v>0</v>
      </c>
    </row>
    <row r="107" spans="1:35" ht="20.100000000000001" customHeight="1">
      <c r="A107" s="18" t="str">
        <f>ÖSSZES!$A$10</f>
        <v>Vatamány Gergő</v>
      </c>
      <c r="B107" s="59"/>
      <c r="C107" s="58" t="s">
        <v>2</v>
      </c>
      <c r="D107" s="58" t="s">
        <v>2</v>
      </c>
      <c r="E107" s="31"/>
      <c r="F107" s="31"/>
      <c r="G107" s="31"/>
      <c r="H107" s="31"/>
      <c r="I107" s="33"/>
      <c r="J107" s="33"/>
      <c r="K107" s="58" t="s">
        <v>2</v>
      </c>
      <c r="L107" s="58" t="s">
        <v>2</v>
      </c>
      <c r="M107" s="31"/>
      <c r="N107" s="31"/>
      <c r="O107" s="31"/>
      <c r="P107" s="31"/>
      <c r="Q107" s="33"/>
      <c r="R107" s="33"/>
      <c r="S107" s="58" t="s">
        <v>2</v>
      </c>
      <c r="T107" s="58" t="s">
        <v>2</v>
      </c>
      <c r="U107" s="31"/>
      <c r="V107" s="31"/>
      <c r="W107" s="31"/>
      <c r="X107" s="31"/>
      <c r="Y107" s="33"/>
      <c r="Z107" s="33"/>
      <c r="AA107" s="58" t="s">
        <v>2</v>
      </c>
      <c r="AB107" s="58" t="s">
        <v>2</v>
      </c>
      <c r="AC107" s="31"/>
      <c r="AD107" s="31"/>
      <c r="AE107" s="31"/>
      <c r="AF107" s="59"/>
      <c r="AH107" s="16">
        <f t="shared" si="13"/>
        <v>0</v>
      </c>
      <c r="AI107" s="16">
        <f t="shared" si="14"/>
        <v>0</v>
      </c>
    </row>
    <row r="108" spans="1:35" ht="20.100000000000001" hidden="1" customHeight="1">
      <c r="A108" s="18" t="str">
        <f>ÖSSZES!$A$11</f>
        <v>Név9</v>
      </c>
      <c r="B108" s="59"/>
      <c r="C108" s="58" t="s">
        <v>2</v>
      </c>
      <c r="D108" s="58" t="s">
        <v>2</v>
      </c>
      <c r="E108" s="31"/>
      <c r="F108" s="31"/>
      <c r="G108" s="31"/>
      <c r="H108" s="31"/>
      <c r="I108" s="33"/>
      <c r="J108" s="33"/>
      <c r="K108" s="58" t="s">
        <v>2</v>
      </c>
      <c r="L108" s="58" t="s">
        <v>2</v>
      </c>
      <c r="M108" s="31"/>
      <c r="N108" s="31"/>
      <c r="O108" s="31"/>
      <c r="P108" s="31"/>
      <c r="Q108" s="33"/>
      <c r="R108" s="33"/>
      <c r="S108" s="58" t="s">
        <v>2</v>
      </c>
      <c r="T108" s="58" t="s">
        <v>2</v>
      </c>
      <c r="U108" s="31"/>
      <c r="V108" s="31"/>
      <c r="W108" s="31"/>
      <c r="X108" s="31"/>
      <c r="Y108" s="33"/>
      <c r="Z108" s="33"/>
      <c r="AA108" s="58" t="s">
        <v>2</v>
      </c>
      <c r="AB108" s="58" t="s">
        <v>2</v>
      </c>
      <c r="AC108" s="31"/>
      <c r="AD108" s="31"/>
      <c r="AE108" s="31"/>
      <c r="AF108" s="59"/>
      <c r="AH108" s="16">
        <f t="shared" si="13"/>
        <v>0</v>
      </c>
      <c r="AI108" s="16">
        <f t="shared" si="14"/>
        <v>0</v>
      </c>
    </row>
    <row r="109" spans="1:35" ht="20.100000000000001" hidden="1" customHeight="1">
      <c r="A109" s="18" t="str">
        <f>ÖSSZES!$A$12</f>
        <v>Név10</v>
      </c>
      <c r="B109" s="59"/>
      <c r="C109" s="58" t="s">
        <v>2</v>
      </c>
      <c r="D109" s="58" t="s">
        <v>2</v>
      </c>
      <c r="E109" s="31"/>
      <c r="F109" s="31"/>
      <c r="G109" s="31"/>
      <c r="H109" s="31"/>
      <c r="I109" s="33"/>
      <c r="J109" s="33"/>
      <c r="K109" s="58" t="s">
        <v>2</v>
      </c>
      <c r="L109" s="58" t="s">
        <v>2</v>
      </c>
      <c r="M109" s="31"/>
      <c r="N109" s="31"/>
      <c r="O109" s="31"/>
      <c r="P109" s="31"/>
      <c r="Q109" s="33"/>
      <c r="R109" s="33"/>
      <c r="S109" s="58" t="s">
        <v>2</v>
      </c>
      <c r="T109" s="58" t="s">
        <v>2</v>
      </c>
      <c r="U109" s="31"/>
      <c r="V109" s="31"/>
      <c r="W109" s="31"/>
      <c r="X109" s="31"/>
      <c r="Y109" s="33"/>
      <c r="Z109" s="33"/>
      <c r="AA109" s="58" t="s">
        <v>2</v>
      </c>
      <c r="AB109" s="58" t="s">
        <v>2</v>
      </c>
      <c r="AC109" s="31"/>
      <c r="AD109" s="31"/>
      <c r="AE109" s="31"/>
      <c r="AF109" s="59"/>
      <c r="AH109" s="16">
        <f t="shared" si="13"/>
        <v>0</v>
      </c>
      <c r="AI109" s="16">
        <f t="shared" si="14"/>
        <v>0</v>
      </c>
    </row>
    <row r="110" spans="1:35" ht="20.100000000000001" hidden="1" customHeight="1">
      <c r="A110" s="18" t="str">
        <f>ÖSSZES!$A$13</f>
        <v>Név11</v>
      </c>
      <c r="B110" s="59"/>
      <c r="C110" s="58" t="s">
        <v>2</v>
      </c>
      <c r="D110" s="58" t="s">
        <v>2</v>
      </c>
      <c r="E110" s="31"/>
      <c r="F110" s="31"/>
      <c r="G110" s="31"/>
      <c r="H110" s="31"/>
      <c r="I110" s="33"/>
      <c r="J110" s="33"/>
      <c r="K110" s="58" t="s">
        <v>2</v>
      </c>
      <c r="L110" s="58" t="s">
        <v>2</v>
      </c>
      <c r="M110" s="31"/>
      <c r="N110" s="31"/>
      <c r="O110" s="31"/>
      <c r="P110" s="31"/>
      <c r="Q110" s="33"/>
      <c r="R110" s="33"/>
      <c r="S110" s="58" t="s">
        <v>2</v>
      </c>
      <c r="T110" s="58" t="s">
        <v>2</v>
      </c>
      <c r="U110" s="31"/>
      <c r="V110" s="31"/>
      <c r="W110" s="31"/>
      <c r="X110" s="31"/>
      <c r="Y110" s="33"/>
      <c r="Z110" s="33"/>
      <c r="AA110" s="58" t="s">
        <v>2</v>
      </c>
      <c r="AB110" s="58" t="s">
        <v>2</v>
      </c>
      <c r="AC110" s="31"/>
      <c r="AD110" s="31"/>
      <c r="AE110" s="31"/>
      <c r="AF110" s="59"/>
      <c r="AH110" s="16">
        <f t="shared" si="13"/>
        <v>0</v>
      </c>
      <c r="AI110" s="16">
        <f t="shared" si="14"/>
        <v>0</v>
      </c>
    </row>
    <row r="111" spans="1:35" ht="20.100000000000001" hidden="1" customHeight="1">
      <c r="A111" s="18" t="str">
        <f>ÖSSZES!$A$14</f>
        <v>Név12</v>
      </c>
      <c r="B111" s="59"/>
      <c r="C111" s="58" t="s">
        <v>2</v>
      </c>
      <c r="D111" s="58" t="s">
        <v>2</v>
      </c>
      <c r="E111" s="31"/>
      <c r="F111" s="31"/>
      <c r="G111" s="31"/>
      <c r="H111" s="31"/>
      <c r="I111" s="33"/>
      <c r="J111" s="33"/>
      <c r="K111" s="58" t="s">
        <v>2</v>
      </c>
      <c r="L111" s="58" t="s">
        <v>2</v>
      </c>
      <c r="M111" s="31"/>
      <c r="N111" s="31"/>
      <c r="O111" s="31"/>
      <c r="P111" s="31"/>
      <c r="Q111" s="33"/>
      <c r="R111" s="33"/>
      <c r="S111" s="58" t="s">
        <v>2</v>
      </c>
      <c r="T111" s="58" t="s">
        <v>2</v>
      </c>
      <c r="U111" s="31"/>
      <c r="V111" s="31"/>
      <c r="W111" s="31"/>
      <c r="X111" s="31"/>
      <c r="Y111" s="33"/>
      <c r="Z111" s="33"/>
      <c r="AA111" s="58" t="s">
        <v>2</v>
      </c>
      <c r="AB111" s="58" t="s">
        <v>2</v>
      </c>
      <c r="AC111" s="31"/>
      <c r="AD111" s="31"/>
      <c r="AE111" s="31"/>
      <c r="AF111" s="59"/>
      <c r="AH111" s="16">
        <f t="shared" si="13"/>
        <v>0</v>
      </c>
      <c r="AI111" s="16">
        <f t="shared" si="14"/>
        <v>0</v>
      </c>
    </row>
    <row r="112" spans="1:35" ht="20.100000000000001" hidden="1" customHeight="1">
      <c r="A112" s="18" t="str">
        <f>ÖSSZES!$A$15</f>
        <v>Név13</v>
      </c>
      <c r="B112" s="59"/>
      <c r="C112" s="58" t="s">
        <v>2</v>
      </c>
      <c r="D112" s="58" t="s">
        <v>2</v>
      </c>
      <c r="E112" s="31"/>
      <c r="F112" s="31"/>
      <c r="G112" s="31"/>
      <c r="H112" s="31"/>
      <c r="I112" s="33"/>
      <c r="J112" s="33"/>
      <c r="K112" s="58" t="s">
        <v>2</v>
      </c>
      <c r="L112" s="58" t="s">
        <v>2</v>
      </c>
      <c r="M112" s="31"/>
      <c r="N112" s="31"/>
      <c r="O112" s="31"/>
      <c r="P112" s="31"/>
      <c r="Q112" s="33"/>
      <c r="R112" s="33"/>
      <c r="S112" s="58" t="s">
        <v>2</v>
      </c>
      <c r="T112" s="58" t="s">
        <v>2</v>
      </c>
      <c r="U112" s="31"/>
      <c r="V112" s="31"/>
      <c r="W112" s="31"/>
      <c r="X112" s="31"/>
      <c r="Y112" s="33"/>
      <c r="Z112" s="33"/>
      <c r="AA112" s="58" t="s">
        <v>2</v>
      </c>
      <c r="AB112" s="58" t="s">
        <v>2</v>
      </c>
      <c r="AC112" s="31"/>
      <c r="AD112" s="31"/>
      <c r="AE112" s="31"/>
      <c r="AF112" s="59"/>
      <c r="AH112" s="16">
        <f t="shared" si="13"/>
        <v>0</v>
      </c>
      <c r="AI112" s="16">
        <f t="shared" si="14"/>
        <v>0</v>
      </c>
    </row>
    <row r="113" spans="1:35" ht="20.100000000000001" hidden="1" customHeight="1">
      <c r="A113" s="18" t="str">
        <f>ÖSSZES!$A$16</f>
        <v>Név14</v>
      </c>
      <c r="B113" s="59"/>
      <c r="C113" s="58" t="s">
        <v>2</v>
      </c>
      <c r="D113" s="58" t="s">
        <v>2</v>
      </c>
      <c r="E113" s="31"/>
      <c r="F113" s="31"/>
      <c r="G113" s="31"/>
      <c r="H113" s="31"/>
      <c r="I113" s="33"/>
      <c r="J113" s="33"/>
      <c r="K113" s="58" t="s">
        <v>2</v>
      </c>
      <c r="L113" s="58" t="s">
        <v>2</v>
      </c>
      <c r="M113" s="31"/>
      <c r="N113" s="31"/>
      <c r="O113" s="31"/>
      <c r="P113" s="31"/>
      <c r="Q113" s="33"/>
      <c r="R113" s="33"/>
      <c r="S113" s="58" t="s">
        <v>2</v>
      </c>
      <c r="T113" s="58" t="s">
        <v>2</v>
      </c>
      <c r="U113" s="31"/>
      <c r="V113" s="31"/>
      <c r="W113" s="31"/>
      <c r="X113" s="31"/>
      <c r="Y113" s="33"/>
      <c r="Z113" s="33"/>
      <c r="AA113" s="58" t="s">
        <v>2</v>
      </c>
      <c r="AB113" s="58" t="s">
        <v>2</v>
      </c>
      <c r="AC113" s="31"/>
      <c r="AD113" s="31"/>
      <c r="AE113" s="31"/>
      <c r="AF113" s="59"/>
      <c r="AH113" s="16">
        <f t="shared" si="13"/>
        <v>0</v>
      </c>
      <c r="AI113" s="16">
        <f t="shared" si="14"/>
        <v>0</v>
      </c>
    </row>
    <row r="114" spans="1:35" ht="20.100000000000001" hidden="1" customHeight="1">
      <c r="A114" s="18" t="str">
        <f>ÖSSZES!$A$17</f>
        <v>Név15</v>
      </c>
      <c r="B114" s="59"/>
      <c r="C114" s="58" t="s">
        <v>2</v>
      </c>
      <c r="D114" s="58" t="s">
        <v>2</v>
      </c>
      <c r="E114" s="31"/>
      <c r="F114" s="31"/>
      <c r="G114" s="31"/>
      <c r="H114" s="31"/>
      <c r="I114" s="33"/>
      <c r="J114" s="33"/>
      <c r="K114" s="58" t="s">
        <v>2</v>
      </c>
      <c r="L114" s="58" t="s">
        <v>2</v>
      </c>
      <c r="M114" s="31"/>
      <c r="N114" s="31"/>
      <c r="O114" s="31"/>
      <c r="P114" s="31"/>
      <c r="Q114" s="33"/>
      <c r="R114" s="33"/>
      <c r="S114" s="58" t="s">
        <v>2</v>
      </c>
      <c r="T114" s="58" t="s">
        <v>2</v>
      </c>
      <c r="U114" s="31"/>
      <c r="V114" s="31"/>
      <c r="W114" s="31"/>
      <c r="X114" s="31"/>
      <c r="Y114" s="33"/>
      <c r="Z114" s="33"/>
      <c r="AA114" s="58" t="s">
        <v>2</v>
      </c>
      <c r="AB114" s="58" t="s">
        <v>2</v>
      </c>
      <c r="AC114" s="31"/>
      <c r="AD114" s="31"/>
      <c r="AE114" s="31"/>
      <c r="AF114" s="59"/>
      <c r="AH114" s="16">
        <f t="shared" si="13"/>
        <v>0</v>
      </c>
      <c r="AI114" s="16">
        <f t="shared" si="14"/>
        <v>0</v>
      </c>
    </row>
    <row r="115" spans="1:35" ht="20.100000000000001" hidden="1" customHeight="1">
      <c r="A115" s="18" t="str">
        <f>ÖSSZES!$A$18</f>
        <v>Név16</v>
      </c>
      <c r="B115" s="59"/>
      <c r="C115" s="58" t="s">
        <v>2</v>
      </c>
      <c r="D115" s="58" t="s">
        <v>2</v>
      </c>
      <c r="E115" s="31"/>
      <c r="F115" s="31"/>
      <c r="G115" s="31"/>
      <c r="H115" s="31"/>
      <c r="I115" s="33"/>
      <c r="J115" s="33"/>
      <c r="K115" s="58" t="s">
        <v>2</v>
      </c>
      <c r="L115" s="58" t="s">
        <v>2</v>
      </c>
      <c r="M115" s="31"/>
      <c r="N115" s="31"/>
      <c r="O115" s="31"/>
      <c r="P115" s="31"/>
      <c r="Q115" s="33"/>
      <c r="R115" s="33"/>
      <c r="S115" s="58" t="s">
        <v>2</v>
      </c>
      <c r="T115" s="58" t="s">
        <v>2</v>
      </c>
      <c r="U115" s="31"/>
      <c r="V115" s="31"/>
      <c r="W115" s="31"/>
      <c r="X115" s="31"/>
      <c r="Y115" s="33"/>
      <c r="Z115" s="33"/>
      <c r="AA115" s="58" t="s">
        <v>2</v>
      </c>
      <c r="AB115" s="58" t="s">
        <v>2</v>
      </c>
      <c r="AC115" s="31"/>
      <c r="AD115" s="31"/>
      <c r="AE115" s="31"/>
      <c r="AF115" s="59"/>
      <c r="AH115" s="16">
        <f t="shared" si="13"/>
        <v>0</v>
      </c>
      <c r="AI115" s="16">
        <f t="shared" si="14"/>
        <v>0</v>
      </c>
    </row>
    <row r="116" spans="1:35" ht="20.100000000000001" hidden="1" customHeight="1">
      <c r="A116" s="18" t="str">
        <f>ÖSSZES!$A$19</f>
        <v>Név17</v>
      </c>
      <c r="B116" s="59"/>
      <c r="C116" s="58" t="s">
        <v>2</v>
      </c>
      <c r="D116" s="58" t="s">
        <v>2</v>
      </c>
      <c r="E116" s="31"/>
      <c r="F116" s="31"/>
      <c r="G116" s="31"/>
      <c r="H116" s="31"/>
      <c r="I116" s="33"/>
      <c r="J116" s="33"/>
      <c r="K116" s="58" t="s">
        <v>2</v>
      </c>
      <c r="L116" s="58" t="s">
        <v>2</v>
      </c>
      <c r="M116" s="31"/>
      <c r="N116" s="31"/>
      <c r="O116" s="31"/>
      <c r="P116" s="31"/>
      <c r="Q116" s="33"/>
      <c r="R116" s="33"/>
      <c r="S116" s="58" t="s">
        <v>2</v>
      </c>
      <c r="T116" s="58" t="s">
        <v>2</v>
      </c>
      <c r="U116" s="31"/>
      <c r="V116" s="31"/>
      <c r="W116" s="31"/>
      <c r="X116" s="31"/>
      <c r="Y116" s="33"/>
      <c r="Z116" s="33"/>
      <c r="AA116" s="58" t="s">
        <v>2</v>
      </c>
      <c r="AB116" s="58" t="s">
        <v>2</v>
      </c>
      <c r="AC116" s="31"/>
      <c r="AD116" s="31"/>
      <c r="AE116" s="31"/>
      <c r="AF116" s="59"/>
      <c r="AH116" s="16">
        <f t="shared" si="13"/>
        <v>0</v>
      </c>
      <c r="AI116" s="16">
        <f t="shared" si="14"/>
        <v>0</v>
      </c>
    </row>
    <row r="117" spans="1:35" ht="20.100000000000001" hidden="1" customHeight="1">
      <c r="A117" s="18" t="str">
        <f>ÖSSZES!$A$20</f>
        <v>Név18</v>
      </c>
      <c r="B117" s="59"/>
      <c r="C117" s="58" t="s">
        <v>2</v>
      </c>
      <c r="D117" s="58" t="s">
        <v>2</v>
      </c>
      <c r="E117" s="31"/>
      <c r="F117" s="31"/>
      <c r="G117" s="31"/>
      <c r="H117" s="31"/>
      <c r="I117" s="33"/>
      <c r="J117" s="33"/>
      <c r="K117" s="58" t="s">
        <v>2</v>
      </c>
      <c r="L117" s="58" t="s">
        <v>2</v>
      </c>
      <c r="M117" s="31"/>
      <c r="N117" s="31"/>
      <c r="O117" s="31"/>
      <c r="P117" s="31"/>
      <c r="Q117" s="33"/>
      <c r="R117" s="33"/>
      <c r="S117" s="58" t="s">
        <v>2</v>
      </c>
      <c r="T117" s="58" t="s">
        <v>2</v>
      </c>
      <c r="U117" s="31"/>
      <c r="V117" s="31"/>
      <c r="W117" s="31"/>
      <c r="X117" s="31"/>
      <c r="Y117" s="33"/>
      <c r="Z117" s="33"/>
      <c r="AA117" s="58" t="s">
        <v>2</v>
      </c>
      <c r="AB117" s="58" t="s">
        <v>2</v>
      </c>
      <c r="AC117" s="31"/>
      <c r="AD117" s="31"/>
      <c r="AE117" s="31"/>
      <c r="AF117" s="59"/>
      <c r="AH117" s="16">
        <f t="shared" si="13"/>
        <v>0</v>
      </c>
      <c r="AI117" s="16">
        <f t="shared" si="14"/>
        <v>0</v>
      </c>
    </row>
    <row r="118" spans="1:35" ht="20.100000000000001" hidden="1" customHeight="1">
      <c r="A118" s="18" t="str">
        <f>ÖSSZES!$A$21</f>
        <v>Név19</v>
      </c>
      <c r="B118" s="59"/>
      <c r="C118" s="58" t="s">
        <v>2</v>
      </c>
      <c r="D118" s="58" t="s">
        <v>2</v>
      </c>
      <c r="E118" s="31"/>
      <c r="F118" s="31"/>
      <c r="G118" s="31"/>
      <c r="H118" s="31"/>
      <c r="I118" s="33"/>
      <c r="J118" s="33"/>
      <c r="K118" s="58" t="s">
        <v>2</v>
      </c>
      <c r="L118" s="58" t="s">
        <v>2</v>
      </c>
      <c r="M118" s="31"/>
      <c r="N118" s="31"/>
      <c r="O118" s="31"/>
      <c r="P118" s="31"/>
      <c r="Q118" s="33"/>
      <c r="R118" s="33"/>
      <c r="S118" s="58" t="s">
        <v>2</v>
      </c>
      <c r="T118" s="58" t="s">
        <v>2</v>
      </c>
      <c r="U118" s="31"/>
      <c r="V118" s="31"/>
      <c r="W118" s="31"/>
      <c r="X118" s="31"/>
      <c r="Y118" s="33"/>
      <c r="Z118" s="33"/>
      <c r="AA118" s="58" t="s">
        <v>2</v>
      </c>
      <c r="AB118" s="58" t="s">
        <v>2</v>
      </c>
      <c r="AC118" s="31"/>
      <c r="AD118" s="31"/>
      <c r="AE118" s="31"/>
      <c r="AF118" s="59"/>
      <c r="AH118" s="16">
        <f t="shared" si="13"/>
        <v>0</v>
      </c>
      <c r="AI118" s="16">
        <f t="shared" si="14"/>
        <v>0</v>
      </c>
    </row>
    <row r="119" spans="1:35" ht="20.100000000000001" hidden="1" customHeight="1">
      <c r="A119" s="18" t="str">
        <f>ÖSSZES!$A$17</f>
        <v>Név15</v>
      </c>
      <c r="B119" s="59"/>
      <c r="C119" s="58" t="s">
        <v>2</v>
      </c>
      <c r="D119" s="58" t="s">
        <v>2</v>
      </c>
      <c r="E119" s="31"/>
      <c r="F119" s="31"/>
      <c r="G119" s="31"/>
      <c r="H119" s="31"/>
      <c r="I119" s="33"/>
      <c r="J119" s="33"/>
      <c r="K119" s="58" t="s">
        <v>2</v>
      </c>
      <c r="L119" s="58" t="s">
        <v>2</v>
      </c>
      <c r="M119" s="31"/>
      <c r="N119" s="31"/>
      <c r="O119" s="31"/>
      <c r="P119" s="31"/>
      <c r="Q119" s="33"/>
      <c r="R119" s="33"/>
      <c r="S119" s="58" t="s">
        <v>2</v>
      </c>
      <c r="T119" s="58" t="s">
        <v>2</v>
      </c>
      <c r="U119" s="31"/>
      <c r="V119" s="31"/>
      <c r="W119" s="31"/>
      <c r="X119" s="31"/>
      <c r="Y119" s="33"/>
      <c r="Z119" s="33"/>
      <c r="AA119" s="58" t="s">
        <v>2</v>
      </c>
      <c r="AB119" s="58" t="s">
        <v>2</v>
      </c>
      <c r="AC119" s="31"/>
      <c r="AD119" s="31"/>
      <c r="AE119" s="31"/>
      <c r="AF119" s="59"/>
      <c r="AH119" s="16">
        <f t="shared" si="13"/>
        <v>0</v>
      </c>
      <c r="AI119" s="16">
        <f t="shared" si="14"/>
        <v>0</v>
      </c>
    </row>
    <row r="120" spans="1:35" ht="20.100000000000001" customHeight="1"/>
    <row r="121" spans="1:35" s="25" customFormat="1" ht="20.100000000000001" customHeight="1">
      <c r="A121" s="88" t="s">
        <v>10</v>
      </c>
      <c r="B121" s="57">
        <v>1</v>
      </c>
      <c r="C121" s="24">
        <v>2</v>
      </c>
      <c r="D121" s="24">
        <v>3</v>
      </c>
      <c r="E121" s="24">
        <v>4</v>
      </c>
      <c r="F121" s="24">
        <v>5</v>
      </c>
      <c r="G121" s="24">
        <v>6</v>
      </c>
      <c r="H121" s="24">
        <v>7</v>
      </c>
      <c r="I121" s="24">
        <v>8</v>
      </c>
      <c r="J121" s="24">
        <v>9</v>
      </c>
      <c r="K121" s="24">
        <v>10</v>
      </c>
      <c r="L121" s="24">
        <v>11</v>
      </c>
      <c r="M121" s="24">
        <v>12</v>
      </c>
      <c r="N121" s="24">
        <v>13</v>
      </c>
      <c r="O121" s="24">
        <v>14</v>
      </c>
      <c r="P121" s="24">
        <v>15</v>
      </c>
      <c r="Q121" s="24">
        <v>16</v>
      </c>
      <c r="R121" s="24">
        <v>17</v>
      </c>
      <c r="S121" s="24">
        <v>18</v>
      </c>
      <c r="T121" s="24">
        <v>19</v>
      </c>
      <c r="U121" s="24">
        <v>20</v>
      </c>
      <c r="V121" s="24">
        <v>21</v>
      </c>
      <c r="W121" s="24">
        <v>22</v>
      </c>
      <c r="X121" s="24">
        <v>23</v>
      </c>
      <c r="Y121" s="24">
        <v>24</v>
      </c>
      <c r="Z121" s="24">
        <v>25</v>
      </c>
      <c r="AA121" s="24">
        <v>26</v>
      </c>
      <c r="AB121" s="24">
        <v>27</v>
      </c>
      <c r="AC121" s="24">
        <v>28</v>
      </c>
      <c r="AD121" s="24">
        <v>29</v>
      </c>
      <c r="AE121" s="24">
        <v>30</v>
      </c>
      <c r="AH121" s="88" t="s">
        <v>18</v>
      </c>
      <c r="AI121" s="88" t="s">
        <v>19</v>
      </c>
    </row>
    <row r="122" spans="1:35" ht="20.100000000000001" customHeight="1">
      <c r="A122" s="90"/>
      <c r="B122" s="26" t="str">
        <f>'2020'!B44</f>
        <v>H</v>
      </c>
      <c r="C122" s="26" t="str">
        <f>'2020'!C44</f>
        <v>K</v>
      </c>
      <c r="D122" s="26" t="str">
        <f>'2020'!D44</f>
        <v>Sze</v>
      </c>
      <c r="E122" s="26" t="str">
        <f>'2020'!E44</f>
        <v>Cs</v>
      </c>
      <c r="F122" s="26" t="str">
        <f>'2020'!F44</f>
        <v>P</v>
      </c>
      <c r="G122" s="26" t="str">
        <f>'2020'!G44</f>
        <v>Szo</v>
      </c>
      <c r="H122" s="26" t="str">
        <f>'2020'!H44</f>
        <v>V</v>
      </c>
      <c r="I122" s="26" t="str">
        <f>'2020'!I44</f>
        <v>H</v>
      </c>
      <c r="J122" s="26" t="str">
        <f>'2020'!J44</f>
        <v>K</v>
      </c>
      <c r="K122" s="26" t="str">
        <f>'2020'!K44</f>
        <v>Sze</v>
      </c>
      <c r="L122" s="26" t="str">
        <f>'2020'!L44</f>
        <v>Cs</v>
      </c>
      <c r="M122" s="26" t="str">
        <f>'2020'!M44</f>
        <v>P</v>
      </c>
      <c r="N122" s="26" t="str">
        <f>'2020'!N44</f>
        <v>Szo</v>
      </c>
      <c r="O122" s="26" t="str">
        <f>'2020'!O44</f>
        <v>V</v>
      </c>
      <c r="P122" s="26" t="str">
        <f>'2020'!P44</f>
        <v>H</v>
      </c>
      <c r="Q122" s="26" t="str">
        <f>'2020'!Q44</f>
        <v>K</v>
      </c>
      <c r="R122" s="26" t="str">
        <f>'2020'!R44</f>
        <v>Sze</v>
      </c>
      <c r="S122" s="26" t="str">
        <f>'2020'!S44</f>
        <v>Cs</v>
      </c>
      <c r="T122" s="26" t="str">
        <f>'2020'!T44</f>
        <v>P</v>
      </c>
      <c r="U122" s="26" t="str">
        <f>'2020'!U44</f>
        <v>Szo</v>
      </c>
      <c r="V122" s="26" t="str">
        <f>'2020'!V44</f>
        <v>V</v>
      </c>
      <c r="W122" s="26" t="str">
        <f>'2020'!W44</f>
        <v>H</v>
      </c>
      <c r="X122" s="26" t="str">
        <f>'2020'!X44</f>
        <v>K</v>
      </c>
      <c r="Y122" s="26" t="str">
        <f>'2020'!Y44</f>
        <v>Sze</v>
      </c>
      <c r="Z122" s="26" t="str">
        <f>'2020'!Z44</f>
        <v>Cs</v>
      </c>
      <c r="AA122" s="26" t="str">
        <f>'2020'!AA44</f>
        <v>P</v>
      </c>
      <c r="AB122" s="26" t="str">
        <f>'2020'!AB44</f>
        <v>Szo</v>
      </c>
      <c r="AC122" s="26" t="str">
        <f>'2020'!AC44</f>
        <v>V</v>
      </c>
      <c r="AD122" s="26" t="str">
        <f>'2020'!AD44</f>
        <v>H</v>
      </c>
      <c r="AE122" s="26" t="str">
        <f>'2020'!AE44</f>
        <v>K</v>
      </c>
      <c r="AF122" s="21"/>
      <c r="AH122" s="89"/>
      <c r="AI122" s="89"/>
    </row>
    <row r="123" spans="1:35" ht="20.100000000000001" customHeight="1">
      <c r="A123" s="89"/>
      <c r="B123" s="26">
        <f>'2020'!B45</f>
        <v>2</v>
      </c>
      <c r="C123" s="26">
        <f>'2020'!C45</f>
        <v>2</v>
      </c>
      <c r="D123" s="26" t="str">
        <f>'2020'!D45</f>
        <v>X</v>
      </c>
      <c r="E123" s="26" t="str">
        <f>'2020'!E45</f>
        <v>X</v>
      </c>
      <c r="F123" s="26">
        <f>'2020'!F45</f>
        <v>1</v>
      </c>
      <c r="G123" s="26">
        <f>'2020'!G45</f>
        <v>1</v>
      </c>
      <c r="H123" s="26">
        <f>'2020'!H45</f>
        <v>1</v>
      </c>
      <c r="I123" s="26">
        <f>'2020'!I45</f>
        <v>1</v>
      </c>
      <c r="J123" s="26">
        <f>'2020'!J45</f>
        <v>1</v>
      </c>
      <c r="K123" s="26">
        <f>'2020'!K45</f>
        <v>1</v>
      </c>
      <c r="L123" s="26" t="str">
        <f>'2020'!L45</f>
        <v>X</v>
      </c>
      <c r="M123" s="26" t="str">
        <f>'2020'!M45</f>
        <v>X</v>
      </c>
      <c r="N123" s="26">
        <f>'2020'!N45</f>
        <v>3</v>
      </c>
      <c r="O123" s="26">
        <f>'2020'!O45</f>
        <v>3</v>
      </c>
      <c r="P123" s="26">
        <f>'2020'!P45</f>
        <v>3</v>
      </c>
      <c r="Q123" s="26">
        <f>'2020'!Q45</f>
        <v>3</v>
      </c>
      <c r="R123" s="26">
        <f>'2020'!R45</f>
        <v>3</v>
      </c>
      <c r="S123" s="26">
        <f>'2020'!S45</f>
        <v>3</v>
      </c>
      <c r="T123" s="26" t="str">
        <f>'2020'!T45</f>
        <v>X</v>
      </c>
      <c r="U123" s="26" t="str">
        <f>'2020'!U45</f>
        <v>X</v>
      </c>
      <c r="V123" s="26">
        <f>'2020'!V45</f>
        <v>2</v>
      </c>
      <c r="W123" s="26">
        <f>'2020'!W45</f>
        <v>2</v>
      </c>
      <c r="X123" s="26">
        <f>'2020'!X45</f>
        <v>2</v>
      </c>
      <c r="Y123" s="26">
        <f>'2020'!Y45</f>
        <v>2</v>
      </c>
      <c r="Z123" s="26">
        <f>'2020'!Z45</f>
        <v>2</v>
      </c>
      <c r="AA123" s="26">
        <f>'2020'!AA45</f>
        <v>2</v>
      </c>
      <c r="AB123" s="26" t="str">
        <f>'2020'!AB45</f>
        <v>X</v>
      </c>
      <c r="AC123" s="26" t="str">
        <f>'2020'!AC45</f>
        <v>X</v>
      </c>
      <c r="AD123" s="26">
        <f>'2020'!AD45</f>
        <v>1</v>
      </c>
      <c r="AE123" s="26">
        <f>'2020'!AE45</f>
        <v>1</v>
      </c>
      <c r="AF123" s="21"/>
      <c r="AH123" s="89"/>
      <c r="AI123" s="89"/>
    </row>
    <row r="124" spans="1:35" ht="20.100000000000001" customHeight="1">
      <c r="A124" s="18" t="str">
        <f>ÖSSZES!$A$3</f>
        <v>Csuka Lajos</v>
      </c>
      <c r="B124" s="59"/>
      <c r="C124" s="33"/>
      <c r="D124" s="58" t="s">
        <v>2</v>
      </c>
      <c r="E124" s="58" t="s">
        <v>2</v>
      </c>
      <c r="F124" s="33"/>
      <c r="G124" s="31"/>
      <c r="H124" s="33"/>
      <c r="I124" s="33"/>
      <c r="J124" s="33"/>
      <c r="K124" s="33"/>
      <c r="L124" s="58" t="s">
        <v>2</v>
      </c>
      <c r="M124" s="58" t="s">
        <v>2</v>
      </c>
      <c r="N124" s="33"/>
      <c r="O124" s="33"/>
      <c r="P124" s="31"/>
      <c r="Q124" s="33"/>
      <c r="R124" s="33"/>
      <c r="S124" s="33"/>
      <c r="T124" s="58" t="s">
        <v>2</v>
      </c>
      <c r="U124" s="58" t="s">
        <v>2</v>
      </c>
      <c r="V124" s="31"/>
      <c r="W124" s="33"/>
      <c r="X124" s="33"/>
      <c r="Y124" s="31"/>
      <c r="Z124" s="33"/>
      <c r="AA124" s="33"/>
      <c r="AB124" s="58" t="s">
        <v>2</v>
      </c>
      <c r="AC124" s="58" t="s">
        <v>2</v>
      </c>
      <c r="AD124" s="33"/>
      <c r="AE124" s="31"/>
      <c r="AF124" s="21"/>
      <c r="AH124" s="16">
        <f>1*COUNTIF(A124:AF124,"+")</f>
        <v>0</v>
      </c>
      <c r="AI124" s="16">
        <f t="shared" ref="AI124" si="15">1*COUNTIF(B124:AF124,"szf")</f>
        <v>0</v>
      </c>
    </row>
    <row r="125" spans="1:35" ht="20.100000000000001" customHeight="1">
      <c r="A125" s="18" t="str">
        <f>ÖSSZES!$A$4</f>
        <v>Batiz Attila</v>
      </c>
      <c r="B125" s="59"/>
      <c r="C125" s="33"/>
      <c r="D125" s="58" t="s">
        <v>2</v>
      </c>
      <c r="E125" s="58" t="s">
        <v>2</v>
      </c>
      <c r="F125" s="33"/>
      <c r="G125" s="31"/>
      <c r="H125" s="33"/>
      <c r="I125" s="33"/>
      <c r="J125" s="33"/>
      <c r="K125" s="33"/>
      <c r="L125" s="58" t="s">
        <v>2</v>
      </c>
      <c r="M125" s="58" t="s">
        <v>2</v>
      </c>
      <c r="N125" s="33"/>
      <c r="O125" s="33"/>
      <c r="P125" s="31"/>
      <c r="Q125" s="33"/>
      <c r="R125" s="33"/>
      <c r="S125" s="33"/>
      <c r="T125" s="58" t="s">
        <v>2</v>
      </c>
      <c r="U125" s="58" t="s">
        <v>2</v>
      </c>
      <c r="V125" s="31"/>
      <c r="W125" s="33"/>
      <c r="X125" s="33"/>
      <c r="Y125" s="31"/>
      <c r="Z125" s="33"/>
      <c r="AA125" s="33"/>
      <c r="AB125" s="58" t="s">
        <v>2</v>
      </c>
      <c r="AC125" s="58" t="s">
        <v>2</v>
      </c>
      <c r="AD125" s="33"/>
      <c r="AE125" s="31"/>
      <c r="AF125" s="21"/>
      <c r="AH125" s="16">
        <f t="shared" ref="AH125:AH143" si="16">1*COUNTIF(A125:AF125,"+")</f>
        <v>0</v>
      </c>
      <c r="AI125" s="16">
        <f t="shared" ref="AI125:AI143" si="17">1*COUNTIF(B125:AF125,"szf")</f>
        <v>0</v>
      </c>
    </row>
    <row r="126" spans="1:35" ht="20.100000000000001" customHeight="1">
      <c r="A126" s="18" t="str">
        <f>ÖSSZES!$A$5</f>
        <v>Mizsák Péter</v>
      </c>
      <c r="B126" s="59"/>
      <c r="C126" s="33"/>
      <c r="D126" s="58" t="s">
        <v>2</v>
      </c>
      <c r="E126" s="58" t="s">
        <v>2</v>
      </c>
      <c r="F126" s="33"/>
      <c r="G126" s="31"/>
      <c r="H126" s="33"/>
      <c r="I126" s="33"/>
      <c r="J126" s="33"/>
      <c r="K126" s="33"/>
      <c r="L126" s="58" t="s">
        <v>2</v>
      </c>
      <c r="M126" s="58" t="s">
        <v>2</v>
      </c>
      <c r="N126" s="33"/>
      <c r="O126" s="33"/>
      <c r="P126" s="31"/>
      <c r="Q126" s="33"/>
      <c r="R126" s="33"/>
      <c r="S126" s="33"/>
      <c r="T126" s="58" t="s">
        <v>2</v>
      </c>
      <c r="U126" s="58" t="s">
        <v>2</v>
      </c>
      <c r="V126" s="31"/>
      <c r="W126" s="33"/>
      <c r="X126" s="33"/>
      <c r="Y126" s="31"/>
      <c r="Z126" s="33"/>
      <c r="AA126" s="33"/>
      <c r="AB126" s="58" t="s">
        <v>2</v>
      </c>
      <c r="AC126" s="58" t="s">
        <v>2</v>
      </c>
      <c r="AD126" s="33"/>
      <c r="AE126" s="31"/>
      <c r="AF126" s="21"/>
      <c r="AH126" s="16">
        <f t="shared" si="16"/>
        <v>0</v>
      </c>
      <c r="AI126" s="16">
        <f t="shared" si="17"/>
        <v>0</v>
      </c>
    </row>
    <row r="127" spans="1:35" ht="20.100000000000001" customHeight="1">
      <c r="A127" s="18" t="str">
        <f>ÖSSZES!$A$6</f>
        <v>Füredi Antal</v>
      </c>
      <c r="B127" s="59"/>
      <c r="C127" s="33"/>
      <c r="D127" s="58" t="s">
        <v>2</v>
      </c>
      <c r="E127" s="58" t="s">
        <v>2</v>
      </c>
      <c r="F127" s="33"/>
      <c r="G127" s="31"/>
      <c r="H127" s="33"/>
      <c r="I127" s="33"/>
      <c r="J127" s="33"/>
      <c r="K127" s="33"/>
      <c r="L127" s="58" t="s">
        <v>2</v>
      </c>
      <c r="M127" s="58" t="s">
        <v>2</v>
      </c>
      <c r="N127" s="33"/>
      <c r="O127" s="33"/>
      <c r="P127" s="31"/>
      <c r="Q127" s="33"/>
      <c r="R127" s="33"/>
      <c r="S127" s="33"/>
      <c r="T127" s="58" t="s">
        <v>2</v>
      </c>
      <c r="U127" s="58" t="s">
        <v>2</v>
      </c>
      <c r="V127" s="31"/>
      <c r="W127" s="33"/>
      <c r="X127" s="33"/>
      <c r="Y127" s="31"/>
      <c r="Z127" s="33"/>
      <c r="AA127" s="33"/>
      <c r="AB127" s="58" t="s">
        <v>2</v>
      </c>
      <c r="AC127" s="58" t="s">
        <v>2</v>
      </c>
      <c r="AD127" s="33"/>
      <c r="AE127" s="31"/>
      <c r="AF127" s="21"/>
      <c r="AH127" s="16">
        <f t="shared" si="16"/>
        <v>0</v>
      </c>
      <c r="AI127" s="16">
        <f t="shared" si="17"/>
        <v>0</v>
      </c>
    </row>
    <row r="128" spans="1:35" ht="20.100000000000001" customHeight="1">
      <c r="A128" s="18" t="str">
        <f>ÖSSZES!$A$7</f>
        <v>Iványi István</v>
      </c>
      <c r="B128" s="59"/>
      <c r="C128" s="33"/>
      <c r="D128" s="58" t="s">
        <v>2</v>
      </c>
      <c r="E128" s="58" t="s">
        <v>2</v>
      </c>
      <c r="F128" s="33"/>
      <c r="G128" s="31"/>
      <c r="H128" s="33"/>
      <c r="I128" s="33"/>
      <c r="J128" s="33"/>
      <c r="K128" s="33"/>
      <c r="L128" s="58" t="s">
        <v>2</v>
      </c>
      <c r="M128" s="58" t="s">
        <v>2</v>
      </c>
      <c r="N128" s="33"/>
      <c r="O128" s="33"/>
      <c r="P128" s="31"/>
      <c r="Q128" s="33"/>
      <c r="R128" s="33"/>
      <c r="S128" s="33"/>
      <c r="T128" s="58" t="s">
        <v>2</v>
      </c>
      <c r="U128" s="58" t="s">
        <v>2</v>
      </c>
      <c r="V128" s="31"/>
      <c r="W128" s="33"/>
      <c r="X128" s="33"/>
      <c r="Y128" s="31"/>
      <c r="Z128" s="33"/>
      <c r="AA128" s="33"/>
      <c r="AB128" s="58" t="s">
        <v>2</v>
      </c>
      <c r="AC128" s="58" t="s">
        <v>2</v>
      </c>
      <c r="AD128" s="33"/>
      <c r="AE128" s="31"/>
      <c r="AF128" s="21"/>
      <c r="AH128" s="16">
        <f t="shared" si="16"/>
        <v>0</v>
      </c>
      <c r="AI128" s="16">
        <f t="shared" si="17"/>
        <v>0</v>
      </c>
    </row>
    <row r="129" spans="1:35" ht="20.100000000000001" customHeight="1">
      <c r="A129" s="18" t="str">
        <f>ÖSSZES!$A$8</f>
        <v>Katonka Tibor</v>
      </c>
      <c r="B129" s="59"/>
      <c r="C129" s="33"/>
      <c r="D129" s="58" t="s">
        <v>2</v>
      </c>
      <c r="E129" s="58" t="s">
        <v>2</v>
      </c>
      <c r="F129" s="33"/>
      <c r="G129" s="31"/>
      <c r="H129" s="33"/>
      <c r="I129" s="33"/>
      <c r="J129" s="33"/>
      <c r="K129" s="33"/>
      <c r="L129" s="58" t="s">
        <v>2</v>
      </c>
      <c r="M129" s="58" t="s">
        <v>2</v>
      </c>
      <c r="N129" s="33"/>
      <c r="O129" s="33"/>
      <c r="P129" s="31"/>
      <c r="Q129" s="33"/>
      <c r="R129" s="33"/>
      <c r="S129" s="33"/>
      <c r="T129" s="58" t="s">
        <v>2</v>
      </c>
      <c r="U129" s="58" t="s">
        <v>2</v>
      </c>
      <c r="V129" s="31"/>
      <c r="W129" s="33"/>
      <c r="X129" s="33"/>
      <c r="Y129" s="31"/>
      <c r="Z129" s="33"/>
      <c r="AA129" s="33"/>
      <c r="AB129" s="58" t="s">
        <v>2</v>
      </c>
      <c r="AC129" s="58" t="s">
        <v>2</v>
      </c>
      <c r="AD129" s="33"/>
      <c r="AE129" s="31"/>
      <c r="AF129" s="21"/>
      <c r="AH129" s="16">
        <f t="shared" si="16"/>
        <v>0</v>
      </c>
      <c r="AI129" s="16">
        <f t="shared" si="17"/>
        <v>0</v>
      </c>
    </row>
    <row r="130" spans="1:35" ht="20.100000000000001" hidden="1" customHeight="1">
      <c r="A130" s="18" t="str">
        <f>ÖSSZES!$A$9</f>
        <v>Kiss János Tamás</v>
      </c>
      <c r="B130" s="59"/>
      <c r="C130" s="33"/>
      <c r="D130" s="58" t="s">
        <v>2</v>
      </c>
      <c r="E130" s="58" t="s">
        <v>2</v>
      </c>
      <c r="F130" s="33"/>
      <c r="G130" s="31"/>
      <c r="H130" s="33"/>
      <c r="I130" s="33"/>
      <c r="J130" s="33"/>
      <c r="K130" s="33"/>
      <c r="L130" s="58" t="s">
        <v>2</v>
      </c>
      <c r="M130" s="58" t="s">
        <v>2</v>
      </c>
      <c r="N130" s="33"/>
      <c r="O130" s="33"/>
      <c r="P130" s="31"/>
      <c r="Q130" s="33"/>
      <c r="R130" s="33"/>
      <c r="S130" s="33"/>
      <c r="T130" s="58" t="s">
        <v>2</v>
      </c>
      <c r="U130" s="58" t="s">
        <v>2</v>
      </c>
      <c r="V130" s="31"/>
      <c r="W130" s="33"/>
      <c r="X130" s="33"/>
      <c r="Y130" s="31"/>
      <c r="Z130" s="33"/>
      <c r="AA130" s="33"/>
      <c r="AB130" s="58" t="s">
        <v>2</v>
      </c>
      <c r="AC130" s="58" t="s">
        <v>2</v>
      </c>
      <c r="AD130" s="33"/>
      <c r="AE130" s="31"/>
      <c r="AF130" s="21"/>
      <c r="AH130" s="16">
        <f t="shared" si="16"/>
        <v>0</v>
      </c>
      <c r="AI130" s="16">
        <f t="shared" si="17"/>
        <v>0</v>
      </c>
    </row>
    <row r="131" spans="1:35" ht="20.100000000000001" customHeight="1">
      <c r="A131" s="18" t="str">
        <f>ÖSSZES!$A$10</f>
        <v>Vatamány Gergő</v>
      </c>
      <c r="B131" s="59"/>
      <c r="C131" s="33"/>
      <c r="D131" s="58" t="s">
        <v>2</v>
      </c>
      <c r="E131" s="58" t="s">
        <v>2</v>
      </c>
      <c r="F131" s="33"/>
      <c r="G131" s="31"/>
      <c r="H131" s="33"/>
      <c r="I131" s="33"/>
      <c r="J131" s="33"/>
      <c r="K131" s="33"/>
      <c r="L131" s="58" t="s">
        <v>2</v>
      </c>
      <c r="M131" s="58" t="s">
        <v>2</v>
      </c>
      <c r="N131" s="33"/>
      <c r="O131" s="33"/>
      <c r="P131" s="31"/>
      <c r="Q131" s="33"/>
      <c r="R131" s="33"/>
      <c r="S131" s="33"/>
      <c r="T131" s="58" t="s">
        <v>2</v>
      </c>
      <c r="U131" s="58" t="s">
        <v>2</v>
      </c>
      <c r="V131" s="31"/>
      <c r="W131" s="33"/>
      <c r="X131" s="33"/>
      <c r="Y131" s="31"/>
      <c r="Z131" s="33"/>
      <c r="AA131" s="33"/>
      <c r="AB131" s="58" t="s">
        <v>2</v>
      </c>
      <c r="AC131" s="58" t="s">
        <v>2</v>
      </c>
      <c r="AD131" s="33"/>
      <c r="AE131" s="31"/>
      <c r="AF131" s="21"/>
      <c r="AH131" s="16">
        <f t="shared" si="16"/>
        <v>0</v>
      </c>
      <c r="AI131" s="16">
        <f t="shared" si="17"/>
        <v>0</v>
      </c>
    </row>
    <row r="132" spans="1:35" ht="20.100000000000001" hidden="1" customHeight="1">
      <c r="A132" s="18" t="str">
        <f>ÖSSZES!$A$11</f>
        <v>Név9</v>
      </c>
      <c r="B132" s="59"/>
      <c r="C132" s="33"/>
      <c r="D132" s="58" t="s">
        <v>2</v>
      </c>
      <c r="E132" s="58" t="s">
        <v>2</v>
      </c>
      <c r="F132" s="33"/>
      <c r="G132" s="31"/>
      <c r="H132" s="33"/>
      <c r="I132" s="33"/>
      <c r="J132" s="33"/>
      <c r="K132" s="33"/>
      <c r="L132" s="58" t="s">
        <v>2</v>
      </c>
      <c r="M132" s="58" t="s">
        <v>2</v>
      </c>
      <c r="N132" s="33"/>
      <c r="O132" s="33"/>
      <c r="P132" s="31"/>
      <c r="Q132" s="33"/>
      <c r="R132" s="33"/>
      <c r="S132" s="33"/>
      <c r="T132" s="58" t="s">
        <v>2</v>
      </c>
      <c r="U132" s="58" t="s">
        <v>2</v>
      </c>
      <c r="V132" s="31"/>
      <c r="W132" s="33"/>
      <c r="X132" s="33"/>
      <c r="Y132" s="31"/>
      <c r="Z132" s="33"/>
      <c r="AA132" s="33"/>
      <c r="AB132" s="58" t="s">
        <v>2</v>
      </c>
      <c r="AC132" s="58" t="s">
        <v>2</v>
      </c>
      <c r="AD132" s="33"/>
      <c r="AE132" s="31"/>
      <c r="AF132" s="21"/>
      <c r="AH132" s="16">
        <f t="shared" si="16"/>
        <v>0</v>
      </c>
      <c r="AI132" s="16">
        <f t="shared" si="17"/>
        <v>0</v>
      </c>
    </row>
    <row r="133" spans="1:35" ht="20.100000000000001" hidden="1" customHeight="1">
      <c r="A133" s="18" t="str">
        <f>ÖSSZES!$A$12</f>
        <v>Név10</v>
      </c>
      <c r="B133" s="59"/>
      <c r="C133" s="33"/>
      <c r="D133" s="58" t="s">
        <v>2</v>
      </c>
      <c r="E133" s="58" t="s">
        <v>2</v>
      </c>
      <c r="F133" s="33"/>
      <c r="G133" s="31"/>
      <c r="H133" s="33"/>
      <c r="I133" s="33"/>
      <c r="J133" s="33"/>
      <c r="K133" s="33"/>
      <c r="L133" s="58" t="s">
        <v>2</v>
      </c>
      <c r="M133" s="58" t="s">
        <v>2</v>
      </c>
      <c r="N133" s="33"/>
      <c r="O133" s="33"/>
      <c r="P133" s="31"/>
      <c r="Q133" s="33"/>
      <c r="R133" s="33"/>
      <c r="S133" s="33"/>
      <c r="T133" s="58" t="s">
        <v>2</v>
      </c>
      <c r="U133" s="58" t="s">
        <v>2</v>
      </c>
      <c r="V133" s="31"/>
      <c r="W133" s="33"/>
      <c r="X133" s="33"/>
      <c r="Y133" s="31"/>
      <c r="Z133" s="33"/>
      <c r="AA133" s="33"/>
      <c r="AB133" s="58" t="s">
        <v>2</v>
      </c>
      <c r="AC133" s="58" t="s">
        <v>2</v>
      </c>
      <c r="AD133" s="33"/>
      <c r="AE133" s="31"/>
      <c r="AF133" s="21"/>
      <c r="AH133" s="16">
        <f t="shared" si="16"/>
        <v>0</v>
      </c>
      <c r="AI133" s="16">
        <f t="shared" si="17"/>
        <v>0</v>
      </c>
    </row>
    <row r="134" spans="1:35" ht="20.100000000000001" hidden="1" customHeight="1">
      <c r="A134" s="18" t="str">
        <f>ÖSSZES!$A$13</f>
        <v>Név11</v>
      </c>
      <c r="B134" s="59"/>
      <c r="C134" s="33"/>
      <c r="D134" s="58" t="s">
        <v>2</v>
      </c>
      <c r="E134" s="58" t="s">
        <v>2</v>
      </c>
      <c r="F134" s="33"/>
      <c r="G134" s="31"/>
      <c r="H134" s="33"/>
      <c r="I134" s="33"/>
      <c r="J134" s="33"/>
      <c r="K134" s="33"/>
      <c r="L134" s="58" t="s">
        <v>2</v>
      </c>
      <c r="M134" s="58" t="s">
        <v>2</v>
      </c>
      <c r="N134" s="33"/>
      <c r="O134" s="33"/>
      <c r="P134" s="31"/>
      <c r="Q134" s="33"/>
      <c r="R134" s="33"/>
      <c r="S134" s="33"/>
      <c r="T134" s="58" t="s">
        <v>2</v>
      </c>
      <c r="U134" s="58" t="s">
        <v>2</v>
      </c>
      <c r="V134" s="31"/>
      <c r="W134" s="33"/>
      <c r="X134" s="33"/>
      <c r="Y134" s="31"/>
      <c r="Z134" s="33"/>
      <c r="AA134" s="33"/>
      <c r="AB134" s="58" t="s">
        <v>2</v>
      </c>
      <c r="AC134" s="58" t="s">
        <v>2</v>
      </c>
      <c r="AD134" s="33"/>
      <c r="AE134" s="31"/>
      <c r="AF134" s="21"/>
      <c r="AH134" s="16">
        <f t="shared" si="16"/>
        <v>0</v>
      </c>
      <c r="AI134" s="16">
        <f t="shared" si="17"/>
        <v>0</v>
      </c>
    </row>
    <row r="135" spans="1:35" ht="20.100000000000001" hidden="1" customHeight="1">
      <c r="A135" s="18" t="str">
        <f>ÖSSZES!$A$14</f>
        <v>Név12</v>
      </c>
      <c r="B135" s="59"/>
      <c r="C135" s="33"/>
      <c r="D135" s="58" t="s">
        <v>2</v>
      </c>
      <c r="E135" s="58" t="s">
        <v>2</v>
      </c>
      <c r="F135" s="33"/>
      <c r="G135" s="31"/>
      <c r="H135" s="33"/>
      <c r="I135" s="33"/>
      <c r="J135" s="33"/>
      <c r="K135" s="33"/>
      <c r="L135" s="58" t="s">
        <v>2</v>
      </c>
      <c r="M135" s="58" t="s">
        <v>2</v>
      </c>
      <c r="N135" s="33"/>
      <c r="O135" s="33"/>
      <c r="P135" s="31"/>
      <c r="Q135" s="33"/>
      <c r="R135" s="33"/>
      <c r="S135" s="33"/>
      <c r="T135" s="58" t="s">
        <v>2</v>
      </c>
      <c r="U135" s="58" t="s">
        <v>2</v>
      </c>
      <c r="V135" s="31"/>
      <c r="W135" s="33"/>
      <c r="X135" s="33"/>
      <c r="Y135" s="31"/>
      <c r="Z135" s="33"/>
      <c r="AA135" s="33"/>
      <c r="AB135" s="58" t="s">
        <v>2</v>
      </c>
      <c r="AC135" s="58" t="s">
        <v>2</v>
      </c>
      <c r="AD135" s="33"/>
      <c r="AE135" s="31"/>
      <c r="AF135" s="21"/>
      <c r="AH135" s="16">
        <f t="shared" si="16"/>
        <v>0</v>
      </c>
      <c r="AI135" s="16">
        <f t="shared" si="17"/>
        <v>0</v>
      </c>
    </row>
    <row r="136" spans="1:35" ht="20.100000000000001" hidden="1" customHeight="1">
      <c r="A136" s="18" t="str">
        <f>ÖSSZES!$A$15</f>
        <v>Név13</v>
      </c>
      <c r="B136" s="59"/>
      <c r="C136" s="33"/>
      <c r="D136" s="58" t="s">
        <v>2</v>
      </c>
      <c r="E136" s="58" t="s">
        <v>2</v>
      </c>
      <c r="F136" s="33"/>
      <c r="G136" s="31"/>
      <c r="H136" s="33"/>
      <c r="I136" s="33"/>
      <c r="J136" s="33"/>
      <c r="K136" s="33"/>
      <c r="L136" s="58" t="s">
        <v>2</v>
      </c>
      <c r="M136" s="58" t="s">
        <v>2</v>
      </c>
      <c r="N136" s="33"/>
      <c r="O136" s="33"/>
      <c r="P136" s="31"/>
      <c r="Q136" s="33"/>
      <c r="R136" s="33"/>
      <c r="S136" s="33"/>
      <c r="T136" s="58" t="s">
        <v>2</v>
      </c>
      <c r="U136" s="58" t="s">
        <v>2</v>
      </c>
      <c r="V136" s="31"/>
      <c r="W136" s="33"/>
      <c r="X136" s="33"/>
      <c r="Y136" s="31"/>
      <c r="Z136" s="33"/>
      <c r="AA136" s="33"/>
      <c r="AB136" s="58" t="s">
        <v>2</v>
      </c>
      <c r="AC136" s="58" t="s">
        <v>2</v>
      </c>
      <c r="AD136" s="33"/>
      <c r="AE136" s="31"/>
      <c r="AF136" s="21"/>
      <c r="AH136" s="16">
        <f t="shared" si="16"/>
        <v>0</v>
      </c>
      <c r="AI136" s="16">
        <f t="shared" si="17"/>
        <v>0</v>
      </c>
    </row>
    <row r="137" spans="1:35" ht="20.100000000000001" hidden="1" customHeight="1">
      <c r="A137" s="18" t="str">
        <f>ÖSSZES!$A$16</f>
        <v>Név14</v>
      </c>
      <c r="B137" s="59"/>
      <c r="C137" s="33"/>
      <c r="D137" s="58" t="s">
        <v>2</v>
      </c>
      <c r="E137" s="58" t="s">
        <v>2</v>
      </c>
      <c r="F137" s="33"/>
      <c r="G137" s="31"/>
      <c r="H137" s="33"/>
      <c r="I137" s="33"/>
      <c r="J137" s="33"/>
      <c r="K137" s="33"/>
      <c r="L137" s="58" t="s">
        <v>2</v>
      </c>
      <c r="M137" s="58" t="s">
        <v>2</v>
      </c>
      <c r="N137" s="33"/>
      <c r="O137" s="33"/>
      <c r="P137" s="31"/>
      <c r="Q137" s="33"/>
      <c r="R137" s="33"/>
      <c r="S137" s="33"/>
      <c r="T137" s="58" t="s">
        <v>2</v>
      </c>
      <c r="U137" s="58" t="s">
        <v>2</v>
      </c>
      <c r="V137" s="31"/>
      <c r="W137" s="33"/>
      <c r="X137" s="33"/>
      <c r="Y137" s="31"/>
      <c r="Z137" s="33"/>
      <c r="AA137" s="33"/>
      <c r="AB137" s="58" t="s">
        <v>2</v>
      </c>
      <c r="AC137" s="58" t="s">
        <v>2</v>
      </c>
      <c r="AD137" s="33"/>
      <c r="AE137" s="31"/>
      <c r="AF137" s="21"/>
      <c r="AH137" s="16">
        <f t="shared" si="16"/>
        <v>0</v>
      </c>
      <c r="AI137" s="16">
        <f t="shared" si="17"/>
        <v>0</v>
      </c>
    </row>
    <row r="138" spans="1:35" ht="20.100000000000001" hidden="1" customHeight="1">
      <c r="A138" s="18" t="str">
        <f>ÖSSZES!$A$17</f>
        <v>Név15</v>
      </c>
      <c r="B138" s="59"/>
      <c r="C138" s="33"/>
      <c r="D138" s="58" t="s">
        <v>2</v>
      </c>
      <c r="E138" s="58" t="s">
        <v>2</v>
      </c>
      <c r="F138" s="33"/>
      <c r="G138" s="31"/>
      <c r="H138" s="33"/>
      <c r="I138" s="33"/>
      <c r="J138" s="33"/>
      <c r="K138" s="33"/>
      <c r="L138" s="58" t="s">
        <v>2</v>
      </c>
      <c r="M138" s="58" t="s">
        <v>2</v>
      </c>
      <c r="N138" s="33"/>
      <c r="O138" s="33"/>
      <c r="P138" s="31"/>
      <c r="Q138" s="33"/>
      <c r="R138" s="33"/>
      <c r="S138" s="33"/>
      <c r="T138" s="58" t="s">
        <v>2</v>
      </c>
      <c r="U138" s="58" t="s">
        <v>2</v>
      </c>
      <c r="V138" s="31"/>
      <c r="W138" s="33"/>
      <c r="X138" s="33"/>
      <c r="Y138" s="31"/>
      <c r="Z138" s="33"/>
      <c r="AA138" s="33"/>
      <c r="AB138" s="58" t="s">
        <v>2</v>
      </c>
      <c r="AC138" s="58" t="s">
        <v>2</v>
      </c>
      <c r="AD138" s="33"/>
      <c r="AE138" s="31"/>
      <c r="AF138" s="21"/>
      <c r="AH138" s="16">
        <f t="shared" si="16"/>
        <v>0</v>
      </c>
      <c r="AI138" s="16">
        <f t="shared" si="17"/>
        <v>0</v>
      </c>
    </row>
    <row r="139" spans="1:35" ht="20.100000000000001" hidden="1" customHeight="1">
      <c r="A139" s="18" t="str">
        <f>ÖSSZES!$A$18</f>
        <v>Név16</v>
      </c>
      <c r="B139" s="59"/>
      <c r="C139" s="33"/>
      <c r="D139" s="58" t="s">
        <v>2</v>
      </c>
      <c r="E139" s="58" t="s">
        <v>2</v>
      </c>
      <c r="F139" s="33"/>
      <c r="G139" s="31"/>
      <c r="H139" s="33"/>
      <c r="I139" s="33"/>
      <c r="J139" s="33"/>
      <c r="K139" s="33"/>
      <c r="L139" s="58" t="s">
        <v>2</v>
      </c>
      <c r="M139" s="58" t="s">
        <v>2</v>
      </c>
      <c r="N139" s="33"/>
      <c r="O139" s="33"/>
      <c r="P139" s="31"/>
      <c r="Q139" s="33"/>
      <c r="R139" s="33"/>
      <c r="S139" s="33"/>
      <c r="T139" s="58" t="s">
        <v>2</v>
      </c>
      <c r="U139" s="58" t="s">
        <v>2</v>
      </c>
      <c r="V139" s="31"/>
      <c r="W139" s="33"/>
      <c r="X139" s="33"/>
      <c r="Y139" s="31"/>
      <c r="Z139" s="33"/>
      <c r="AA139" s="33"/>
      <c r="AB139" s="58" t="s">
        <v>2</v>
      </c>
      <c r="AC139" s="58" t="s">
        <v>2</v>
      </c>
      <c r="AD139" s="33"/>
      <c r="AE139" s="31"/>
      <c r="AF139" s="21"/>
      <c r="AH139" s="16">
        <f t="shared" si="16"/>
        <v>0</v>
      </c>
      <c r="AI139" s="16">
        <f t="shared" si="17"/>
        <v>0</v>
      </c>
    </row>
    <row r="140" spans="1:35" ht="20.100000000000001" hidden="1" customHeight="1">
      <c r="A140" s="18" t="str">
        <f>ÖSSZES!$A$19</f>
        <v>Név17</v>
      </c>
      <c r="B140" s="59"/>
      <c r="C140" s="33"/>
      <c r="D140" s="58" t="s">
        <v>2</v>
      </c>
      <c r="E140" s="58" t="s">
        <v>2</v>
      </c>
      <c r="F140" s="33"/>
      <c r="G140" s="31"/>
      <c r="H140" s="33"/>
      <c r="I140" s="33"/>
      <c r="J140" s="33"/>
      <c r="K140" s="33"/>
      <c r="L140" s="58" t="s">
        <v>2</v>
      </c>
      <c r="M140" s="58" t="s">
        <v>2</v>
      </c>
      <c r="N140" s="33"/>
      <c r="O140" s="33"/>
      <c r="P140" s="31"/>
      <c r="Q140" s="33"/>
      <c r="R140" s="33"/>
      <c r="S140" s="33"/>
      <c r="T140" s="58" t="s">
        <v>2</v>
      </c>
      <c r="U140" s="58" t="s">
        <v>2</v>
      </c>
      <c r="V140" s="31"/>
      <c r="W140" s="33"/>
      <c r="X140" s="33"/>
      <c r="Y140" s="31"/>
      <c r="Z140" s="33"/>
      <c r="AA140" s="33"/>
      <c r="AB140" s="58" t="s">
        <v>2</v>
      </c>
      <c r="AC140" s="58" t="s">
        <v>2</v>
      </c>
      <c r="AD140" s="33"/>
      <c r="AE140" s="31"/>
      <c r="AF140" s="21"/>
      <c r="AH140" s="16">
        <f t="shared" si="16"/>
        <v>0</v>
      </c>
      <c r="AI140" s="16">
        <f t="shared" si="17"/>
        <v>0</v>
      </c>
    </row>
    <row r="141" spans="1:35" ht="20.100000000000001" hidden="1" customHeight="1">
      <c r="A141" s="18" t="str">
        <f>ÖSSZES!$A$20</f>
        <v>Név18</v>
      </c>
      <c r="B141" s="59"/>
      <c r="C141" s="33"/>
      <c r="D141" s="58" t="s">
        <v>2</v>
      </c>
      <c r="E141" s="58" t="s">
        <v>2</v>
      </c>
      <c r="F141" s="33"/>
      <c r="G141" s="31"/>
      <c r="H141" s="33"/>
      <c r="I141" s="33"/>
      <c r="J141" s="33"/>
      <c r="K141" s="33"/>
      <c r="L141" s="58" t="s">
        <v>2</v>
      </c>
      <c r="M141" s="58" t="s">
        <v>2</v>
      </c>
      <c r="N141" s="33"/>
      <c r="O141" s="33"/>
      <c r="P141" s="31"/>
      <c r="Q141" s="33"/>
      <c r="R141" s="33"/>
      <c r="S141" s="33"/>
      <c r="T141" s="58" t="s">
        <v>2</v>
      </c>
      <c r="U141" s="58" t="s">
        <v>2</v>
      </c>
      <c r="V141" s="31"/>
      <c r="W141" s="33"/>
      <c r="X141" s="33"/>
      <c r="Y141" s="31"/>
      <c r="Z141" s="33"/>
      <c r="AA141" s="33"/>
      <c r="AB141" s="58" t="s">
        <v>2</v>
      </c>
      <c r="AC141" s="58" t="s">
        <v>2</v>
      </c>
      <c r="AD141" s="33"/>
      <c r="AE141" s="31"/>
      <c r="AF141" s="21"/>
      <c r="AH141" s="16">
        <f t="shared" si="16"/>
        <v>0</v>
      </c>
      <c r="AI141" s="16">
        <f t="shared" si="17"/>
        <v>0</v>
      </c>
    </row>
    <row r="142" spans="1:35" ht="20.100000000000001" hidden="1" customHeight="1">
      <c r="A142" s="18" t="str">
        <f>ÖSSZES!$A$21</f>
        <v>Név19</v>
      </c>
      <c r="B142" s="59"/>
      <c r="C142" s="33"/>
      <c r="D142" s="58" t="s">
        <v>2</v>
      </c>
      <c r="E142" s="58" t="s">
        <v>2</v>
      </c>
      <c r="F142" s="33"/>
      <c r="G142" s="31"/>
      <c r="H142" s="33"/>
      <c r="I142" s="33"/>
      <c r="J142" s="33"/>
      <c r="K142" s="33"/>
      <c r="L142" s="58" t="s">
        <v>2</v>
      </c>
      <c r="M142" s="58" t="s">
        <v>2</v>
      </c>
      <c r="N142" s="33"/>
      <c r="O142" s="33"/>
      <c r="P142" s="31"/>
      <c r="Q142" s="33"/>
      <c r="R142" s="33"/>
      <c r="S142" s="33"/>
      <c r="T142" s="58" t="s">
        <v>2</v>
      </c>
      <c r="U142" s="58" t="s">
        <v>2</v>
      </c>
      <c r="V142" s="31"/>
      <c r="W142" s="33"/>
      <c r="X142" s="33"/>
      <c r="Y142" s="31"/>
      <c r="Z142" s="33"/>
      <c r="AA142" s="33"/>
      <c r="AB142" s="58" t="s">
        <v>2</v>
      </c>
      <c r="AC142" s="58" t="s">
        <v>2</v>
      </c>
      <c r="AD142" s="33"/>
      <c r="AE142" s="31"/>
      <c r="AF142" s="21"/>
      <c r="AH142" s="16">
        <f t="shared" si="16"/>
        <v>0</v>
      </c>
      <c r="AI142" s="16">
        <f t="shared" si="17"/>
        <v>0</v>
      </c>
    </row>
    <row r="143" spans="1:35" ht="20.100000000000001" hidden="1" customHeight="1">
      <c r="A143" s="18" t="str">
        <f>ÖSSZES!$A$17</f>
        <v>Név15</v>
      </c>
      <c r="B143" s="59"/>
      <c r="C143" s="33"/>
      <c r="D143" s="58" t="s">
        <v>2</v>
      </c>
      <c r="E143" s="58" t="s">
        <v>2</v>
      </c>
      <c r="F143" s="33"/>
      <c r="G143" s="31"/>
      <c r="H143" s="33"/>
      <c r="I143" s="33"/>
      <c r="J143" s="33"/>
      <c r="K143" s="33"/>
      <c r="L143" s="58" t="s">
        <v>2</v>
      </c>
      <c r="M143" s="58" t="s">
        <v>2</v>
      </c>
      <c r="N143" s="33"/>
      <c r="O143" s="33"/>
      <c r="P143" s="31"/>
      <c r="Q143" s="33"/>
      <c r="R143" s="33"/>
      <c r="S143" s="33"/>
      <c r="T143" s="58" t="s">
        <v>2</v>
      </c>
      <c r="U143" s="58" t="s">
        <v>2</v>
      </c>
      <c r="V143" s="31"/>
      <c r="W143" s="33"/>
      <c r="X143" s="33"/>
      <c r="Y143" s="31"/>
      <c r="Z143" s="33"/>
      <c r="AA143" s="33"/>
      <c r="AB143" s="58" t="s">
        <v>2</v>
      </c>
      <c r="AC143" s="58" t="s">
        <v>2</v>
      </c>
      <c r="AD143" s="33"/>
      <c r="AE143" s="31"/>
      <c r="AF143" s="21"/>
      <c r="AH143" s="16">
        <f t="shared" si="16"/>
        <v>0</v>
      </c>
      <c r="AI143" s="16">
        <f t="shared" si="17"/>
        <v>0</v>
      </c>
    </row>
    <row r="144" spans="1:35" ht="20.100000000000001" customHeight="1"/>
    <row r="145" spans="1:35" s="25" customFormat="1" ht="20.100000000000001" customHeight="1">
      <c r="A145" s="88" t="s">
        <v>11</v>
      </c>
      <c r="B145" s="24">
        <v>1</v>
      </c>
      <c r="C145" s="24">
        <v>2</v>
      </c>
      <c r="D145" s="24">
        <v>3</v>
      </c>
      <c r="E145" s="24">
        <v>4</v>
      </c>
      <c r="F145" s="24">
        <v>5</v>
      </c>
      <c r="G145" s="24">
        <v>6</v>
      </c>
      <c r="H145" s="24">
        <v>7</v>
      </c>
      <c r="I145" s="24">
        <v>8</v>
      </c>
      <c r="J145" s="24">
        <v>9</v>
      </c>
      <c r="K145" s="24">
        <v>10</v>
      </c>
      <c r="L145" s="24">
        <v>11</v>
      </c>
      <c r="M145" s="24">
        <v>12</v>
      </c>
      <c r="N145" s="24">
        <v>13</v>
      </c>
      <c r="O145" s="24">
        <v>14</v>
      </c>
      <c r="P145" s="24">
        <v>15</v>
      </c>
      <c r="Q145" s="24">
        <v>16</v>
      </c>
      <c r="R145" s="24">
        <v>17</v>
      </c>
      <c r="S145" s="24">
        <v>18</v>
      </c>
      <c r="T145" s="24">
        <v>19</v>
      </c>
      <c r="U145" s="24">
        <v>20</v>
      </c>
      <c r="V145" s="24">
        <v>21</v>
      </c>
      <c r="W145" s="24">
        <v>22</v>
      </c>
      <c r="X145" s="24">
        <v>23</v>
      </c>
      <c r="Y145" s="24">
        <v>24</v>
      </c>
      <c r="Z145" s="24">
        <v>25</v>
      </c>
      <c r="AA145" s="24">
        <v>26</v>
      </c>
      <c r="AB145" s="24">
        <v>27</v>
      </c>
      <c r="AC145" s="24">
        <v>28</v>
      </c>
      <c r="AD145" s="24">
        <v>29</v>
      </c>
      <c r="AE145" s="24">
        <v>30</v>
      </c>
      <c r="AF145" s="24">
        <v>31</v>
      </c>
      <c r="AH145" s="88" t="s">
        <v>18</v>
      </c>
      <c r="AI145" s="88" t="s">
        <v>19</v>
      </c>
    </row>
    <row r="146" spans="1:35" ht="20.100000000000001" customHeight="1">
      <c r="A146" s="90"/>
      <c r="B146" s="26" t="str">
        <f>'2020'!B52</f>
        <v>Sze</v>
      </c>
      <c r="C146" s="26" t="str">
        <f>'2020'!C52</f>
        <v>Cs</v>
      </c>
      <c r="D146" s="26" t="str">
        <f>'2020'!D52</f>
        <v>P</v>
      </c>
      <c r="E146" s="26" t="str">
        <f>'2020'!E52</f>
        <v>Szo</v>
      </c>
      <c r="F146" s="26" t="str">
        <f>'2020'!F52</f>
        <v>V</v>
      </c>
      <c r="G146" s="26" t="str">
        <f>'2020'!G52</f>
        <v>H</v>
      </c>
      <c r="H146" s="26" t="str">
        <f>'2020'!H52</f>
        <v>K</v>
      </c>
      <c r="I146" s="26" t="str">
        <f>'2020'!I52</f>
        <v>Sze</v>
      </c>
      <c r="J146" s="26" t="str">
        <f>'2020'!J52</f>
        <v>Cs</v>
      </c>
      <c r="K146" s="26" t="str">
        <f>'2020'!K52</f>
        <v>P</v>
      </c>
      <c r="L146" s="26" t="str">
        <f>'2020'!L52</f>
        <v>Szo</v>
      </c>
      <c r="M146" s="26" t="str">
        <f>'2020'!M52</f>
        <v>V</v>
      </c>
      <c r="N146" s="26" t="str">
        <f>'2020'!N52</f>
        <v>H</v>
      </c>
      <c r="O146" s="26" t="str">
        <f>'2020'!O52</f>
        <v>K</v>
      </c>
      <c r="P146" s="26" t="str">
        <f>'2020'!P52</f>
        <v>Sze</v>
      </c>
      <c r="Q146" s="26" t="str">
        <f>'2020'!Q52</f>
        <v>Cs</v>
      </c>
      <c r="R146" s="26" t="str">
        <f>'2020'!R52</f>
        <v>P</v>
      </c>
      <c r="S146" s="26" t="str">
        <f>'2020'!S52</f>
        <v>Szo</v>
      </c>
      <c r="T146" s="26" t="str">
        <f>'2020'!T52</f>
        <v>V</v>
      </c>
      <c r="U146" s="26" t="str">
        <f>'2020'!U52</f>
        <v>H</v>
      </c>
      <c r="V146" s="26" t="str">
        <f>'2020'!V52</f>
        <v>K</v>
      </c>
      <c r="W146" s="26" t="str">
        <f>'2020'!W52</f>
        <v>Sze</v>
      </c>
      <c r="X146" s="26" t="str">
        <f>'2020'!X52</f>
        <v>Cs</v>
      </c>
      <c r="Y146" s="26" t="str">
        <f>'2020'!Y52</f>
        <v>P</v>
      </c>
      <c r="Z146" s="26" t="str">
        <f>'2020'!Z52</f>
        <v>Szo</v>
      </c>
      <c r="AA146" s="26" t="str">
        <f>'2020'!AA52</f>
        <v>V</v>
      </c>
      <c r="AB146" s="26" t="str">
        <f>'2020'!AB52</f>
        <v>H</v>
      </c>
      <c r="AC146" s="26" t="str">
        <f>'2020'!AC52</f>
        <v>K</v>
      </c>
      <c r="AD146" s="26" t="str">
        <f>'2020'!AD52</f>
        <v>Sze</v>
      </c>
      <c r="AE146" s="26" t="str">
        <f>'2020'!AE52</f>
        <v>Cs</v>
      </c>
      <c r="AF146" s="26" t="str">
        <f>'2020'!AF52</f>
        <v>P</v>
      </c>
      <c r="AH146" s="89"/>
      <c r="AI146" s="89"/>
    </row>
    <row r="147" spans="1:35" ht="20.100000000000001" customHeight="1">
      <c r="A147" s="89"/>
      <c r="B147" s="26">
        <f>'2020'!B53</f>
        <v>1</v>
      </c>
      <c r="C147" s="26">
        <f>'2020'!C53</f>
        <v>1</v>
      </c>
      <c r="D147" s="26">
        <f>'2020'!D53</f>
        <v>1</v>
      </c>
      <c r="E147" s="26">
        <f>'2020'!E53</f>
        <v>1</v>
      </c>
      <c r="F147" s="26" t="str">
        <f>'2020'!F53</f>
        <v>X</v>
      </c>
      <c r="G147" s="26" t="str">
        <f>'2020'!G53</f>
        <v>X</v>
      </c>
      <c r="H147" s="26">
        <f>'2020'!H53</f>
        <v>3</v>
      </c>
      <c r="I147" s="26">
        <f>'2020'!I53</f>
        <v>3</v>
      </c>
      <c r="J147" s="26">
        <f>'2020'!J53</f>
        <v>3</v>
      </c>
      <c r="K147" s="26">
        <f>'2020'!K53</f>
        <v>3</v>
      </c>
      <c r="L147" s="26">
        <f>'2020'!L53</f>
        <v>3</v>
      </c>
      <c r="M147" s="26">
        <f>'2020'!M53</f>
        <v>3</v>
      </c>
      <c r="N147" s="26" t="str">
        <f>'2020'!N53</f>
        <v>X</v>
      </c>
      <c r="O147" s="26" t="str">
        <f>'2020'!O53</f>
        <v>X</v>
      </c>
      <c r="P147" s="26">
        <f>'2020'!P53</f>
        <v>2</v>
      </c>
      <c r="Q147" s="26">
        <f>'2020'!Q53</f>
        <v>2</v>
      </c>
      <c r="R147" s="26">
        <f>'2020'!R53</f>
        <v>2</v>
      </c>
      <c r="S147" s="26">
        <f>'2020'!S53</f>
        <v>2</v>
      </c>
      <c r="T147" s="26">
        <f>'2020'!T53</f>
        <v>2</v>
      </c>
      <c r="U147" s="26">
        <f>'2020'!U53</f>
        <v>2</v>
      </c>
      <c r="V147" s="26" t="str">
        <f>'2020'!V53</f>
        <v>X</v>
      </c>
      <c r="W147" s="26" t="str">
        <f>'2020'!W53</f>
        <v>X</v>
      </c>
      <c r="X147" s="26">
        <f>'2020'!X53</f>
        <v>1</v>
      </c>
      <c r="Y147" s="26">
        <f>'2020'!Y53</f>
        <v>1</v>
      </c>
      <c r="Z147" s="26">
        <f>'2020'!Z53</f>
        <v>1</v>
      </c>
      <c r="AA147" s="26">
        <f>'2020'!AA53</f>
        <v>1</v>
      </c>
      <c r="AB147" s="26">
        <f>'2020'!AB53</f>
        <v>1</v>
      </c>
      <c r="AC147" s="26">
        <f>'2020'!AC53</f>
        <v>1</v>
      </c>
      <c r="AD147" s="26" t="str">
        <f>'2020'!AD53</f>
        <v>X</v>
      </c>
      <c r="AE147" s="26" t="str">
        <f>'2020'!AE53</f>
        <v>X</v>
      </c>
      <c r="AF147" s="26">
        <f>'2020'!AF53</f>
        <v>3</v>
      </c>
      <c r="AH147" s="89"/>
      <c r="AI147" s="89"/>
    </row>
    <row r="148" spans="1:35" ht="20.100000000000001" customHeight="1">
      <c r="A148" s="18" t="str">
        <f>ÖSSZES!$A$3</f>
        <v>Csuka Lajos</v>
      </c>
      <c r="B148" s="31"/>
      <c r="C148" s="31"/>
      <c r="D148" s="33"/>
      <c r="E148" s="33"/>
      <c r="F148" s="58" t="s">
        <v>2</v>
      </c>
      <c r="G148" s="58" t="s">
        <v>2</v>
      </c>
      <c r="H148" s="33"/>
      <c r="I148" s="31"/>
      <c r="J148" s="33"/>
      <c r="K148" s="31"/>
      <c r="L148" s="33"/>
      <c r="M148" s="33"/>
      <c r="N148" s="58" t="s">
        <v>2</v>
      </c>
      <c r="O148" s="58" t="s">
        <v>2</v>
      </c>
      <c r="P148" s="33"/>
      <c r="Q148" s="31"/>
      <c r="R148" s="33"/>
      <c r="S148" s="31"/>
      <c r="T148" s="33"/>
      <c r="U148" s="33"/>
      <c r="V148" s="58" t="s">
        <v>2</v>
      </c>
      <c r="W148" s="58" t="s">
        <v>2</v>
      </c>
      <c r="X148" s="33"/>
      <c r="Y148" s="31"/>
      <c r="Z148" s="33"/>
      <c r="AA148" s="31"/>
      <c r="AB148" s="33"/>
      <c r="AC148" s="33"/>
      <c r="AD148" s="58" t="s">
        <v>2</v>
      </c>
      <c r="AE148" s="58" t="s">
        <v>2</v>
      </c>
      <c r="AF148" s="31"/>
      <c r="AH148" s="16">
        <f>1*COUNTIF(A148:AF148,"+")</f>
        <v>0</v>
      </c>
      <c r="AI148" s="16">
        <f t="shared" ref="AI148" si="18">1*COUNTIF(B148:AF148,"szf")</f>
        <v>0</v>
      </c>
    </row>
    <row r="149" spans="1:35" ht="20.100000000000001" customHeight="1">
      <c r="A149" s="18" t="str">
        <f>ÖSSZES!$A$4</f>
        <v>Batiz Attila</v>
      </c>
      <c r="B149" s="31"/>
      <c r="C149" s="31"/>
      <c r="D149" s="33"/>
      <c r="E149" s="33"/>
      <c r="F149" s="58" t="s">
        <v>2</v>
      </c>
      <c r="G149" s="58" t="s">
        <v>2</v>
      </c>
      <c r="H149" s="33"/>
      <c r="I149" s="31"/>
      <c r="J149" s="33"/>
      <c r="K149" s="31"/>
      <c r="L149" s="33"/>
      <c r="M149" s="33"/>
      <c r="N149" s="58" t="s">
        <v>2</v>
      </c>
      <c r="O149" s="58" t="s">
        <v>2</v>
      </c>
      <c r="P149" s="33"/>
      <c r="Q149" s="31"/>
      <c r="R149" s="33"/>
      <c r="S149" s="31"/>
      <c r="T149" s="33"/>
      <c r="U149" s="33"/>
      <c r="V149" s="58" t="s">
        <v>2</v>
      </c>
      <c r="W149" s="58" t="s">
        <v>2</v>
      </c>
      <c r="X149" s="33"/>
      <c r="Y149" s="31"/>
      <c r="Z149" s="33"/>
      <c r="AA149" s="31"/>
      <c r="AB149" s="33"/>
      <c r="AC149" s="33"/>
      <c r="AD149" s="58" t="s">
        <v>2</v>
      </c>
      <c r="AE149" s="58" t="s">
        <v>2</v>
      </c>
      <c r="AF149" s="31"/>
      <c r="AH149" s="16">
        <f t="shared" ref="AH149:AH167" si="19">1*COUNTIF(A149:AF149,"+")</f>
        <v>0</v>
      </c>
      <c r="AI149" s="16">
        <f t="shared" ref="AI149:AI167" si="20">1*COUNTIF(B149:AF149,"szf")</f>
        <v>0</v>
      </c>
    </row>
    <row r="150" spans="1:35" ht="20.100000000000001" customHeight="1">
      <c r="A150" s="18" t="str">
        <f>ÖSSZES!$A$5</f>
        <v>Mizsák Péter</v>
      </c>
      <c r="B150" s="31"/>
      <c r="C150" s="31"/>
      <c r="D150" s="33"/>
      <c r="E150" s="33"/>
      <c r="F150" s="58" t="s">
        <v>2</v>
      </c>
      <c r="G150" s="58" t="s">
        <v>2</v>
      </c>
      <c r="H150" s="33"/>
      <c r="I150" s="31"/>
      <c r="J150" s="33"/>
      <c r="K150" s="31"/>
      <c r="L150" s="33"/>
      <c r="M150" s="33"/>
      <c r="N150" s="58" t="s">
        <v>2</v>
      </c>
      <c r="O150" s="58" t="s">
        <v>2</v>
      </c>
      <c r="P150" s="33"/>
      <c r="Q150" s="31"/>
      <c r="R150" s="33"/>
      <c r="S150" s="31"/>
      <c r="T150" s="33"/>
      <c r="U150" s="33"/>
      <c r="V150" s="58" t="s">
        <v>2</v>
      </c>
      <c r="W150" s="58" t="s">
        <v>2</v>
      </c>
      <c r="X150" s="33"/>
      <c r="Y150" s="31"/>
      <c r="Z150" s="33"/>
      <c r="AA150" s="31"/>
      <c r="AB150" s="33"/>
      <c r="AC150" s="33"/>
      <c r="AD150" s="58" t="s">
        <v>2</v>
      </c>
      <c r="AE150" s="58" t="s">
        <v>2</v>
      </c>
      <c r="AF150" s="31"/>
      <c r="AH150" s="16">
        <f t="shared" si="19"/>
        <v>0</v>
      </c>
      <c r="AI150" s="16">
        <f t="shared" si="20"/>
        <v>0</v>
      </c>
    </row>
    <row r="151" spans="1:35" ht="20.100000000000001" customHeight="1">
      <c r="A151" s="18" t="str">
        <f>ÖSSZES!$A$6</f>
        <v>Füredi Antal</v>
      </c>
      <c r="B151" s="31"/>
      <c r="C151" s="31"/>
      <c r="D151" s="33"/>
      <c r="E151" s="33"/>
      <c r="F151" s="58" t="s">
        <v>2</v>
      </c>
      <c r="G151" s="58" t="s">
        <v>2</v>
      </c>
      <c r="H151" s="33"/>
      <c r="I151" s="31"/>
      <c r="J151" s="33"/>
      <c r="K151" s="31"/>
      <c r="L151" s="33"/>
      <c r="M151" s="33"/>
      <c r="N151" s="58" t="s">
        <v>2</v>
      </c>
      <c r="O151" s="58" t="s">
        <v>2</v>
      </c>
      <c r="P151" s="33"/>
      <c r="Q151" s="31"/>
      <c r="R151" s="33"/>
      <c r="S151" s="31"/>
      <c r="T151" s="33"/>
      <c r="U151" s="33"/>
      <c r="V151" s="58" t="s">
        <v>2</v>
      </c>
      <c r="W151" s="58" t="s">
        <v>2</v>
      </c>
      <c r="X151" s="33"/>
      <c r="Y151" s="31"/>
      <c r="Z151" s="33"/>
      <c r="AA151" s="31"/>
      <c r="AB151" s="33"/>
      <c r="AC151" s="33"/>
      <c r="AD151" s="58" t="s">
        <v>2</v>
      </c>
      <c r="AE151" s="58" t="s">
        <v>2</v>
      </c>
      <c r="AF151" s="31"/>
      <c r="AH151" s="16">
        <f t="shared" si="19"/>
        <v>0</v>
      </c>
      <c r="AI151" s="16">
        <f t="shared" si="20"/>
        <v>0</v>
      </c>
    </row>
    <row r="152" spans="1:35" ht="20.100000000000001" customHeight="1">
      <c r="A152" s="18" t="str">
        <f>ÖSSZES!$A$7</f>
        <v>Iványi István</v>
      </c>
      <c r="B152" s="31"/>
      <c r="C152" s="31"/>
      <c r="D152" s="33"/>
      <c r="E152" s="33"/>
      <c r="F152" s="58" t="s">
        <v>2</v>
      </c>
      <c r="G152" s="58" t="s">
        <v>2</v>
      </c>
      <c r="H152" s="33"/>
      <c r="I152" s="31"/>
      <c r="J152" s="33"/>
      <c r="K152" s="31"/>
      <c r="L152" s="33"/>
      <c r="M152" s="33"/>
      <c r="N152" s="58" t="s">
        <v>2</v>
      </c>
      <c r="O152" s="58" t="s">
        <v>2</v>
      </c>
      <c r="P152" s="33"/>
      <c r="Q152" s="31"/>
      <c r="R152" s="33"/>
      <c r="S152" s="31"/>
      <c r="T152" s="33"/>
      <c r="U152" s="33"/>
      <c r="V152" s="58" t="s">
        <v>2</v>
      </c>
      <c r="W152" s="58" t="s">
        <v>2</v>
      </c>
      <c r="X152" s="33"/>
      <c r="Y152" s="31"/>
      <c r="Z152" s="33"/>
      <c r="AA152" s="31"/>
      <c r="AB152" s="33"/>
      <c r="AC152" s="33"/>
      <c r="AD152" s="58" t="s">
        <v>2</v>
      </c>
      <c r="AE152" s="58" t="s">
        <v>2</v>
      </c>
      <c r="AF152" s="31"/>
      <c r="AH152" s="16">
        <f t="shared" si="19"/>
        <v>0</v>
      </c>
      <c r="AI152" s="16">
        <f t="shared" si="20"/>
        <v>0</v>
      </c>
    </row>
    <row r="153" spans="1:35" ht="20.100000000000001" customHeight="1">
      <c r="A153" s="18" t="str">
        <f>ÖSSZES!$A$8</f>
        <v>Katonka Tibor</v>
      </c>
      <c r="B153" s="31"/>
      <c r="C153" s="31"/>
      <c r="D153" s="33"/>
      <c r="E153" s="33"/>
      <c r="F153" s="58" t="s">
        <v>2</v>
      </c>
      <c r="G153" s="58" t="s">
        <v>2</v>
      </c>
      <c r="H153" s="33"/>
      <c r="I153" s="31"/>
      <c r="J153" s="33"/>
      <c r="K153" s="31"/>
      <c r="L153" s="33"/>
      <c r="M153" s="33"/>
      <c r="N153" s="58" t="s">
        <v>2</v>
      </c>
      <c r="O153" s="58" t="s">
        <v>2</v>
      </c>
      <c r="P153" s="33"/>
      <c r="Q153" s="31"/>
      <c r="R153" s="33"/>
      <c r="S153" s="31"/>
      <c r="T153" s="33"/>
      <c r="U153" s="33"/>
      <c r="V153" s="58" t="s">
        <v>2</v>
      </c>
      <c r="W153" s="58" t="s">
        <v>2</v>
      </c>
      <c r="X153" s="33"/>
      <c r="Y153" s="31"/>
      <c r="Z153" s="33"/>
      <c r="AA153" s="31"/>
      <c r="AB153" s="33"/>
      <c r="AC153" s="33"/>
      <c r="AD153" s="58" t="s">
        <v>2</v>
      </c>
      <c r="AE153" s="58" t="s">
        <v>2</v>
      </c>
      <c r="AF153" s="31"/>
      <c r="AH153" s="16">
        <f t="shared" si="19"/>
        <v>0</v>
      </c>
      <c r="AI153" s="16">
        <f t="shared" si="20"/>
        <v>0</v>
      </c>
    </row>
    <row r="154" spans="1:35" ht="20.100000000000001" hidden="1" customHeight="1">
      <c r="A154" s="18" t="str">
        <f>ÖSSZES!$A$9</f>
        <v>Kiss János Tamás</v>
      </c>
      <c r="B154" s="31"/>
      <c r="C154" s="31"/>
      <c r="D154" s="33"/>
      <c r="E154" s="33"/>
      <c r="F154" s="58" t="s">
        <v>2</v>
      </c>
      <c r="G154" s="58" t="s">
        <v>2</v>
      </c>
      <c r="H154" s="33"/>
      <c r="I154" s="31"/>
      <c r="J154" s="33"/>
      <c r="K154" s="31"/>
      <c r="L154" s="33"/>
      <c r="M154" s="33"/>
      <c r="N154" s="58" t="s">
        <v>2</v>
      </c>
      <c r="O154" s="58" t="s">
        <v>2</v>
      </c>
      <c r="P154" s="33"/>
      <c r="Q154" s="31"/>
      <c r="R154" s="33"/>
      <c r="S154" s="31"/>
      <c r="T154" s="33"/>
      <c r="U154" s="33"/>
      <c r="V154" s="58" t="s">
        <v>2</v>
      </c>
      <c r="W154" s="58" t="s">
        <v>2</v>
      </c>
      <c r="X154" s="33"/>
      <c r="Y154" s="31"/>
      <c r="Z154" s="33"/>
      <c r="AA154" s="31"/>
      <c r="AB154" s="33"/>
      <c r="AC154" s="33"/>
      <c r="AD154" s="58" t="s">
        <v>2</v>
      </c>
      <c r="AE154" s="58" t="s">
        <v>2</v>
      </c>
      <c r="AF154" s="31"/>
      <c r="AH154" s="16">
        <f t="shared" si="19"/>
        <v>0</v>
      </c>
      <c r="AI154" s="16">
        <f t="shared" si="20"/>
        <v>0</v>
      </c>
    </row>
    <row r="155" spans="1:35" ht="20.100000000000001" customHeight="1">
      <c r="A155" s="18" t="str">
        <f>ÖSSZES!$A$10</f>
        <v>Vatamány Gergő</v>
      </c>
      <c r="B155" s="31"/>
      <c r="C155" s="31"/>
      <c r="D155" s="33"/>
      <c r="E155" s="33"/>
      <c r="F155" s="58" t="s">
        <v>2</v>
      </c>
      <c r="G155" s="58" t="s">
        <v>2</v>
      </c>
      <c r="H155" s="33"/>
      <c r="I155" s="31"/>
      <c r="J155" s="33"/>
      <c r="K155" s="31"/>
      <c r="L155" s="33"/>
      <c r="M155" s="33"/>
      <c r="N155" s="58" t="s">
        <v>2</v>
      </c>
      <c r="O155" s="58" t="s">
        <v>2</v>
      </c>
      <c r="P155" s="33"/>
      <c r="Q155" s="31"/>
      <c r="R155" s="33"/>
      <c r="S155" s="31"/>
      <c r="T155" s="33"/>
      <c r="U155" s="33"/>
      <c r="V155" s="58" t="s">
        <v>2</v>
      </c>
      <c r="W155" s="58" t="s">
        <v>2</v>
      </c>
      <c r="X155" s="33"/>
      <c r="Y155" s="31"/>
      <c r="Z155" s="33"/>
      <c r="AA155" s="31"/>
      <c r="AB155" s="33"/>
      <c r="AC155" s="33"/>
      <c r="AD155" s="58" t="s">
        <v>2</v>
      </c>
      <c r="AE155" s="58" t="s">
        <v>2</v>
      </c>
      <c r="AF155" s="31"/>
      <c r="AH155" s="16">
        <f t="shared" si="19"/>
        <v>0</v>
      </c>
      <c r="AI155" s="16">
        <f t="shared" si="20"/>
        <v>0</v>
      </c>
    </row>
    <row r="156" spans="1:35" ht="20.100000000000001" hidden="1" customHeight="1">
      <c r="A156" s="18" t="str">
        <f>ÖSSZES!$A$11</f>
        <v>Név9</v>
      </c>
      <c r="B156" s="31"/>
      <c r="C156" s="31"/>
      <c r="D156" s="33"/>
      <c r="E156" s="33"/>
      <c r="F156" s="58" t="s">
        <v>2</v>
      </c>
      <c r="G156" s="58" t="s">
        <v>2</v>
      </c>
      <c r="H156" s="33"/>
      <c r="I156" s="31"/>
      <c r="J156" s="33"/>
      <c r="K156" s="31"/>
      <c r="L156" s="33"/>
      <c r="M156" s="33"/>
      <c r="N156" s="58" t="s">
        <v>2</v>
      </c>
      <c r="O156" s="58" t="s">
        <v>2</v>
      </c>
      <c r="P156" s="33"/>
      <c r="Q156" s="31"/>
      <c r="R156" s="33"/>
      <c r="S156" s="31"/>
      <c r="T156" s="33"/>
      <c r="U156" s="33"/>
      <c r="V156" s="58" t="s">
        <v>2</v>
      </c>
      <c r="W156" s="58" t="s">
        <v>2</v>
      </c>
      <c r="X156" s="33"/>
      <c r="Y156" s="31"/>
      <c r="Z156" s="33"/>
      <c r="AA156" s="31"/>
      <c r="AB156" s="33"/>
      <c r="AC156" s="33"/>
      <c r="AD156" s="58" t="s">
        <v>2</v>
      </c>
      <c r="AE156" s="58" t="s">
        <v>2</v>
      </c>
      <c r="AF156" s="31"/>
      <c r="AH156" s="16">
        <f t="shared" si="19"/>
        <v>0</v>
      </c>
      <c r="AI156" s="16">
        <f t="shared" si="20"/>
        <v>0</v>
      </c>
    </row>
    <row r="157" spans="1:35" ht="20.100000000000001" hidden="1" customHeight="1">
      <c r="A157" s="18" t="str">
        <f>ÖSSZES!$A$12</f>
        <v>Név10</v>
      </c>
      <c r="B157" s="31"/>
      <c r="C157" s="31"/>
      <c r="D157" s="33"/>
      <c r="E157" s="33"/>
      <c r="F157" s="58" t="s">
        <v>2</v>
      </c>
      <c r="G157" s="58" t="s">
        <v>2</v>
      </c>
      <c r="H157" s="33"/>
      <c r="I157" s="31"/>
      <c r="J157" s="33"/>
      <c r="K157" s="31"/>
      <c r="L157" s="33"/>
      <c r="M157" s="33"/>
      <c r="N157" s="58" t="s">
        <v>2</v>
      </c>
      <c r="O157" s="58" t="s">
        <v>2</v>
      </c>
      <c r="P157" s="33"/>
      <c r="Q157" s="31"/>
      <c r="R157" s="33"/>
      <c r="S157" s="31"/>
      <c r="T157" s="33"/>
      <c r="U157" s="33"/>
      <c r="V157" s="58" t="s">
        <v>2</v>
      </c>
      <c r="W157" s="58" t="s">
        <v>2</v>
      </c>
      <c r="X157" s="33"/>
      <c r="Y157" s="31"/>
      <c r="Z157" s="33"/>
      <c r="AA157" s="31"/>
      <c r="AB157" s="33"/>
      <c r="AC157" s="33"/>
      <c r="AD157" s="58" t="s">
        <v>2</v>
      </c>
      <c r="AE157" s="58" t="s">
        <v>2</v>
      </c>
      <c r="AF157" s="31"/>
      <c r="AH157" s="16">
        <f t="shared" si="19"/>
        <v>0</v>
      </c>
      <c r="AI157" s="16">
        <f t="shared" si="20"/>
        <v>0</v>
      </c>
    </row>
    <row r="158" spans="1:35" ht="20.100000000000001" hidden="1" customHeight="1">
      <c r="A158" s="18" t="str">
        <f>ÖSSZES!$A$13</f>
        <v>Név11</v>
      </c>
      <c r="B158" s="31"/>
      <c r="C158" s="31"/>
      <c r="D158" s="33"/>
      <c r="E158" s="33"/>
      <c r="F158" s="58" t="s">
        <v>2</v>
      </c>
      <c r="G158" s="58" t="s">
        <v>2</v>
      </c>
      <c r="H158" s="33"/>
      <c r="I158" s="31"/>
      <c r="J158" s="33"/>
      <c r="K158" s="31"/>
      <c r="L158" s="33"/>
      <c r="M158" s="33"/>
      <c r="N158" s="58" t="s">
        <v>2</v>
      </c>
      <c r="O158" s="58" t="s">
        <v>2</v>
      </c>
      <c r="P158" s="33"/>
      <c r="Q158" s="31"/>
      <c r="R158" s="33"/>
      <c r="S158" s="31"/>
      <c r="T158" s="33"/>
      <c r="U158" s="33"/>
      <c r="V158" s="58" t="s">
        <v>2</v>
      </c>
      <c r="W158" s="58" t="s">
        <v>2</v>
      </c>
      <c r="X158" s="33"/>
      <c r="Y158" s="31"/>
      <c r="Z158" s="33"/>
      <c r="AA158" s="31"/>
      <c r="AB158" s="33"/>
      <c r="AC158" s="33"/>
      <c r="AD158" s="58" t="s">
        <v>2</v>
      </c>
      <c r="AE158" s="58" t="s">
        <v>2</v>
      </c>
      <c r="AF158" s="31"/>
      <c r="AH158" s="16">
        <f t="shared" si="19"/>
        <v>0</v>
      </c>
      <c r="AI158" s="16">
        <f t="shared" si="20"/>
        <v>0</v>
      </c>
    </row>
    <row r="159" spans="1:35" ht="20.100000000000001" hidden="1" customHeight="1">
      <c r="A159" s="18" t="str">
        <f>ÖSSZES!$A$14</f>
        <v>Név12</v>
      </c>
      <c r="B159" s="31"/>
      <c r="C159" s="31"/>
      <c r="D159" s="33"/>
      <c r="E159" s="33"/>
      <c r="F159" s="58" t="s">
        <v>2</v>
      </c>
      <c r="G159" s="58" t="s">
        <v>2</v>
      </c>
      <c r="H159" s="33"/>
      <c r="I159" s="31"/>
      <c r="J159" s="33"/>
      <c r="K159" s="31"/>
      <c r="L159" s="33"/>
      <c r="M159" s="33"/>
      <c r="N159" s="58" t="s">
        <v>2</v>
      </c>
      <c r="O159" s="58" t="s">
        <v>2</v>
      </c>
      <c r="P159" s="33"/>
      <c r="Q159" s="31"/>
      <c r="R159" s="33"/>
      <c r="S159" s="31"/>
      <c r="T159" s="33"/>
      <c r="U159" s="33"/>
      <c r="V159" s="58" t="s">
        <v>2</v>
      </c>
      <c r="W159" s="58" t="s">
        <v>2</v>
      </c>
      <c r="X159" s="33"/>
      <c r="Y159" s="31"/>
      <c r="Z159" s="33"/>
      <c r="AA159" s="31"/>
      <c r="AB159" s="33"/>
      <c r="AC159" s="33"/>
      <c r="AD159" s="58" t="s">
        <v>2</v>
      </c>
      <c r="AE159" s="58" t="s">
        <v>2</v>
      </c>
      <c r="AF159" s="31"/>
      <c r="AH159" s="16">
        <f t="shared" si="19"/>
        <v>0</v>
      </c>
      <c r="AI159" s="16">
        <f t="shared" si="20"/>
        <v>0</v>
      </c>
    </row>
    <row r="160" spans="1:35" ht="20.100000000000001" hidden="1" customHeight="1">
      <c r="A160" s="18" t="str">
        <f>ÖSSZES!$A$15</f>
        <v>Név13</v>
      </c>
      <c r="B160" s="31"/>
      <c r="C160" s="31"/>
      <c r="D160" s="33"/>
      <c r="E160" s="33"/>
      <c r="F160" s="58" t="s">
        <v>2</v>
      </c>
      <c r="G160" s="58" t="s">
        <v>2</v>
      </c>
      <c r="H160" s="33"/>
      <c r="I160" s="31"/>
      <c r="J160" s="33"/>
      <c r="K160" s="31"/>
      <c r="L160" s="33"/>
      <c r="M160" s="33"/>
      <c r="N160" s="58" t="s">
        <v>2</v>
      </c>
      <c r="O160" s="58" t="s">
        <v>2</v>
      </c>
      <c r="P160" s="33"/>
      <c r="Q160" s="31"/>
      <c r="R160" s="33"/>
      <c r="S160" s="31"/>
      <c r="T160" s="33"/>
      <c r="U160" s="33"/>
      <c r="V160" s="58" t="s">
        <v>2</v>
      </c>
      <c r="W160" s="58" t="s">
        <v>2</v>
      </c>
      <c r="X160" s="33"/>
      <c r="Y160" s="31"/>
      <c r="Z160" s="33"/>
      <c r="AA160" s="31"/>
      <c r="AB160" s="33"/>
      <c r="AC160" s="33"/>
      <c r="AD160" s="58" t="s">
        <v>2</v>
      </c>
      <c r="AE160" s="58" t="s">
        <v>2</v>
      </c>
      <c r="AF160" s="31"/>
      <c r="AH160" s="16">
        <f t="shared" si="19"/>
        <v>0</v>
      </c>
      <c r="AI160" s="16">
        <f t="shared" si="20"/>
        <v>0</v>
      </c>
    </row>
    <row r="161" spans="1:35" ht="20.100000000000001" hidden="1" customHeight="1">
      <c r="A161" s="18" t="str">
        <f>ÖSSZES!$A$16</f>
        <v>Név14</v>
      </c>
      <c r="B161" s="31"/>
      <c r="C161" s="31"/>
      <c r="D161" s="33"/>
      <c r="E161" s="33"/>
      <c r="F161" s="58" t="s">
        <v>2</v>
      </c>
      <c r="G161" s="58" t="s">
        <v>2</v>
      </c>
      <c r="H161" s="33"/>
      <c r="I161" s="31"/>
      <c r="J161" s="33"/>
      <c r="K161" s="31"/>
      <c r="L161" s="33"/>
      <c r="M161" s="33"/>
      <c r="N161" s="58" t="s">
        <v>2</v>
      </c>
      <c r="O161" s="58" t="s">
        <v>2</v>
      </c>
      <c r="P161" s="33"/>
      <c r="Q161" s="31"/>
      <c r="R161" s="33"/>
      <c r="S161" s="31"/>
      <c r="T161" s="33"/>
      <c r="U161" s="33"/>
      <c r="V161" s="58" t="s">
        <v>2</v>
      </c>
      <c r="W161" s="58" t="s">
        <v>2</v>
      </c>
      <c r="X161" s="33"/>
      <c r="Y161" s="31"/>
      <c r="Z161" s="33"/>
      <c r="AA161" s="31"/>
      <c r="AB161" s="33"/>
      <c r="AC161" s="33"/>
      <c r="AD161" s="58" t="s">
        <v>2</v>
      </c>
      <c r="AE161" s="58" t="s">
        <v>2</v>
      </c>
      <c r="AF161" s="31"/>
      <c r="AH161" s="16">
        <f t="shared" si="19"/>
        <v>0</v>
      </c>
      <c r="AI161" s="16">
        <f t="shared" si="20"/>
        <v>0</v>
      </c>
    </row>
    <row r="162" spans="1:35" ht="20.100000000000001" hidden="1" customHeight="1">
      <c r="A162" s="18" t="str">
        <f>ÖSSZES!$A$17</f>
        <v>Név15</v>
      </c>
      <c r="B162" s="31"/>
      <c r="C162" s="31"/>
      <c r="D162" s="33"/>
      <c r="E162" s="33"/>
      <c r="F162" s="58" t="s">
        <v>2</v>
      </c>
      <c r="G162" s="58" t="s">
        <v>2</v>
      </c>
      <c r="H162" s="33"/>
      <c r="I162" s="31"/>
      <c r="J162" s="33"/>
      <c r="K162" s="31"/>
      <c r="L162" s="33"/>
      <c r="M162" s="33"/>
      <c r="N162" s="58" t="s">
        <v>2</v>
      </c>
      <c r="O162" s="58" t="s">
        <v>2</v>
      </c>
      <c r="P162" s="33"/>
      <c r="Q162" s="31"/>
      <c r="R162" s="33"/>
      <c r="S162" s="31"/>
      <c r="T162" s="33"/>
      <c r="U162" s="33"/>
      <c r="V162" s="58" t="s">
        <v>2</v>
      </c>
      <c r="W162" s="58" t="s">
        <v>2</v>
      </c>
      <c r="X162" s="33"/>
      <c r="Y162" s="31"/>
      <c r="Z162" s="33"/>
      <c r="AA162" s="31"/>
      <c r="AB162" s="33"/>
      <c r="AC162" s="33"/>
      <c r="AD162" s="58" t="s">
        <v>2</v>
      </c>
      <c r="AE162" s="58" t="s">
        <v>2</v>
      </c>
      <c r="AF162" s="31"/>
      <c r="AH162" s="16">
        <f t="shared" si="19"/>
        <v>0</v>
      </c>
      <c r="AI162" s="16">
        <f t="shared" si="20"/>
        <v>0</v>
      </c>
    </row>
    <row r="163" spans="1:35" ht="20.100000000000001" hidden="1" customHeight="1">
      <c r="A163" s="18" t="str">
        <f>ÖSSZES!$A$18</f>
        <v>Név16</v>
      </c>
      <c r="B163" s="31"/>
      <c r="C163" s="31"/>
      <c r="D163" s="33"/>
      <c r="E163" s="33"/>
      <c r="F163" s="58" t="s">
        <v>2</v>
      </c>
      <c r="G163" s="58" t="s">
        <v>2</v>
      </c>
      <c r="H163" s="33"/>
      <c r="I163" s="31"/>
      <c r="J163" s="33"/>
      <c r="K163" s="31"/>
      <c r="L163" s="33"/>
      <c r="M163" s="33"/>
      <c r="N163" s="58" t="s">
        <v>2</v>
      </c>
      <c r="O163" s="58" t="s">
        <v>2</v>
      </c>
      <c r="P163" s="33"/>
      <c r="Q163" s="31"/>
      <c r="R163" s="33"/>
      <c r="S163" s="31"/>
      <c r="T163" s="33"/>
      <c r="U163" s="33"/>
      <c r="V163" s="58" t="s">
        <v>2</v>
      </c>
      <c r="W163" s="58" t="s">
        <v>2</v>
      </c>
      <c r="X163" s="33"/>
      <c r="Y163" s="31"/>
      <c r="Z163" s="33"/>
      <c r="AA163" s="31"/>
      <c r="AB163" s="33"/>
      <c r="AC163" s="33"/>
      <c r="AD163" s="58" t="s">
        <v>2</v>
      </c>
      <c r="AE163" s="58" t="s">
        <v>2</v>
      </c>
      <c r="AF163" s="31"/>
      <c r="AH163" s="16">
        <f t="shared" si="19"/>
        <v>0</v>
      </c>
      <c r="AI163" s="16">
        <f t="shared" si="20"/>
        <v>0</v>
      </c>
    </row>
    <row r="164" spans="1:35" ht="20.100000000000001" hidden="1" customHeight="1">
      <c r="A164" s="18" t="str">
        <f>ÖSSZES!$A$19</f>
        <v>Név17</v>
      </c>
      <c r="B164" s="31"/>
      <c r="C164" s="31"/>
      <c r="D164" s="33"/>
      <c r="E164" s="33"/>
      <c r="F164" s="58" t="s">
        <v>2</v>
      </c>
      <c r="G164" s="58" t="s">
        <v>2</v>
      </c>
      <c r="H164" s="33"/>
      <c r="I164" s="31"/>
      <c r="J164" s="33"/>
      <c r="K164" s="31"/>
      <c r="L164" s="33"/>
      <c r="M164" s="33"/>
      <c r="N164" s="58" t="s">
        <v>2</v>
      </c>
      <c r="O164" s="58" t="s">
        <v>2</v>
      </c>
      <c r="P164" s="33"/>
      <c r="Q164" s="31"/>
      <c r="R164" s="33"/>
      <c r="S164" s="31"/>
      <c r="T164" s="33"/>
      <c r="U164" s="33"/>
      <c r="V164" s="58" t="s">
        <v>2</v>
      </c>
      <c r="W164" s="58" t="s">
        <v>2</v>
      </c>
      <c r="X164" s="33"/>
      <c r="Y164" s="31"/>
      <c r="Z164" s="33"/>
      <c r="AA164" s="31"/>
      <c r="AB164" s="33"/>
      <c r="AC164" s="33"/>
      <c r="AD164" s="58" t="s">
        <v>2</v>
      </c>
      <c r="AE164" s="58" t="s">
        <v>2</v>
      </c>
      <c r="AF164" s="31"/>
      <c r="AH164" s="16">
        <f t="shared" si="19"/>
        <v>0</v>
      </c>
      <c r="AI164" s="16">
        <f t="shared" si="20"/>
        <v>0</v>
      </c>
    </row>
    <row r="165" spans="1:35" ht="20.100000000000001" hidden="1" customHeight="1">
      <c r="A165" s="18" t="str">
        <f>ÖSSZES!$A$20</f>
        <v>Név18</v>
      </c>
      <c r="B165" s="31"/>
      <c r="C165" s="31"/>
      <c r="D165" s="33"/>
      <c r="E165" s="33"/>
      <c r="F165" s="58" t="s">
        <v>2</v>
      </c>
      <c r="G165" s="58" t="s">
        <v>2</v>
      </c>
      <c r="H165" s="33"/>
      <c r="I165" s="31"/>
      <c r="J165" s="33"/>
      <c r="K165" s="31"/>
      <c r="L165" s="33"/>
      <c r="M165" s="33"/>
      <c r="N165" s="58" t="s">
        <v>2</v>
      </c>
      <c r="O165" s="58" t="s">
        <v>2</v>
      </c>
      <c r="P165" s="33"/>
      <c r="Q165" s="31"/>
      <c r="R165" s="33"/>
      <c r="S165" s="31"/>
      <c r="T165" s="33"/>
      <c r="U165" s="33"/>
      <c r="V165" s="58" t="s">
        <v>2</v>
      </c>
      <c r="W165" s="58" t="s">
        <v>2</v>
      </c>
      <c r="X165" s="33"/>
      <c r="Y165" s="31"/>
      <c r="Z165" s="33"/>
      <c r="AA165" s="31"/>
      <c r="AB165" s="33"/>
      <c r="AC165" s="33"/>
      <c r="AD165" s="58" t="s">
        <v>2</v>
      </c>
      <c r="AE165" s="58" t="s">
        <v>2</v>
      </c>
      <c r="AF165" s="31"/>
      <c r="AH165" s="16">
        <f t="shared" si="19"/>
        <v>0</v>
      </c>
      <c r="AI165" s="16">
        <f t="shared" si="20"/>
        <v>0</v>
      </c>
    </row>
    <row r="166" spans="1:35" ht="20.100000000000001" hidden="1" customHeight="1">
      <c r="A166" s="18" t="str">
        <f>ÖSSZES!$A$21</f>
        <v>Név19</v>
      </c>
      <c r="B166" s="31"/>
      <c r="C166" s="31"/>
      <c r="D166" s="33"/>
      <c r="E166" s="33"/>
      <c r="F166" s="58" t="s">
        <v>2</v>
      </c>
      <c r="G166" s="58" t="s">
        <v>2</v>
      </c>
      <c r="H166" s="33"/>
      <c r="I166" s="31"/>
      <c r="J166" s="33"/>
      <c r="K166" s="31"/>
      <c r="L166" s="33"/>
      <c r="M166" s="33"/>
      <c r="N166" s="58" t="s">
        <v>2</v>
      </c>
      <c r="O166" s="58" t="s">
        <v>2</v>
      </c>
      <c r="P166" s="33"/>
      <c r="Q166" s="31"/>
      <c r="R166" s="33"/>
      <c r="S166" s="31"/>
      <c r="T166" s="33"/>
      <c r="U166" s="33"/>
      <c r="V166" s="58" t="s">
        <v>2</v>
      </c>
      <c r="W166" s="58" t="s">
        <v>2</v>
      </c>
      <c r="X166" s="33"/>
      <c r="Y166" s="31"/>
      <c r="Z166" s="33"/>
      <c r="AA166" s="31"/>
      <c r="AB166" s="33"/>
      <c r="AC166" s="33"/>
      <c r="AD166" s="58" t="s">
        <v>2</v>
      </c>
      <c r="AE166" s="58" t="s">
        <v>2</v>
      </c>
      <c r="AF166" s="31"/>
      <c r="AH166" s="16">
        <f t="shared" si="19"/>
        <v>0</v>
      </c>
      <c r="AI166" s="16">
        <f t="shared" si="20"/>
        <v>0</v>
      </c>
    </row>
    <row r="167" spans="1:35" ht="20.100000000000001" hidden="1" customHeight="1">
      <c r="A167" s="18" t="str">
        <f>ÖSSZES!$A$17</f>
        <v>Név15</v>
      </c>
      <c r="B167" s="31"/>
      <c r="C167" s="31"/>
      <c r="D167" s="33"/>
      <c r="E167" s="33"/>
      <c r="F167" s="58" t="s">
        <v>2</v>
      </c>
      <c r="G167" s="58" t="s">
        <v>2</v>
      </c>
      <c r="H167" s="33"/>
      <c r="I167" s="31"/>
      <c r="J167" s="33"/>
      <c r="K167" s="31"/>
      <c r="L167" s="33"/>
      <c r="M167" s="33"/>
      <c r="N167" s="58" t="s">
        <v>2</v>
      </c>
      <c r="O167" s="58" t="s">
        <v>2</v>
      </c>
      <c r="P167" s="33"/>
      <c r="Q167" s="31"/>
      <c r="R167" s="33"/>
      <c r="S167" s="31"/>
      <c r="T167" s="33"/>
      <c r="U167" s="33"/>
      <c r="V167" s="58" t="s">
        <v>2</v>
      </c>
      <c r="W167" s="58" t="s">
        <v>2</v>
      </c>
      <c r="X167" s="33"/>
      <c r="Y167" s="31"/>
      <c r="Z167" s="33"/>
      <c r="AA167" s="31"/>
      <c r="AB167" s="33"/>
      <c r="AC167" s="33"/>
      <c r="AD167" s="58" t="s">
        <v>2</v>
      </c>
      <c r="AE167" s="58" t="s">
        <v>2</v>
      </c>
      <c r="AF167" s="31"/>
      <c r="AH167" s="16">
        <f t="shared" si="19"/>
        <v>0</v>
      </c>
      <c r="AI167" s="16">
        <f t="shared" si="20"/>
        <v>0</v>
      </c>
    </row>
    <row r="168" spans="1:35" ht="20.100000000000001" customHeight="1"/>
    <row r="169" spans="1:35" s="25" customFormat="1" ht="20.100000000000001" customHeight="1">
      <c r="A169" s="88" t="s">
        <v>12</v>
      </c>
      <c r="B169" s="24">
        <v>1</v>
      </c>
      <c r="C169" s="24">
        <v>2</v>
      </c>
      <c r="D169" s="24">
        <v>3</v>
      </c>
      <c r="E169" s="24">
        <v>4</v>
      </c>
      <c r="F169" s="24">
        <v>5</v>
      </c>
      <c r="G169" s="24">
        <v>6</v>
      </c>
      <c r="H169" s="24">
        <v>7</v>
      </c>
      <c r="I169" s="24">
        <v>8</v>
      </c>
      <c r="J169" s="24">
        <v>9</v>
      </c>
      <c r="K169" s="24">
        <v>10</v>
      </c>
      <c r="L169" s="24">
        <v>11</v>
      </c>
      <c r="M169" s="24">
        <v>12</v>
      </c>
      <c r="N169" s="24">
        <v>13</v>
      </c>
      <c r="O169" s="24">
        <v>14</v>
      </c>
      <c r="P169" s="24">
        <v>15</v>
      </c>
      <c r="Q169" s="24">
        <v>16</v>
      </c>
      <c r="R169" s="24">
        <v>17</v>
      </c>
      <c r="S169" s="24">
        <v>18</v>
      </c>
      <c r="T169" s="24">
        <v>19</v>
      </c>
      <c r="U169" s="23">
        <v>20</v>
      </c>
      <c r="V169" s="24">
        <v>21</v>
      </c>
      <c r="W169" s="24">
        <v>22</v>
      </c>
      <c r="X169" s="24">
        <v>23</v>
      </c>
      <c r="Y169" s="24">
        <v>24</v>
      </c>
      <c r="Z169" s="24">
        <v>25</v>
      </c>
      <c r="AA169" s="24">
        <v>26</v>
      </c>
      <c r="AB169" s="24">
        <v>27</v>
      </c>
      <c r="AC169" s="24">
        <v>28</v>
      </c>
      <c r="AD169" s="24">
        <v>29</v>
      </c>
      <c r="AE169" s="24">
        <v>30</v>
      </c>
      <c r="AF169" s="24">
        <v>31</v>
      </c>
      <c r="AH169" s="88" t="s">
        <v>18</v>
      </c>
      <c r="AI169" s="88" t="s">
        <v>19</v>
      </c>
    </row>
    <row r="170" spans="1:35" ht="20.100000000000001" customHeight="1">
      <c r="A170" s="90"/>
      <c r="B170" s="26" t="str">
        <f>'2020'!B60</f>
        <v>Szo</v>
      </c>
      <c r="C170" s="26" t="str">
        <f>'2020'!C60</f>
        <v>V</v>
      </c>
      <c r="D170" s="26" t="str">
        <f>'2020'!D60</f>
        <v>H</v>
      </c>
      <c r="E170" s="26" t="str">
        <f>'2020'!E60</f>
        <v>K</v>
      </c>
      <c r="F170" s="26" t="str">
        <f>'2020'!F60</f>
        <v>Sze</v>
      </c>
      <c r="G170" s="26" t="str">
        <f>'2020'!G60</f>
        <v>Cs</v>
      </c>
      <c r="H170" s="26" t="str">
        <f>'2020'!H60</f>
        <v>P</v>
      </c>
      <c r="I170" s="26" t="str">
        <f>'2020'!I60</f>
        <v>Szo</v>
      </c>
      <c r="J170" s="26" t="str">
        <f>'2020'!J60</f>
        <v>V</v>
      </c>
      <c r="K170" s="26" t="str">
        <f>'2020'!K60</f>
        <v>H</v>
      </c>
      <c r="L170" s="26" t="str">
        <f>'2020'!L60</f>
        <v>K</v>
      </c>
      <c r="M170" s="26" t="str">
        <f>'2020'!M60</f>
        <v>Sze</v>
      </c>
      <c r="N170" s="26" t="str">
        <f>'2020'!N60</f>
        <v>Cs</v>
      </c>
      <c r="O170" s="26" t="str">
        <f>'2020'!O60</f>
        <v>P</v>
      </c>
      <c r="P170" s="26" t="str">
        <f>'2020'!P60</f>
        <v>Szo</v>
      </c>
      <c r="Q170" s="26" t="str">
        <f>'2020'!Q60</f>
        <v>V</v>
      </c>
      <c r="R170" s="26" t="str">
        <f>'2020'!R60</f>
        <v>H</v>
      </c>
      <c r="S170" s="26" t="str">
        <f>'2020'!S60</f>
        <v>K</v>
      </c>
      <c r="T170" s="26" t="str">
        <f>'2020'!T60</f>
        <v>Sze</v>
      </c>
      <c r="U170" s="26" t="str">
        <f>'2020'!U60</f>
        <v>Cs</v>
      </c>
      <c r="V170" s="26" t="str">
        <f>'2020'!V60</f>
        <v>P</v>
      </c>
      <c r="W170" s="26" t="str">
        <f>'2020'!W60</f>
        <v>Szo</v>
      </c>
      <c r="X170" s="26" t="str">
        <f>'2020'!X60</f>
        <v>V</v>
      </c>
      <c r="Y170" s="26" t="str">
        <f>'2020'!Y60</f>
        <v>H</v>
      </c>
      <c r="Z170" s="26" t="str">
        <f>'2020'!Z60</f>
        <v>K</v>
      </c>
      <c r="AA170" s="26" t="str">
        <f>'2020'!AA60</f>
        <v>Sze</v>
      </c>
      <c r="AB170" s="26" t="str">
        <f>'2020'!AB60</f>
        <v>Cs</v>
      </c>
      <c r="AC170" s="26" t="str">
        <f>'2020'!AC60</f>
        <v>P</v>
      </c>
      <c r="AD170" s="26" t="str">
        <f>'2020'!AD60</f>
        <v>Szo</v>
      </c>
      <c r="AE170" s="26" t="str">
        <f>'2020'!AE60</f>
        <v>V</v>
      </c>
      <c r="AF170" s="26" t="str">
        <f>'2020'!AF60</f>
        <v>H</v>
      </c>
      <c r="AH170" s="89"/>
      <c r="AI170" s="89"/>
    </row>
    <row r="171" spans="1:35" ht="20.100000000000001" customHeight="1">
      <c r="A171" s="89"/>
      <c r="B171" s="26">
        <f>'2020'!B61</f>
        <v>3</v>
      </c>
      <c r="C171" s="26">
        <f>'2020'!C61</f>
        <v>3</v>
      </c>
      <c r="D171" s="26">
        <f>'2020'!D61</f>
        <v>3</v>
      </c>
      <c r="E171" s="26">
        <f>'2020'!E61</f>
        <v>3</v>
      </c>
      <c r="F171" s="26">
        <f>'2020'!F61</f>
        <v>3</v>
      </c>
      <c r="G171" s="26" t="str">
        <f>'2020'!G61</f>
        <v>X</v>
      </c>
      <c r="H171" s="26" t="str">
        <f>'2020'!H61</f>
        <v>X</v>
      </c>
      <c r="I171" s="26">
        <f>'2020'!I61</f>
        <v>2</v>
      </c>
      <c r="J171" s="26">
        <f>'2020'!J61</f>
        <v>2</v>
      </c>
      <c r="K171" s="26">
        <f>'2020'!K61</f>
        <v>2</v>
      </c>
      <c r="L171" s="26">
        <f>'2020'!L61</f>
        <v>2</v>
      </c>
      <c r="M171" s="26">
        <f>'2020'!M61</f>
        <v>2</v>
      </c>
      <c r="N171" s="26">
        <f>'2020'!N61</f>
        <v>2</v>
      </c>
      <c r="O171" s="26" t="str">
        <f>'2020'!O61</f>
        <v>X</v>
      </c>
      <c r="P171" s="26" t="str">
        <f>'2020'!P61</f>
        <v>X</v>
      </c>
      <c r="Q171" s="26">
        <f>'2020'!Q61</f>
        <v>1</v>
      </c>
      <c r="R171" s="26">
        <f>'2020'!R61</f>
        <v>1</v>
      </c>
      <c r="S171" s="26">
        <f>'2020'!S61</f>
        <v>1</v>
      </c>
      <c r="T171" s="26">
        <f>'2020'!T61</f>
        <v>1</v>
      </c>
      <c r="U171" s="26">
        <f>'2020'!U61</f>
        <v>1</v>
      </c>
      <c r="V171" s="26">
        <f>'2020'!V61</f>
        <v>1</v>
      </c>
      <c r="W171" s="26" t="str">
        <f>'2020'!W61</f>
        <v>X</v>
      </c>
      <c r="X171" s="26" t="str">
        <f>'2020'!X61</f>
        <v>X</v>
      </c>
      <c r="Y171" s="26">
        <f>'2020'!Y61</f>
        <v>3</v>
      </c>
      <c r="Z171" s="26">
        <f>'2020'!Z61</f>
        <v>3</v>
      </c>
      <c r="AA171" s="26">
        <f>'2020'!AA61</f>
        <v>3</v>
      </c>
      <c r="AB171" s="26">
        <f>'2020'!AB61</f>
        <v>3</v>
      </c>
      <c r="AC171" s="26">
        <f>'2020'!AC61</f>
        <v>3</v>
      </c>
      <c r="AD171" s="26">
        <f>'2020'!AD61</f>
        <v>3</v>
      </c>
      <c r="AE171" s="26" t="str">
        <f>'2020'!AE61</f>
        <v>X</v>
      </c>
      <c r="AF171" s="26" t="str">
        <f>'2020'!AF61</f>
        <v>X</v>
      </c>
      <c r="AH171" s="89"/>
      <c r="AI171" s="89"/>
    </row>
    <row r="172" spans="1:35" ht="20.100000000000001" customHeight="1">
      <c r="A172" s="18" t="str">
        <f>ÖSSZES!$A$3</f>
        <v>Csuka Lajos</v>
      </c>
      <c r="B172" s="31"/>
      <c r="C172" s="31"/>
      <c r="D172" s="31"/>
      <c r="E172" s="33"/>
      <c r="F172" s="33"/>
      <c r="G172" s="58" t="s">
        <v>2</v>
      </c>
      <c r="H172" s="58" t="s">
        <v>2</v>
      </c>
      <c r="I172" s="31"/>
      <c r="J172" s="31"/>
      <c r="K172" s="31"/>
      <c r="L172" s="31"/>
      <c r="M172" s="33"/>
      <c r="N172" s="33"/>
      <c r="O172" s="58" t="s">
        <v>2</v>
      </c>
      <c r="P172" s="58" t="s">
        <v>2</v>
      </c>
      <c r="Q172" s="31"/>
      <c r="R172" s="31"/>
      <c r="S172" s="31"/>
      <c r="T172" s="31"/>
      <c r="U172" s="59"/>
      <c r="V172" s="33"/>
      <c r="W172" s="58" t="s">
        <v>2</v>
      </c>
      <c r="X172" s="58" t="s">
        <v>2</v>
      </c>
      <c r="Y172" s="31"/>
      <c r="Z172" s="31"/>
      <c r="AA172" s="31"/>
      <c r="AB172" s="31"/>
      <c r="AC172" s="33"/>
      <c r="AD172" s="33"/>
      <c r="AE172" s="58" t="s">
        <v>2</v>
      </c>
      <c r="AF172" s="58" t="s">
        <v>2</v>
      </c>
      <c r="AH172" s="16">
        <f>1*COUNTIF(A172:AF172,"+")</f>
        <v>0</v>
      </c>
      <c r="AI172" s="16">
        <f t="shared" ref="AI172" si="21">1*COUNTIF(B172:AF172,"szf")</f>
        <v>0</v>
      </c>
    </row>
    <row r="173" spans="1:35" ht="20.100000000000001" customHeight="1">
      <c r="A173" s="18" t="str">
        <f>ÖSSZES!$A$4</f>
        <v>Batiz Attila</v>
      </c>
      <c r="B173" s="31"/>
      <c r="C173" s="31"/>
      <c r="D173" s="31"/>
      <c r="E173" s="33"/>
      <c r="F173" s="33"/>
      <c r="G173" s="58" t="s">
        <v>2</v>
      </c>
      <c r="H173" s="58" t="s">
        <v>2</v>
      </c>
      <c r="I173" s="31"/>
      <c r="J173" s="31"/>
      <c r="K173" s="31"/>
      <c r="L173" s="31"/>
      <c r="M173" s="33"/>
      <c r="N173" s="33"/>
      <c r="O173" s="58" t="s">
        <v>2</v>
      </c>
      <c r="P173" s="58" t="s">
        <v>2</v>
      </c>
      <c r="Q173" s="31"/>
      <c r="R173" s="31"/>
      <c r="S173" s="31"/>
      <c r="T173" s="31"/>
      <c r="U173" s="59"/>
      <c r="V173" s="33"/>
      <c r="W173" s="58" t="s">
        <v>2</v>
      </c>
      <c r="X173" s="58" t="s">
        <v>2</v>
      </c>
      <c r="Y173" s="31"/>
      <c r="Z173" s="31"/>
      <c r="AA173" s="31"/>
      <c r="AB173" s="31"/>
      <c r="AC173" s="33"/>
      <c r="AD173" s="33"/>
      <c r="AE173" s="58" t="s">
        <v>2</v>
      </c>
      <c r="AF173" s="58" t="s">
        <v>2</v>
      </c>
      <c r="AH173" s="16">
        <f t="shared" ref="AH173:AH191" si="22">1*COUNTIF(A173:AF173,"+")</f>
        <v>0</v>
      </c>
      <c r="AI173" s="16">
        <f t="shared" ref="AI173:AI191" si="23">1*COUNTIF(B173:AF173,"szf")</f>
        <v>0</v>
      </c>
    </row>
    <row r="174" spans="1:35" ht="20.100000000000001" customHeight="1">
      <c r="A174" s="18" t="str">
        <f>ÖSSZES!$A$5</f>
        <v>Mizsák Péter</v>
      </c>
      <c r="B174" s="31"/>
      <c r="C174" s="31"/>
      <c r="D174" s="31"/>
      <c r="E174" s="33"/>
      <c r="F174" s="33"/>
      <c r="G174" s="58" t="s">
        <v>2</v>
      </c>
      <c r="H174" s="58" t="s">
        <v>2</v>
      </c>
      <c r="I174" s="31"/>
      <c r="J174" s="31"/>
      <c r="K174" s="31"/>
      <c r="L174" s="31"/>
      <c r="M174" s="33"/>
      <c r="N174" s="33"/>
      <c r="O174" s="58" t="s">
        <v>2</v>
      </c>
      <c r="P174" s="58" t="s">
        <v>2</v>
      </c>
      <c r="Q174" s="31"/>
      <c r="R174" s="31"/>
      <c r="S174" s="31"/>
      <c r="T174" s="31"/>
      <c r="U174" s="59"/>
      <c r="V174" s="33"/>
      <c r="W174" s="58" t="s">
        <v>2</v>
      </c>
      <c r="X174" s="58" t="s">
        <v>2</v>
      </c>
      <c r="Y174" s="31"/>
      <c r="Z174" s="31"/>
      <c r="AA174" s="31"/>
      <c r="AB174" s="31"/>
      <c r="AC174" s="33"/>
      <c r="AD174" s="33"/>
      <c r="AE174" s="58" t="s">
        <v>2</v>
      </c>
      <c r="AF174" s="58" t="s">
        <v>2</v>
      </c>
      <c r="AH174" s="16">
        <f t="shared" si="22"/>
        <v>0</v>
      </c>
      <c r="AI174" s="16">
        <f t="shared" si="23"/>
        <v>0</v>
      </c>
    </row>
    <row r="175" spans="1:35" ht="20.100000000000001" customHeight="1">
      <c r="A175" s="18" t="str">
        <f>ÖSSZES!$A$6</f>
        <v>Füredi Antal</v>
      </c>
      <c r="B175" s="31"/>
      <c r="C175" s="31"/>
      <c r="D175" s="31"/>
      <c r="E175" s="33"/>
      <c r="F175" s="33"/>
      <c r="G175" s="58" t="s">
        <v>2</v>
      </c>
      <c r="H175" s="58" t="s">
        <v>2</v>
      </c>
      <c r="I175" s="31"/>
      <c r="J175" s="31"/>
      <c r="K175" s="31"/>
      <c r="L175" s="31"/>
      <c r="M175" s="33"/>
      <c r="N175" s="33"/>
      <c r="O175" s="58" t="s">
        <v>2</v>
      </c>
      <c r="P175" s="58" t="s">
        <v>2</v>
      </c>
      <c r="Q175" s="31"/>
      <c r="R175" s="31"/>
      <c r="S175" s="31"/>
      <c r="T175" s="31"/>
      <c r="U175" s="59"/>
      <c r="V175" s="33"/>
      <c r="W175" s="58" t="s">
        <v>2</v>
      </c>
      <c r="X175" s="58" t="s">
        <v>2</v>
      </c>
      <c r="Y175" s="31"/>
      <c r="Z175" s="31"/>
      <c r="AA175" s="31"/>
      <c r="AB175" s="31"/>
      <c r="AC175" s="33"/>
      <c r="AD175" s="33"/>
      <c r="AE175" s="58" t="s">
        <v>2</v>
      </c>
      <c r="AF175" s="58" t="s">
        <v>2</v>
      </c>
      <c r="AH175" s="16">
        <f t="shared" si="22"/>
        <v>0</v>
      </c>
      <c r="AI175" s="16">
        <f t="shared" si="23"/>
        <v>0</v>
      </c>
    </row>
    <row r="176" spans="1:35" ht="20.100000000000001" customHeight="1">
      <c r="A176" s="18" t="str">
        <f>ÖSSZES!$A$7</f>
        <v>Iványi István</v>
      </c>
      <c r="B176" s="31"/>
      <c r="C176" s="31"/>
      <c r="D176" s="31"/>
      <c r="E176" s="33"/>
      <c r="F176" s="33"/>
      <c r="G176" s="58" t="s">
        <v>2</v>
      </c>
      <c r="H176" s="58" t="s">
        <v>2</v>
      </c>
      <c r="I176" s="31"/>
      <c r="J176" s="31"/>
      <c r="K176" s="31"/>
      <c r="L176" s="31"/>
      <c r="M176" s="33"/>
      <c r="N176" s="33"/>
      <c r="O176" s="58" t="s">
        <v>2</v>
      </c>
      <c r="P176" s="58" t="s">
        <v>2</v>
      </c>
      <c r="Q176" s="31"/>
      <c r="R176" s="31"/>
      <c r="S176" s="31"/>
      <c r="T176" s="31"/>
      <c r="U176" s="59"/>
      <c r="V176" s="33"/>
      <c r="W176" s="58" t="s">
        <v>2</v>
      </c>
      <c r="X176" s="58" t="s">
        <v>2</v>
      </c>
      <c r="Y176" s="31"/>
      <c r="Z176" s="31"/>
      <c r="AA176" s="31"/>
      <c r="AB176" s="31"/>
      <c r="AC176" s="33"/>
      <c r="AD176" s="33"/>
      <c r="AE176" s="58" t="s">
        <v>2</v>
      </c>
      <c r="AF176" s="58" t="s">
        <v>2</v>
      </c>
      <c r="AH176" s="16">
        <f t="shared" si="22"/>
        <v>0</v>
      </c>
      <c r="AI176" s="16">
        <f t="shared" si="23"/>
        <v>0</v>
      </c>
    </row>
    <row r="177" spans="1:35" ht="20.100000000000001" customHeight="1">
      <c r="A177" s="18" t="str">
        <f>ÖSSZES!$A$8</f>
        <v>Katonka Tibor</v>
      </c>
      <c r="B177" s="31"/>
      <c r="C177" s="31"/>
      <c r="D177" s="31"/>
      <c r="E177" s="33"/>
      <c r="F177" s="33"/>
      <c r="G177" s="58" t="s">
        <v>2</v>
      </c>
      <c r="H177" s="58" t="s">
        <v>2</v>
      </c>
      <c r="I177" s="31"/>
      <c r="J177" s="31"/>
      <c r="K177" s="31"/>
      <c r="L177" s="31"/>
      <c r="M177" s="33"/>
      <c r="N177" s="33"/>
      <c r="O177" s="58" t="s">
        <v>2</v>
      </c>
      <c r="P177" s="58" t="s">
        <v>2</v>
      </c>
      <c r="Q177" s="31"/>
      <c r="R177" s="31"/>
      <c r="S177" s="31"/>
      <c r="T177" s="31"/>
      <c r="U177" s="59"/>
      <c r="V177" s="33"/>
      <c r="W177" s="58" t="s">
        <v>2</v>
      </c>
      <c r="X177" s="58" t="s">
        <v>2</v>
      </c>
      <c r="Y177" s="31"/>
      <c r="Z177" s="31"/>
      <c r="AA177" s="31"/>
      <c r="AB177" s="31"/>
      <c r="AC177" s="33"/>
      <c r="AD177" s="33"/>
      <c r="AE177" s="58" t="s">
        <v>2</v>
      </c>
      <c r="AF177" s="58" t="s">
        <v>2</v>
      </c>
      <c r="AH177" s="16">
        <f t="shared" si="22"/>
        <v>0</v>
      </c>
      <c r="AI177" s="16">
        <f t="shared" si="23"/>
        <v>0</v>
      </c>
    </row>
    <row r="178" spans="1:35" ht="20.100000000000001" hidden="1" customHeight="1">
      <c r="A178" s="18" t="str">
        <f>ÖSSZES!$A$9</f>
        <v>Kiss János Tamás</v>
      </c>
      <c r="B178" s="31"/>
      <c r="C178" s="31"/>
      <c r="D178" s="31"/>
      <c r="E178" s="33"/>
      <c r="F178" s="33"/>
      <c r="G178" s="58" t="s">
        <v>2</v>
      </c>
      <c r="H178" s="58" t="s">
        <v>2</v>
      </c>
      <c r="I178" s="31"/>
      <c r="J178" s="31"/>
      <c r="K178" s="31"/>
      <c r="L178" s="31"/>
      <c r="M178" s="33"/>
      <c r="N178" s="33"/>
      <c r="O178" s="58" t="s">
        <v>2</v>
      </c>
      <c r="P178" s="58" t="s">
        <v>2</v>
      </c>
      <c r="Q178" s="31"/>
      <c r="R178" s="31"/>
      <c r="S178" s="31"/>
      <c r="T178" s="31"/>
      <c r="U178" s="59"/>
      <c r="V178" s="33"/>
      <c r="W178" s="58" t="s">
        <v>2</v>
      </c>
      <c r="X178" s="58" t="s">
        <v>2</v>
      </c>
      <c r="Y178" s="31"/>
      <c r="Z178" s="31"/>
      <c r="AA178" s="31"/>
      <c r="AB178" s="31"/>
      <c r="AC178" s="33"/>
      <c r="AD178" s="33"/>
      <c r="AE178" s="58" t="s">
        <v>2</v>
      </c>
      <c r="AF178" s="58" t="s">
        <v>2</v>
      </c>
      <c r="AH178" s="16">
        <f t="shared" si="22"/>
        <v>0</v>
      </c>
      <c r="AI178" s="16">
        <f t="shared" si="23"/>
        <v>0</v>
      </c>
    </row>
    <row r="179" spans="1:35" ht="20.100000000000001" customHeight="1">
      <c r="A179" s="18" t="str">
        <f>ÖSSZES!$A$10</f>
        <v>Vatamány Gergő</v>
      </c>
      <c r="B179" s="31"/>
      <c r="C179" s="31"/>
      <c r="D179" s="31"/>
      <c r="E179" s="33"/>
      <c r="F179" s="33"/>
      <c r="G179" s="58" t="s">
        <v>2</v>
      </c>
      <c r="H179" s="58" t="s">
        <v>2</v>
      </c>
      <c r="I179" s="31"/>
      <c r="J179" s="31"/>
      <c r="K179" s="31"/>
      <c r="L179" s="31"/>
      <c r="M179" s="33"/>
      <c r="N179" s="33"/>
      <c r="O179" s="58" t="s">
        <v>2</v>
      </c>
      <c r="P179" s="58" t="s">
        <v>2</v>
      </c>
      <c r="Q179" s="31"/>
      <c r="R179" s="31"/>
      <c r="S179" s="31"/>
      <c r="T179" s="31"/>
      <c r="U179" s="59"/>
      <c r="V179" s="33"/>
      <c r="W179" s="58" t="s">
        <v>2</v>
      </c>
      <c r="X179" s="58" t="s">
        <v>2</v>
      </c>
      <c r="Y179" s="31"/>
      <c r="Z179" s="31"/>
      <c r="AA179" s="31"/>
      <c r="AB179" s="31"/>
      <c r="AC179" s="33"/>
      <c r="AD179" s="33"/>
      <c r="AE179" s="58" t="s">
        <v>2</v>
      </c>
      <c r="AF179" s="58" t="s">
        <v>2</v>
      </c>
      <c r="AH179" s="16">
        <f t="shared" si="22"/>
        <v>0</v>
      </c>
      <c r="AI179" s="16">
        <f t="shared" si="23"/>
        <v>0</v>
      </c>
    </row>
    <row r="180" spans="1:35" ht="20.100000000000001" hidden="1" customHeight="1">
      <c r="A180" s="18" t="str">
        <f>ÖSSZES!$A$11</f>
        <v>Név9</v>
      </c>
      <c r="B180" s="31"/>
      <c r="C180" s="31"/>
      <c r="D180" s="31"/>
      <c r="E180" s="33"/>
      <c r="F180" s="33"/>
      <c r="G180" s="58" t="s">
        <v>2</v>
      </c>
      <c r="H180" s="58" t="s">
        <v>2</v>
      </c>
      <c r="I180" s="31"/>
      <c r="J180" s="31"/>
      <c r="K180" s="31"/>
      <c r="L180" s="31"/>
      <c r="M180" s="33"/>
      <c r="N180" s="33"/>
      <c r="O180" s="58" t="s">
        <v>2</v>
      </c>
      <c r="P180" s="58" t="s">
        <v>2</v>
      </c>
      <c r="Q180" s="31"/>
      <c r="R180" s="31"/>
      <c r="S180" s="31"/>
      <c r="T180" s="31"/>
      <c r="U180" s="59"/>
      <c r="V180" s="33"/>
      <c r="W180" s="58" t="s">
        <v>2</v>
      </c>
      <c r="X180" s="58" t="s">
        <v>2</v>
      </c>
      <c r="Y180" s="31"/>
      <c r="Z180" s="31"/>
      <c r="AA180" s="31"/>
      <c r="AB180" s="31"/>
      <c r="AC180" s="33"/>
      <c r="AD180" s="33"/>
      <c r="AE180" s="58" t="s">
        <v>2</v>
      </c>
      <c r="AF180" s="58" t="s">
        <v>2</v>
      </c>
      <c r="AH180" s="16">
        <f t="shared" si="22"/>
        <v>0</v>
      </c>
      <c r="AI180" s="16">
        <f t="shared" si="23"/>
        <v>0</v>
      </c>
    </row>
    <row r="181" spans="1:35" ht="20.100000000000001" hidden="1" customHeight="1">
      <c r="A181" s="18" t="str">
        <f>ÖSSZES!$A$12</f>
        <v>Név10</v>
      </c>
      <c r="B181" s="31"/>
      <c r="C181" s="31"/>
      <c r="D181" s="31"/>
      <c r="E181" s="33"/>
      <c r="F181" s="33"/>
      <c r="G181" s="58" t="s">
        <v>2</v>
      </c>
      <c r="H181" s="58" t="s">
        <v>2</v>
      </c>
      <c r="I181" s="31"/>
      <c r="J181" s="31"/>
      <c r="K181" s="31"/>
      <c r="L181" s="31"/>
      <c r="M181" s="33"/>
      <c r="N181" s="33"/>
      <c r="O181" s="58" t="s">
        <v>2</v>
      </c>
      <c r="P181" s="58" t="s">
        <v>2</v>
      </c>
      <c r="Q181" s="31"/>
      <c r="R181" s="31"/>
      <c r="S181" s="31"/>
      <c r="T181" s="31"/>
      <c r="U181" s="59"/>
      <c r="V181" s="33"/>
      <c r="W181" s="58" t="s">
        <v>2</v>
      </c>
      <c r="X181" s="58" t="s">
        <v>2</v>
      </c>
      <c r="Y181" s="31"/>
      <c r="Z181" s="31"/>
      <c r="AA181" s="31"/>
      <c r="AB181" s="31"/>
      <c r="AC181" s="33"/>
      <c r="AD181" s="33"/>
      <c r="AE181" s="58" t="s">
        <v>2</v>
      </c>
      <c r="AF181" s="58" t="s">
        <v>2</v>
      </c>
      <c r="AH181" s="16">
        <f t="shared" si="22"/>
        <v>0</v>
      </c>
      <c r="AI181" s="16">
        <f t="shared" si="23"/>
        <v>0</v>
      </c>
    </row>
    <row r="182" spans="1:35" ht="20.100000000000001" hidden="1" customHeight="1">
      <c r="A182" s="18" t="str">
        <f>ÖSSZES!$A$13</f>
        <v>Név11</v>
      </c>
      <c r="B182" s="31"/>
      <c r="C182" s="31"/>
      <c r="D182" s="31"/>
      <c r="E182" s="33"/>
      <c r="F182" s="33"/>
      <c r="G182" s="58" t="s">
        <v>2</v>
      </c>
      <c r="H182" s="58" t="s">
        <v>2</v>
      </c>
      <c r="I182" s="31"/>
      <c r="J182" s="31"/>
      <c r="K182" s="31"/>
      <c r="L182" s="31"/>
      <c r="M182" s="33"/>
      <c r="N182" s="33"/>
      <c r="O182" s="58" t="s">
        <v>2</v>
      </c>
      <c r="P182" s="58" t="s">
        <v>2</v>
      </c>
      <c r="Q182" s="31"/>
      <c r="R182" s="31"/>
      <c r="S182" s="31"/>
      <c r="T182" s="31"/>
      <c r="U182" s="59"/>
      <c r="V182" s="33"/>
      <c r="W182" s="58" t="s">
        <v>2</v>
      </c>
      <c r="X182" s="58" t="s">
        <v>2</v>
      </c>
      <c r="Y182" s="31"/>
      <c r="Z182" s="31"/>
      <c r="AA182" s="31"/>
      <c r="AB182" s="31"/>
      <c r="AC182" s="33"/>
      <c r="AD182" s="33"/>
      <c r="AE182" s="58" t="s">
        <v>2</v>
      </c>
      <c r="AF182" s="58" t="s">
        <v>2</v>
      </c>
      <c r="AH182" s="16">
        <f t="shared" si="22"/>
        <v>0</v>
      </c>
      <c r="AI182" s="16">
        <f t="shared" si="23"/>
        <v>0</v>
      </c>
    </row>
    <row r="183" spans="1:35" ht="20.100000000000001" hidden="1" customHeight="1">
      <c r="A183" s="18" t="str">
        <f>ÖSSZES!$A$14</f>
        <v>Név12</v>
      </c>
      <c r="B183" s="31"/>
      <c r="C183" s="31"/>
      <c r="D183" s="31"/>
      <c r="E183" s="33"/>
      <c r="F183" s="33"/>
      <c r="G183" s="58" t="s">
        <v>2</v>
      </c>
      <c r="H183" s="58" t="s">
        <v>2</v>
      </c>
      <c r="I183" s="31"/>
      <c r="J183" s="31"/>
      <c r="K183" s="31"/>
      <c r="L183" s="31"/>
      <c r="M183" s="33"/>
      <c r="N183" s="33"/>
      <c r="O183" s="58" t="s">
        <v>2</v>
      </c>
      <c r="P183" s="58" t="s">
        <v>2</v>
      </c>
      <c r="Q183" s="31"/>
      <c r="R183" s="31"/>
      <c r="S183" s="31"/>
      <c r="T183" s="31"/>
      <c r="U183" s="59"/>
      <c r="V183" s="33"/>
      <c r="W183" s="58" t="s">
        <v>2</v>
      </c>
      <c r="X183" s="58" t="s">
        <v>2</v>
      </c>
      <c r="Y183" s="31"/>
      <c r="Z183" s="31"/>
      <c r="AA183" s="31"/>
      <c r="AB183" s="31"/>
      <c r="AC183" s="33"/>
      <c r="AD183" s="33"/>
      <c r="AE183" s="58" t="s">
        <v>2</v>
      </c>
      <c r="AF183" s="58" t="s">
        <v>2</v>
      </c>
      <c r="AH183" s="16">
        <f t="shared" si="22"/>
        <v>0</v>
      </c>
      <c r="AI183" s="16">
        <f t="shared" si="23"/>
        <v>0</v>
      </c>
    </row>
    <row r="184" spans="1:35" ht="20.100000000000001" hidden="1" customHeight="1">
      <c r="A184" s="18" t="str">
        <f>ÖSSZES!$A$15</f>
        <v>Név13</v>
      </c>
      <c r="B184" s="31"/>
      <c r="C184" s="31"/>
      <c r="D184" s="31"/>
      <c r="E184" s="33"/>
      <c r="F184" s="33"/>
      <c r="G184" s="58" t="s">
        <v>2</v>
      </c>
      <c r="H184" s="58" t="s">
        <v>2</v>
      </c>
      <c r="I184" s="31"/>
      <c r="J184" s="31"/>
      <c r="K184" s="31"/>
      <c r="L184" s="31"/>
      <c r="M184" s="33"/>
      <c r="N184" s="33"/>
      <c r="O184" s="58" t="s">
        <v>2</v>
      </c>
      <c r="P184" s="58" t="s">
        <v>2</v>
      </c>
      <c r="Q184" s="31"/>
      <c r="R184" s="31"/>
      <c r="S184" s="31"/>
      <c r="T184" s="31"/>
      <c r="U184" s="59"/>
      <c r="V184" s="33"/>
      <c r="W184" s="58" t="s">
        <v>2</v>
      </c>
      <c r="X184" s="58" t="s">
        <v>2</v>
      </c>
      <c r="Y184" s="31"/>
      <c r="Z184" s="31"/>
      <c r="AA184" s="31"/>
      <c r="AB184" s="31"/>
      <c r="AC184" s="33"/>
      <c r="AD184" s="33"/>
      <c r="AE184" s="58" t="s">
        <v>2</v>
      </c>
      <c r="AF184" s="58" t="s">
        <v>2</v>
      </c>
      <c r="AH184" s="16">
        <f t="shared" si="22"/>
        <v>0</v>
      </c>
      <c r="AI184" s="16">
        <f t="shared" si="23"/>
        <v>0</v>
      </c>
    </row>
    <row r="185" spans="1:35" ht="20.100000000000001" hidden="1" customHeight="1">
      <c r="A185" s="18" t="str">
        <f>ÖSSZES!$A$16</f>
        <v>Név14</v>
      </c>
      <c r="B185" s="31"/>
      <c r="C185" s="31"/>
      <c r="D185" s="31"/>
      <c r="E185" s="33"/>
      <c r="F185" s="33"/>
      <c r="G185" s="58" t="s">
        <v>2</v>
      </c>
      <c r="H185" s="58" t="s">
        <v>2</v>
      </c>
      <c r="I185" s="31"/>
      <c r="J185" s="31"/>
      <c r="K185" s="31"/>
      <c r="L185" s="31"/>
      <c r="M185" s="33"/>
      <c r="N185" s="33"/>
      <c r="O185" s="58" t="s">
        <v>2</v>
      </c>
      <c r="P185" s="58" t="s">
        <v>2</v>
      </c>
      <c r="Q185" s="31"/>
      <c r="R185" s="31"/>
      <c r="S185" s="31"/>
      <c r="T185" s="31"/>
      <c r="U185" s="59"/>
      <c r="V185" s="33"/>
      <c r="W185" s="58" t="s">
        <v>2</v>
      </c>
      <c r="X185" s="58" t="s">
        <v>2</v>
      </c>
      <c r="Y185" s="31"/>
      <c r="Z185" s="31"/>
      <c r="AA185" s="31"/>
      <c r="AB185" s="31"/>
      <c r="AC185" s="33"/>
      <c r="AD185" s="33"/>
      <c r="AE185" s="58" t="s">
        <v>2</v>
      </c>
      <c r="AF185" s="58" t="s">
        <v>2</v>
      </c>
      <c r="AH185" s="16">
        <f t="shared" si="22"/>
        <v>0</v>
      </c>
      <c r="AI185" s="16">
        <f t="shared" si="23"/>
        <v>0</v>
      </c>
    </row>
    <row r="186" spans="1:35" ht="20.100000000000001" hidden="1" customHeight="1">
      <c r="A186" s="18" t="str">
        <f>ÖSSZES!$A$17</f>
        <v>Név15</v>
      </c>
      <c r="B186" s="31"/>
      <c r="C186" s="31"/>
      <c r="D186" s="31"/>
      <c r="E186" s="33"/>
      <c r="F186" s="33"/>
      <c r="G186" s="58" t="s">
        <v>2</v>
      </c>
      <c r="H186" s="58" t="s">
        <v>2</v>
      </c>
      <c r="I186" s="31"/>
      <c r="J186" s="31"/>
      <c r="K186" s="31"/>
      <c r="L186" s="31"/>
      <c r="M186" s="33"/>
      <c r="N186" s="33"/>
      <c r="O186" s="58" t="s">
        <v>2</v>
      </c>
      <c r="P186" s="58" t="s">
        <v>2</v>
      </c>
      <c r="Q186" s="31"/>
      <c r="R186" s="31"/>
      <c r="S186" s="31"/>
      <c r="T186" s="31"/>
      <c r="U186" s="59"/>
      <c r="V186" s="33"/>
      <c r="W186" s="58" t="s">
        <v>2</v>
      </c>
      <c r="X186" s="58" t="s">
        <v>2</v>
      </c>
      <c r="Y186" s="31"/>
      <c r="Z186" s="31"/>
      <c r="AA186" s="31"/>
      <c r="AB186" s="31"/>
      <c r="AC186" s="33"/>
      <c r="AD186" s="33"/>
      <c r="AE186" s="58" t="s">
        <v>2</v>
      </c>
      <c r="AF186" s="58" t="s">
        <v>2</v>
      </c>
      <c r="AH186" s="16">
        <f t="shared" si="22"/>
        <v>0</v>
      </c>
      <c r="AI186" s="16">
        <f t="shared" si="23"/>
        <v>0</v>
      </c>
    </row>
    <row r="187" spans="1:35" ht="20.100000000000001" hidden="1" customHeight="1">
      <c r="A187" s="18" t="str">
        <f>ÖSSZES!$A$18</f>
        <v>Név16</v>
      </c>
      <c r="B187" s="31"/>
      <c r="C187" s="31"/>
      <c r="D187" s="31"/>
      <c r="E187" s="33"/>
      <c r="F187" s="33"/>
      <c r="G187" s="58" t="s">
        <v>2</v>
      </c>
      <c r="H187" s="58" t="s">
        <v>2</v>
      </c>
      <c r="I187" s="31"/>
      <c r="J187" s="31"/>
      <c r="K187" s="31"/>
      <c r="L187" s="31"/>
      <c r="M187" s="33"/>
      <c r="N187" s="33"/>
      <c r="O187" s="58" t="s">
        <v>2</v>
      </c>
      <c r="P187" s="58" t="s">
        <v>2</v>
      </c>
      <c r="Q187" s="31"/>
      <c r="R187" s="31"/>
      <c r="S187" s="31"/>
      <c r="T187" s="31"/>
      <c r="U187" s="59"/>
      <c r="V187" s="33"/>
      <c r="W187" s="58" t="s">
        <v>2</v>
      </c>
      <c r="X187" s="58" t="s">
        <v>2</v>
      </c>
      <c r="Y187" s="31"/>
      <c r="Z187" s="31"/>
      <c r="AA187" s="31"/>
      <c r="AB187" s="31"/>
      <c r="AC187" s="33"/>
      <c r="AD187" s="33"/>
      <c r="AE187" s="58" t="s">
        <v>2</v>
      </c>
      <c r="AF187" s="58" t="s">
        <v>2</v>
      </c>
      <c r="AH187" s="16">
        <f t="shared" si="22"/>
        <v>0</v>
      </c>
      <c r="AI187" s="16">
        <f t="shared" si="23"/>
        <v>0</v>
      </c>
    </row>
    <row r="188" spans="1:35" ht="20.100000000000001" hidden="1" customHeight="1">
      <c r="A188" s="18" t="str">
        <f>ÖSSZES!$A$19</f>
        <v>Név17</v>
      </c>
      <c r="B188" s="31"/>
      <c r="C188" s="31"/>
      <c r="D188" s="31"/>
      <c r="E188" s="33"/>
      <c r="F188" s="33"/>
      <c r="G188" s="58" t="s">
        <v>2</v>
      </c>
      <c r="H188" s="58" t="s">
        <v>2</v>
      </c>
      <c r="I188" s="31"/>
      <c r="J188" s="31"/>
      <c r="K188" s="31"/>
      <c r="L188" s="31"/>
      <c r="M188" s="33"/>
      <c r="N188" s="33"/>
      <c r="O188" s="58" t="s">
        <v>2</v>
      </c>
      <c r="P188" s="58" t="s">
        <v>2</v>
      </c>
      <c r="Q188" s="31"/>
      <c r="R188" s="31"/>
      <c r="S188" s="31"/>
      <c r="T188" s="31"/>
      <c r="U188" s="59"/>
      <c r="V188" s="33"/>
      <c r="W188" s="58" t="s">
        <v>2</v>
      </c>
      <c r="X188" s="58" t="s">
        <v>2</v>
      </c>
      <c r="Y188" s="31"/>
      <c r="Z188" s="31"/>
      <c r="AA188" s="31"/>
      <c r="AB188" s="31"/>
      <c r="AC188" s="33"/>
      <c r="AD188" s="33"/>
      <c r="AE188" s="58" t="s">
        <v>2</v>
      </c>
      <c r="AF188" s="58" t="s">
        <v>2</v>
      </c>
      <c r="AH188" s="16">
        <f t="shared" si="22"/>
        <v>0</v>
      </c>
      <c r="AI188" s="16">
        <f t="shared" si="23"/>
        <v>0</v>
      </c>
    </row>
    <row r="189" spans="1:35" ht="20.100000000000001" hidden="1" customHeight="1">
      <c r="A189" s="18" t="str">
        <f>ÖSSZES!$A$20</f>
        <v>Név18</v>
      </c>
      <c r="B189" s="31"/>
      <c r="C189" s="31"/>
      <c r="D189" s="31"/>
      <c r="E189" s="33"/>
      <c r="F189" s="33"/>
      <c r="G189" s="58" t="s">
        <v>2</v>
      </c>
      <c r="H189" s="58" t="s">
        <v>2</v>
      </c>
      <c r="I189" s="31"/>
      <c r="J189" s="31"/>
      <c r="K189" s="31"/>
      <c r="L189" s="31"/>
      <c r="M189" s="33"/>
      <c r="N189" s="33"/>
      <c r="O189" s="58" t="s">
        <v>2</v>
      </c>
      <c r="P189" s="58" t="s">
        <v>2</v>
      </c>
      <c r="Q189" s="31"/>
      <c r="R189" s="31"/>
      <c r="S189" s="31"/>
      <c r="T189" s="31"/>
      <c r="U189" s="59"/>
      <c r="V189" s="33"/>
      <c r="W189" s="58" t="s">
        <v>2</v>
      </c>
      <c r="X189" s="58" t="s">
        <v>2</v>
      </c>
      <c r="Y189" s="31"/>
      <c r="Z189" s="31"/>
      <c r="AA189" s="31"/>
      <c r="AB189" s="31"/>
      <c r="AC189" s="33"/>
      <c r="AD189" s="33"/>
      <c r="AE189" s="58" t="s">
        <v>2</v>
      </c>
      <c r="AF189" s="58" t="s">
        <v>2</v>
      </c>
      <c r="AH189" s="16">
        <f t="shared" si="22"/>
        <v>0</v>
      </c>
      <c r="AI189" s="16">
        <f t="shared" si="23"/>
        <v>0</v>
      </c>
    </row>
    <row r="190" spans="1:35" ht="20.100000000000001" hidden="1" customHeight="1">
      <c r="A190" s="18" t="str">
        <f>ÖSSZES!$A$21</f>
        <v>Név19</v>
      </c>
      <c r="B190" s="31"/>
      <c r="C190" s="31"/>
      <c r="D190" s="31"/>
      <c r="E190" s="33"/>
      <c r="F190" s="33"/>
      <c r="G190" s="58" t="s">
        <v>2</v>
      </c>
      <c r="H190" s="58" t="s">
        <v>2</v>
      </c>
      <c r="I190" s="31"/>
      <c r="J190" s="31"/>
      <c r="K190" s="31"/>
      <c r="L190" s="31"/>
      <c r="M190" s="33"/>
      <c r="N190" s="33"/>
      <c r="O190" s="58" t="s">
        <v>2</v>
      </c>
      <c r="P190" s="58" t="s">
        <v>2</v>
      </c>
      <c r="Q190" s="31"/>
      <c r="R190" s="31"/>
      <c r="S190" s="31"/>
      <c r="T190" s="31"/>
      <c r="U190" s="59"/>
      <c r="V190" s="33"/>
      <c r="W190" s="58" t="s">
        <v>2</v>
      </c>
      <c r="X190" s="58" t="s">
        <v>2</v>
      </c>
      <c r="Y190" s="31"/>
      <c r="Z190" s="31"/>
      <c r="AA190" s="31"/>
      <c r="AB190" s="31"/>
      <c r="AC190" s="33"/>
      <c r="AD190" s="33"/>
      <c r="AE190" s="58" t="s">
        <v>2</v>
      </c>
      <c r="AF190" s="58" t="s">
        <v>2</v>
      </c>
      <c r="AH190" s="16">
        <f t="shared" si="22"/>
        <v>0</v>
      </c>
      <c r="AI190" s="16">
        <f t="shared" si="23"/>
        <v>0</v>
      </c>
    </row>
    <row r="191" spans="1:35" ht="20.100000000000001" hidden="1" customHeight="1">
      <c r="A191" s="18" t="str">
        <f>ÖSSZES!$A$17</f>
        <v>Név15</v>
      </c>
      <c r="B191" s="31"/>
      <c r="C191" s="31"/>
      <c r="D191" s="31"/>
      <c r="E191" s="33"/>
      <c r="F191" s="33"/>
      <c r="G191" s="58" t="s">
        <v>2</v>
      </c>
      <c r="H191" s="58" t="s">
        <v>2</v>
      </c>
      <c r="I191" s="31"/>
      <c r="J191" s="31"/>
      <c r="K191" s="31"/>
      <c r="L191" s="31"/>
      <c r="M191" s="33"/>
      <c r="N191" s="33"/>
      <c r="O191" s="58" t="s">
        <v>2</v>
      </c>
      <c r="P191" s="58" t="s">
        <v>2</v>
      </c>
      <c r="Q191" s="31"/>
      <c r="R191" s="31"/>
      <c r="S191" s="31"/>
      <c r="T191" s="31"/>
      <c r="U191" s="59"/>
      <c r="V191" s="33"/>
      <c r="W191" s="58" t="s">
        <v>2</v>
      </c>
      <c r="X191" s="58" t="s">
        <v>2</v>
      </c>
      <c r="Y191" s="31"/>
      <c r="Z191" s="31"/>
      <c r="AA191" s="31"/>
      <c r="AB191" s="31"/>
      <c r="AC191" s="33"/>
      <c r="AD191" s="33"/>
      <c r="AE191" s="58" t="s">
        <v>2</v>
      </c>
      <c r="AF191" s="58" t="s">
        <v>2</v>
      </c>
      <c r="AH191" s="16">
        <f t="shared" si="22"/>
        <v>0</v>
      </c>
      <c r="AI191" s="16">
        <f t="shared" si="23"/>
        <v>0</v>
      </c>
    </row>
    <row r="192" spans="1:35" ht="20.100000000000001" customHeight="1"/>
    <row r="193" spans="1:35" s="25" customFormat="1" ht="20.100000000000001" customHeight="1">
      <c r="A193" s="88" t="s">
        <v>13</v>
      </c>
      <c r="B193" s="24">
        <v>1</v>
      </c>
      <c r="C193" s="24">
        <v>2</v>
      </c>
      <c r="D193" s="24">
        <v>3</v>
      </c>
      <c r="E193" s="24">
        <v>4</v>
      </c>
      <c r="F193" s="24">
        <v>5</v>
      </c>
      <c r="G193" s="24">
        <v>6</v>
      </c>
      <c r="H193" s="24">
        <v>7</v>
      </c>
      <c r="I193" s="24">
        <v>8</v>
      </c>
      <c r="J193" s="24">
        <v>9</v>
      </c>
      <c r="K193" s="24">
        <v>10</v>
      </c>
      <c r="L193" s="24">
        <v>11</v>
      </c>
      <c r="M193" s="24">
        <v>12</v>
      </c>
      <c r="N193" s="24">
        <v>13</v>
      </c>
      <c r="O193" s="24">
        <v>14</v>
      </c>
      <c r="P193" s="24">
        <v>15</v>
      </c>
      <c r="Q193" s="24">
        <v>16</v>
      </c>
      <c r="R193" s="24">
        <v>17</v>
      </c>
      <c r="S193" s="24">
        <v>18</v>
      </c>
      <c r="T193" s="24">
        <v>19</v>
      </c>
      <c r="U193" s="24">
        <v>20</v>
      </c>
      <c r="V193" s="24">
        <v>21</v>
      </c>
      <c r="W193" s="24">
        <v>22</v>
      </c>
      <c r="X193" s="24">
        <v>23</v>
      </c>
      <c r="Y193" s="24">
        <v>24</v>
      </c>
      <c r="Z193" s="24">
        <v>25</v>
      </c>
      <c r="AA193" s="24">
        <v>26</v>
      </c>
      <c r="AB193" s="24">
        <v>27</v>
      </c>
      <c r="AC193" s="24">
        <v>28</v>
      </c>
      <c r="AD193" s="24">
        <v>29</v>
      </c>
      <c r="AE193" s="24">
        <v>30</v>
      </c>
      <c r="AH193" s="88" t="s">
        <v>18</v>
      </c>
      <c r="AI193" s="88" t="s">
        <v>19</v>
      </c>
    </row>
    <row r="194" spans="1:35" ht="20.100000000000001" customHeight="1">
      <c r="A194" s="90"/>
      <c r="B194" s="26" t="str">
        <f>'2020'!B68</f>
        <v>K</v>
      </c>
      <c r="C194" s="26" t="str">
        <f>'2020'!C68</f>
        <v>Sze</v>
      </c>
      <c r="D194" s="26" t="str">
        <f>'2020'!D68</f>
        <v>Cs</v>
      </c>
      <c r="E194" s="26" t="str">
        <f>'2020'!E68</f>
        <v>P</v>
      </c>
      <c r="F194" s="26" t="str">
        <f>'2020'!F68</f>
        <v>Szo</v>
      </c>
      <c r="G194" s="26" t="str">
        <f>'2020'!G68</f>
        <v>V</v>
      </c>
      <c r="H194" s="26" t="str">
        <f>'2020'!H68</f>
        <v>H</v>
      </c>
      <c r="I194" s="26" t="str">
        <f>'2020'!I68</f>
        <v>K</v>
      </c>
      <c r="J194" s="26" t="str">
        <f>'2020'!J68</f>
        <v>Sze</v>
      </c>
      <c r="K194" s="26" t="str">
        <f>'2020'!K68</f>
        <v>Cs</v>
      </c>
      <c r="L194" s="26" t="str">
        <f>'2020'!L68</f>
        <v>P</v>
      </c>
      <c r="M194" s="26" t="str">
        <f>'2020'!M68</f>
        <v>Szo</v>
      </c>
      <c r="N194" s="26" t="str">
        <f>'2020'!N68</f>
        <v>V</v>
      </c>
      <c r="O194" s="26" t="str">
        <f>'2020'!O68</f>
        <v>H</v>
      </c>
      <c r="P194" s="26" t="str">
        <f>'2020'!P68</f>
        <v>K</v>
      </c>
      <c r="Q194" s="26" t="str">
        <f>'2020'!Q68</f>
        <v>Sze</v>
      </c>
      <c r="R194" s="26" t="str">
        <f>'2020'!R68</f>
        <v>Cs</v>
      </c>
      <c r="S194" s="26" t="str">
        <f>'2020'!S68</f>
        <v>P</v>
      </c>
      <c r="T194" s="26" t="str">
        <f>'2020'!T68</f>
        <v>Szo</v>
      </c>
      <c r="U194" s="26" t="str">
        <f>'2020'!U68</f>
        <v>V</v>
      </c>
      <c r="V194" s="26" t="str">
        <f>'2020'!V68</f>
        <v>H</v>
      </c>
      <c r="W194" s="26" t="str">
        <f>'2020'!W68</f>
        <v>K</v>
      </c>
      <c r="X194" s="26" t="str">
        <f>'2020'!X68</f>
        <v>Sze</v>
      </c>
      <c r="Y194" s="26" t="str">
        <f>'2020'!Y68</f>
        <v>Cs</v>
      </c>
      <c r="Z194" s="26" t="str">
        <f>'2020'!Z68</f>
        <v>P</v>
      </c>
      <c r="AA194" s="26" t="str">
        <f>'2020'!AA68</f>
        <v>Szo</v>
      </c>
      <c r="AB194" s="26" t="str">
        <f>'2020'!AB68</f>
        <v>V</v>
      </c>
      <c r="AC194" s="26" t="str">
        <f>'2020'!AC68</f>
        <v>H</v>
      </c>
      <c r="AD194" s="26" t="str">
        <f>'2020'!AD68</f>
        <v>K</v>
      </c>
      <c r="AE194" s="26" t="str">
        <f>'2020'!AE68</f>
        <v>Sze</v>
      </c>
      <c r="AF194" s="21"/>
      <c r="AH194" s="89"/>
      <c r="AI194" s="89"/>
    </row>
    <row r="195" spans="1:35" ht="20.100000000000001" customHeight="1">
      <c r="A195" s="89"/>
      <c r="B195" s="26">
        <f>'2020'!B69</f>
        <v>2</v>
      </c>
      <c r="C195" s="26">
        <f>'2020'!C69</f>
        <v>2</v>
      </c>
      <c r="D195" s="26">
        <f>'2020'!D69</f>
        <v>2</v>
      </c>
      <c r="E195" s="26">
        <f>'2020'!E69</f>
        <v>2</v>
      </c>
      <c r="F195" s="26">
        <f>'2020'!F69</f>
        <v>2</v>
      </c>
      <c r="G195" s="26">
        <f>'2020'!G69</f>
        <v>2</v>
      </c>
      <c r="H195" s="26" t="str">
        <f>'2020'!H69</f>
        <v>X</v>
      </c>
      <c r="I195" s="26" t="str">
        <f>'2020'!I69</f>
        <v>X</v>
      </c>
      <c r="J195" s="26">
        <f>'2020'!J69</f>
        <v>1</v>
      </c>
      <c r="K195" s="26">
        <f>'2020'!K69</f>
        <v>1</v>
      </c>
      <c r="L195" s="26">
        <f>'2020'!L69</f>
        <v>1</v>
      </c>
      <c r="M195" s="26">
        <f>'2020'!M69</f>
        <v>1</v>
      </c>
      <c r="N195" s="26">
        <f>'2020'!N69</f>
        <v>1</v>
      </c>
      <c r="O195" s="26">
        <f>'2020'!O69</f>
        <v>1</v>
      </c>
      <c r="P195" s="26" t="str">
        <f>'2020'!P69</f>
        <v>X</v>
      </c>
      <c r="Q195" s="26" t="str">
        <f>'2020'!Q69</f>
        <v>X</v>
      </c>
      <c r="R195" s="26">
        <f>'2020'!R69</f>
        <v>3</v>
      </c>
      <c r="S195" s="26">
        <f>'2020'!S69</f>
        <v>3</v>
      </c>
      <c r="T195" s="26">
        <f>'2020'!T69</f>
        <v>3</v>
      </c>
      <c r="U195" s="26">
        <f>'2020'!U69</f>
        <v>3</v>
      </c>
      <c r="V195" s="26">
        <f>'2020'!V69</f>
        <v>3</v>
      </c>
      <c r="W195" s="26">
        <f>'2020'!W69</f>
        <v>3</v>
      </c>
      <c r="X195" s="26" t="str">
        <f>'2020'!X69</f>
        <v>X</v>
      </c>
      <c r="Y195" s="26" t="str">
        <f>'2020'!Y69</f>
        <v>X</v>
      </c>
      <c r="Z195" s="26">
        <f>'2020'!Z69</f>
        <v>2</v>
      </c>
      <c r="AA195" s="26">
        <f>'2020'!AA69</f>
        <v>2</v>
      </c>
      <c r="AB195" s="26">
        <f>'2020'!AB69</f>
        <v>2</v>
      </c>
      <c r="AC195" s="26">
        <f>'2020'!AC69</f>
        <v>2</v>
      </c>
      <c r="AD195" s="26">
        <f>'2020'!AD69</f>
        <v>2</v>
      </c>
      <c r="AE195" s="26">
        <f>'2020'!AE69</f>
        <v>2</v>
      </c>
      <c r="AF195" s="21"/>
      <c r="AH195" s="89"/>
      <c r="AI195" s="89"/>
    </row>
    <row r="196" spans="1:35" ht="20.100000000000001" customHeight="1">
      <c r="A196" s="18" t="str">
        <f>ÖSSZES!$A$3</f>
        <v>Csuka Lajos</v>
      </c>
      <c r="B196" s="31"/>
      <c r="C196" s="31"/>
      <c r="D196" s="31"/>
      <c r="E196" s="31"/>
      <c r="F196" s="33"/>
      <c r="G196" s="33"/>
      <c r="H196" s="58" t="s">
        <v>2</v>
      </c>
      <c r="I196" s="58" t="s">
        <v>2</v>
      </c>
      <c r="J196" s="31"/>
      <c r="K196" s="31"/>
      <c r="L196" s="31"/>
      <c r="M196" s="31"/>
      <c r="N196" s="33"/>
      <c r="O196" s="33"/>
      <c r="P196" s="58" t="s">
        <v>2</v>
      </c>
      <c r="Q196" s="58" t="s">
        <v>2</v>
      </c>
      <c r="R196" s="31"/>
      <c r="S196" s="31"/>
      <c r="T196" s="31"/>
      <c r="U196" s="31"/>
      <c r="V196" s="33"/>
      <c r="W196" s="33"/>
      <c r="X196" s="58" t="s">
        <v>2</v>
      </c>
      <c r="Y196" s="58" t="s">
        <v>2</v>
      </c>
      <c r="Z196" s="31"/>
      <c r="AA196" s="31"/>
      <c r="AB196" s="31"/>
      <c r="AC196" s="31"/>
      <c r="AD196" s="33"/>
      <c r="AE196" s="33"/>
      <c r="AF196" s="21"/>
      <c r="AH196" s="16">
        <f>1*COUNTIF(A196:AF196,"+")</f>
        <v>0</v>
      </c>
      <c r="AI196" s="16">
        <f t="shared" ref="AI196" si="24">1*COUNTIF(B196:AF196,"szf")</f>
        <v>0</v>
      </c>
    </row>
    <row r="197" spans="1:35" ht="20.100000000000001" customHeight="1">
      <c r="A197" s="18" t="str">
        <f>ÖSSZES!$A$4</f>
        <v>Batiz Attila</v>
      </c>
      <c r="B197" s="31"/>
      <c r="C197" s="31"/>
      <c r="D197" s="31"/>
      <c r="E197" s="31"/>
      <c r="F197" s="33"/>
      <c r="G197" s="33"/>
      <c r="H197" s="58" t="s">
        <v>2</v>
      </c>
      <c r="I197" s="58" t="s">
        <v>2</v>
      </c>
      <c r="J197" s="31"/>
      <c r="K197" s="31"/>
      <c r="L197" s="31"/>
      <c r="M197" s="31"/>
      <c r="N197" s="33"/>
      <c r="O197" s="33"/>
      <c r="P197" s="58" t="s">
        <v>2</v>
      </c>
      <c r="Q197" s="58" t="s">
        <v>2</v>
      </c>
      <c r="R197" s="31"/>
      <c r="S197" s="31"/>
      <c r="T197" s="31"/>
      <c r="U197" s="31"/>
      <c r="V197" s="33"/>
      <c r="W197" s="33"/>
      <c r="X197" s="58" t="s">
        <v>2</v>
      </c>
      <c r="Y197" s="58" t="s">
        <v>2</v>
      </c>
      <c r="Z197" s="31"/>
      <c r="AA197" s="31"/>
      <c r="AB197" s="31"/>
      <c r="AC197" s="31"/>
      <c r="AD197" s="33"/>
      <c r="AE197" s="33"/>
      <c r="AF197" s="21"/>
      <c r="AH197" s="16">
        <f t="shared" ref="AH197:AH215" si="25">1*COUNTIF(A197:AF197,"+")</f>
        <v>0</v>
      </c>
      <c r="AI197" s="16">
        <f t="shared" ref="AI197:AI215" si="26">1*COUNTIF(B197:AF197,"szf")</f>
        <v>0</v>
      </c>
    </row>
    <row r="198" spans="1:35" ht="20.100000000000001" customHeight="1">
      <c r="A198" s="18" t="str">
        <f>ÖSSZES!$A$5</f>
        <v>Mizsák Péter</v>
      </c>
      <c r="B198" s="31"/>
      <c r="C198" s="31"/>
      <c r="D198" s="31"/>
      <c r="E198" s="31"/>
      <c r="F198" s="33"/>
      <c r="G198" s="33"/>
      <c r="H198" s="58" t="s">
        <v>2</v>
      </c>
      <c r="I198" s="58" t="s">
        <v>2</v>
      </c>
      <c r="J198" s="31"/>
      <c r="K198" s="31"/>
      <c r="L198" s="31"/>
      <c r="M198" s="31"/>
      <c r="N198" s="33"/>
      <c r="O198" s="33"/>
      <c r="P198" s="58" t="s">
        <v>2</v>
      </c>
      <c r="Q198" s="58" t="s">
        <v>2</v>
      </c>
      <c r="R198" s="31"/>
      <c r="S198" s="31"/>
      <c r="T198" s="31"/>
      <c r="U198" s="31"/>
      <c r="V198" s="33"/>
      <c r="W198" s="33"/>
      <c r="X198" s="58" t="s">
        <v>2</v>
      </c>
      <c r="Y198" s="58" t="s">
        <v>2</v>
      </c>
      <c r="Z198" s="31"/>
      <c r="AA198" s="31"/>
      <c r="AB198" s="31"/>
      <c r="AC198" s="31"/>
      <c r="AD198" s="33"/>
      <c r="AE198" s="33"/>
      <c r="AF198" s="21"/>
      <c r="AH198" s="16">
        <f t="shared" si="25"/>
        <v>0</v>
      </c>
      <c r="AI198" s="16">
        <f t="shared" si="26"/>
        <v>0</v>
      </c>
    </row>
    <row r="199" spans="1:35" ht="20.100000000000001" customHeight="1">
      <c r="A199" s="18" t="str">
        <f>ÖSSZES!$A$6</f>
        <v>Füredi Antal</v>
      </c>
      <c r="B199" s="31"/>
      <c r="C199" s="31"/>
      <c r="D199" s="31"/>
      <c r="E199" s="31"/>
      <c r="F199" s="33"/>
      <c r="G199" s="33"/>
      <c r="H199" s="58" t="s">
        <v>2</v>
      </c>
      <c r="I199" s="58" t="s">
        <v>2</v>
      </c>
      <c r="J199" s="31"/>
      <c r="K199" s="31"/>
      <c r="L199" s="31"/>
      <c r="M199" s="31"/>
      <c r="N199" s="33"/>
      <c r="O199" s="33"/>
      <c r="P199" s="58" t="s">
        <v>2</v>
      </c>
      <c r="Q199" s="58" t="s">
        <v>2</v>
      </c>
      <c r="R199" s="31"/>
      <c r="S199" s="31"/>
      <c r="T199" s="31"/>
      <c r="U199" s="31"/>
      <c r="V199" s="33"/>
      <c r="W199" s="33"/>
      <c r="X199" s="58" t="s">
        <v>2</v>
      </c>
      <c r="Y199" s="58" t="s">
        <v>2</v>
      </c>
      <c r="Z199" s="31"/>
      <c r="AA199" s="31"/>
      <c r="AB199" s="31"/>
      <c r="AC199" s="31"/>
      <c r="AD199" s="33"/>
      <c r="AE199" s="33"/>
      <c r="AF199" s="21"/>
      <c r="AH199" s="16">
        <f t="shared" si="25"/>
        <v>0</v>
      </c>
      <c r="AI199" s="16">
        <f t="shared" si="26"/>
        <v>0</v>
      </c>
    </row>
    <row r="200" spans="1:35" ht="20.100000000000001" customHeight="1">
      <c r="A200" s="18" t="str">
        <f>ÖSSZES!$A$7</f>
        <v>Iványi István</v>
      </c>
      <c r="B200" s="31"/>
      <c r="C200" s="31"/>
      <c r="D200" s="31"/>
      <c r="E200" s="31"/>
      <c r="F200" s="33"/>
      <c r="G200" s="33"/>
      <c r="H200" s="58" t="s">
        <v>2</v>
      </c>
      <c r="I200" s="58" t="s">
        <v>2</v>
      </c>
      <c r="J200" s="31"/>
      <c r="K200" s="31"/>
      <c r="L200" s="31"/>
      <c r="M200" s="31"/>
      <c r="N200" s="33"/>
      <c r="O200" s="33"/>
      <c r="P200" s="58" t="s">
        <v>2</v>
      </c>
      <c r="Q200" s="58" t="s">
        <v>2</v>
      </c>
      <c r="R200" s="31"/>
      <c r="S200" s="31"/>
      <c r="T200" s="31"/>
      <c r="U200" s="31"/>
      <c r="V200" s="33"/>
      <c r="W200" s="33"/>
      <c r="X200" s="58" t="s">
        <v>2</v>
      </c>
      <c r="Y200" s="58" t="s">
        <v>2</v>
      </c>
      <c r="Z200" s="31"/>
      <c r="AA200" s="31"/>
      <c r="AB200" s="31"/>
      <c r="AC200" s="31"/>
      <c r="AD200" s="33"/>
      <c r="AE200" s="33"/>
      <c r="AF200" s="21"/>
      <c r="AH200" s="16">
        <f t="shared" si="25"/>
        <v>0</v>
      </c>
      <c r="AI200" s="16">
        <f t="shared" si="26"/>
        <v>0</v>
      </c>
    </row>
    <row r="201" spans="1:35" ht="20.100000000000001" customHeight="1">
      <c r="A201" s="18" t="str">
        <f>ÖSSZES!$A$8</f>
        <v>Katonka Tibor</v>
      </c>
      <c r="B201" s="31"/>
      <c r="C201" s="31"/>
      <c r="D201" s="31"/>
      <c r="E201" s="31"/>
      <c r="F201" s="33"/>
      <c r="G201" s="33"/>
      <c r="H201" s="58" t="s">
        <v>2</v>
      </c>
      <c r="I201" s="58" t="s">
        <v>2</v>
      </c>
      <c r="J201" s="31"/>
      <c r="K201" s="31"/>
      <c r="L201" s="31"/>
      <c r="M201" s="31"/>
      <c r="N201" s="33"/>
      <c r="O201" s="33"/>
      <c r="P201" s="58" t="s">
        <v>2</v>
      </c>
      <c r="Q201" s="58" t="s">
        <v>2</v>
      </c>
      <c r="R201" s="31"/>
      <c r="S201" s="31"/>
      <c r="T201" s="31"/>
      <c r="U201" s="31"/>
      <c r="V201" s="33"/>
      <c r="W201" s="33"/>
      <c r="X201" s="58" t="s">
        <v>2</v>
      </c>
      <c r="Y201" s="58" t="s">
        <v>2</v>
      </c>
      <c r="Z201" s="31"/>
      <c r="AA201" s="31"/>
      <c r="AB201" s="31"/>
      <c r="AC201" s="31"/>
      <c r="AD201" s="33"/>
      <c r="AE201" s="33"/>
      <c r="AF201" s="21"/>
      <c r="AH201" s="16">
        <f t="shared" si="25"/>
        <v>0</v>
      </c>
      <c r="AI201" s="16">
        <f t="shared" si="26"/>
        <v>0</v>
      </c>
    </row>
    <row r="202" spans="1:35" ht="20.100000000000001" hidden="1" customHeight="1">
      <c r="A202" s="18" t="str">
        <f>ÖSSZES!$A$9</f>
        <v>Kiss János Tamás</v>
      </c>
      <c r="B202" s="31"/>
      <c r="C202" s="31"/>
      <c r="D202" s="31"/>
      <c r="E202" s="31"/>
      <c r="F202" s="33"/>
      <c r="G202" s="33"/>
      <c r="H202" s="58" t="s">
        <v>2</v>
      </c>
      <c r="I202" s="58" t="s">
        <v>2</v>
      </c>
      <c r="J202" s="31"/>
      <c r="K202" s="31"/>
      <c r="L202" s="31"/>
      <c r="M202" s="31"/>
      <c r="N202" s="33"/>
      <c r="O202" s="33"/>
      <c r="P202" s="58" t="s">
        <v>2</v>
      </c>
      <c r="Q202" s="58" t="s">
        <v>2</v>
      </c>
      <c r="R202" s="31"/>
      <c r="S202" s="31"/>
      <c r="T202" s="31"/>
      <c r="U202" s="31"/>
      <c r="V202" s="33"/>
      <c r="W202" s="33"/>
      <c r="X202" s="58" t="s">
        <v>2</v>
      </c>
      <c r="Y202" s="58" t="s">
        <v>2</v>
      </c>
      <c r="Z202" s="31"/>
      <c r="AA202" s="31"/>
      <c r="AB202" s="31"/>
      <c r="AC202" s="31"/>
      <c r="AD202" s="33"/>
      <c r="AE202" s="33"/>
      <c r="AF202" s="21"/>
      <c r="AH202" s="16">
        <f t="shared" si="25"/>
        <v>0</v>
      </c>
      <c r="AI202" s="16">
        <f t="shared" si="26"/>
        <v>0</v>
      </c>
    </row>
    <row r="203" spans="1:35" ht="20.100000000000001" customHeight="1">
      <c r="A203" s="18" t="str">
        <f>ÖSSZES!$A$10</f>
        <v>Vatamány Gergő</v>
      </c>
      <c r="B203" s="31"/>
      <c r="C203" s="31"/>
      <c r="D203" s="31"/>
      <c r="E203" s="31"/>
      <c r="F203" s="33"/>
      <c r="G203" s="33"/>
      <c r="H203" s="58" t="s">
        <v>2</v>
      </c>
      <c r="I203" s="58" t="s">
        <v>2</v>
      </c>
      <c r="J203" s="31"/>
      <c r="K203" s="31"/>
      <c r="L203" s="31"/>
      <c r="M203" s="31"/>
      <c r="N203" s="33"/>
      <c r="O203" s="33"/>
      <c r="P203" s="58" t="s">
        <v>2</v>
      </c>
      <c r="Q203" s="58" t="s">
        <v>2</v>
      </c>
      <c r="R203" s="31"/>
      <c r="S203" s="31"/>
      <c r="T203" s="31"/>
      <c r="U203" s="31"/>
      <c r="V203" s="33"/>
      <c r="W203" s="33"/>
      <c r="X203" s="58" t="s">
        <v>2</v>
      </c>
      <c r="Y203" s="58" t="s">
        <v>2</v>
      </c>
      <c r="Z203" s="31"/>
      <c r="AA203" s="31"/>
      <c r="AB203" s="31"/>
      <c r="AC203" s="31"/>
      <c r="AD203" s="33"/>
      <c r="AE203" s="33"/>
      <c r="AF203" s="21"/>
      <c r="AH203" s="16">
        <f t="shared" si="25"/>
        <v>0</v>
      </c>
      <c r="AI203" s="16">
        <f t="shared" si="26"/>
        <v>0</v>
      </c>
    </row>
    <row r="204" spans="1:35" ht="20.100000000000001" hidden="1" customHeight="1">
      <c r="A204" s="18" t="str">
        <f>ÖSSZES!$A$11</f>
        <v>Név9</v>
      </c>
      <c r="B204" s="31"/>
      <c r="C204" s="31"/>
      <c r="D204" s="31"/>
      <c r="E204" s="31"/>
      <c r="F204" s="33"/>
      <c r="G204" s="33"/>
      <c r="H204" s="58" t="s">
        <v>2</v>
      </c>
      <c r="I204" s="58" t="s">
        <v>2</v>
      </c>
      <c r="J204" s="31"/>
      <c r="K204" s="31"/>
      <c r="L204" s="31"/>
      <c r="M204" s="31"/>
      <c r="N204" s="33"/>
      <c r="O204" s="33"/>
      <c r="P204" s="58" t="s">
        <v>2</v>
      </c>
      <c r="Q204" s="58" t="s">
        <v>2</v>
      </c>
      <c r="R204" s="31"/>
      <c r="S204" s="31"/>
      <c r="T204" s="31"/>
      <c r="U204" s="31"/>
      <c r="V204" s="33"/>
      <c r="W204" s="33"/>
      <c r="X204" s="58" t="s">
        <v>2</v>
      </c>
      <c r="Y204" s="58" t="s">
        <v>2</v>
      </c>
      <c r="Z204" s="31"/>
      <c r="AA204" s="31"/>
      <c r="AB204" s="31"/>
      <c r="AC204" s="31"/>
      <c r="AD204" s="33"/>
      <c r="AE204" s="33"/>
      <c r="AF204" s="21"/>
      <c r="AH204" s="16">
        <f t="shared" si="25"/>
        <v>0</v>
      </c>
      <c r="AI204" s="16">
        <f t="shared" si="26"/>
        <v>0</v>
      </c>
    </row>
    <row r="205" spans="1:35" ht="20.100000000000001" hidden="1" customHeight="1">
      <c r="A205" s="18" t="str">
        <f>ÖSSZES!$A$12</f>
        <v>Név10</v>
      </c>
      <c r="B205" s="31"/>
      <c r="C205" s="31"/>
      <c r="D205" s="31"/>
      <c r="E205" s="31"/>
      <c r="F205" s="33"/>
      <c r="G205" s="33"/>
      <c r="H205" s="58" t="s">
        <v>2</v>
      </c>
      <c r="I205" s="58" t="s">
        <v>2</v>
      </c>
      <c r="J205" s="31"/>
      <c r="K205" s="31"/>
      <c r="L205" s="31"/>
      <c r="M205" s="31"/>
      <c r="N205" s="33"/>
      <c r="O205" s="33"/>
      <c r="P205" s="58" t="s">
        <v>2</v>
      </c>
      <c r="Q205" s="58" t="s">
        <v>2</v>
      </c>
      <c r="R205" s="31"/>
      <c r="S205" s="31"/>
      <c r="T205" s="31"/>
      <c r="U205" s="31"/>
      <c r="V205" s="33"/>
      <c r="W205" s="33"/>
      <c r="X205" s="58" t="s">
        <v>2</v>
      </c>
      <c r="Y205" s="58" t="s">
        <v>2</v>
      </c>
      <c r="Z205" s="31"/>
      <c r="AA205" s="31"/>
      <c r="AB205" s="31"/>
      <c r="AC205" s="31"/>
      <c r="AD205" s="33"/>
      <c r="AE205" s="33"/>
      <c r="AF205" s="21"/>
      <c r="AH205" s="16">
        <f t="shared" si="25"/>
        <v>0</v>
      </c>
      <c r="AI205" s="16">
        <f t="shared" si="26"/>
        <v>0</v>
      </c>
    </row>
    <row r="206" spans="1:35" ht="20.100000000000001" hidden="1" customHeight="1">
      <c r="A206" s="18" t="str">
        <f>ÖSSZES!$A$13</f>
        <v>Név11</v>
      </c>
      <c r="B206" s="31"/>
      <c r="C206" s="31"/>
      <c r="D206" s="31"/>
      <c r="E206" s="31"/>
      <c r="F206" s="33"/>
      <c r="G206" s="33"/>
      <c r="H206" s="58" t="s">
        <v>2</v>
      </c>
      <c r="I206" s="58" t="s">
        <v>2</v>
      </c>
      <c r="J206" s="31"/>
      <c r="K206" s="31"/>
      <c r="L206" s="31"/>
      <c r="M206" s="31"/>
      <c r="N206" s="33"/>
      <c r="O206" s="33"/>
      <c r="P206" s="58" t="s">
        <v>2</v>
      </c>
      <c r="Q206" s="58" t="s">
        <v>2</v>
      </c>
      <c r="R206" s="31"/>
      <c r="S206" s="31"/>
      <c r="T206" s="31"/>
      <c r="U206" s="31"/>
      <c r="V206" s="33"/>
      <c r="W206" s="33"/>
      <c r="X206" s="58" t="s">
        <v>2</v>
      </c>
      <c r="Y206" s="58" t="s">
        <v>2</v>
      </c>
      <c r="Z206" s="31"/>
      <c r="AA206" s="31"/>
      <c r="AB206" s="31"/>
      <c r="AC206" s="31"/>
      <c r="AD206" s="33"/>
      <c r="AE206" s="33"/>
      <c r="AF206" s="21"/>
      <c r="AH206" s="16">
        <f t="shared" si="25"/>
        <v>0</v>
      </c>
      <c r="AI206" s="16">
        <f t="shared" si="26"/>
        <v>0</v>
      </c>
    </row>
    <row r="207" spans="1:35" ht="20.100000000000001" hidden="1" customHeight="1">
      <c r="A207" s="18" t="str">
        <f>ÖSSZES!$A$14</f>
        <v>Név12</v>
      </c>
      <c r="B207" s="31"/>
      <c r="C207" s="31"/>
      <c r="D207" s="31"/>
      <c r="E207" s="31"/>
      <c r="F207" s="33"/>
      <c r="G207" s="33"/>
      <c r="H207" s="58" t="s">
        <v>2</v>
      </c>
      <c r="I207" s="58" t="s">
        <v>2</v>
      </c>
      <c r="J207" s="31"/>
      <c r="K207" s="31"/>
      <c r="L207" s="31"/>
      <c r="M207" s="31"/>
      <c r="N207" s="33"/>
      <c r="O207" s="33"/>
      <c r="P207" s="58" t="s">
        <v>2</v>
      </c>
      <c r="Q207" s="58" t="s">
        <v>2</v>
      </c>
      <c r="R207" s="31"/>
      <c r="S207" s="31"/>
      <c r="T207" s="31"/>
      <c r="U207" s="31"/>
      <c r="V207" s="33"/>
      <c r="W207" s="33"/>
      <c r="X207" s="58" t="s">
        <v>2</v>
      </c>
      <c r="Y207" s="58" t="s">
        <v>2</v>
      </c>
      <c r="Z207" s="31"/>
      <c r="AA207" s="31"/>
      <c r="AB207" s="31"/>
      <c r="AC207" s="31"/>
      <c r="AD207" s="33"/>
      <c r="AE207" s="33"/>
      <c r="AF207" s="21"/>
      <c r="AH207" s="16">
        <f t="shared" si="25"/>
        <v>0</v>
      </c>
      <c r="AI207" s="16">
        <f t="shared" si="26"/>
        <v>0</v>
      </c>
    </row>
    <row r="208" spans="1:35" ht="20.100000000000001" hidden="1" customHeight="1">
      <c r="A208" s="18" t="str">
        <f>ÖSSZES!$A$15</f>
        <v>Név13</v>
      </c>
      <c r="B208" s="31"/>
      <c r="C208" s="31"/>
      <c r="D208" s="31"/>
      <c r="E208" s="31"/>
      <c r="F208" s="33"/>
      <c r="G208" s="33"/>
      <c r="H208" s="58" t="s">
        <v>2</v>
      </c>
      <c r="I208" s="58" t="s">
        <v>2</v>
      </c>
      <c r="J208" s="31"/>
      <c r="K208" s="31"/>
      <c r="L208" s="31"/>
      <c r="M208" s="31"/>
      <c r="N208" s="33"/>
      <c r="O208" s="33"/>
      <c r="P208" s="58" t="s">
        <v>2</v>
      </c>
      <c r="Q208" s="58" t="s">
        <v>2</v>
      </c>
      <c r="R208" s="31"/>
      <c r="S208" s="31"/>
      <c r="T208" s="31"/>
      <c r="U208" s="31"/>
      <c r="V208" s="33"/>
      <c r="W208" s="33"/>
      <c r="X208" s="58" t="s">
        <v>2</v>
      </c>
      <c r="Y208" s="58" t="s">
        <v>2</v>
      </c>
      <c r="Z208" s="31"/>
      <c r="AA208" s="31"/>
      <c r="AB208" s="31"/>
      <c r="AC208" s="31"/>
      <c r="AD208" s="33"/>
      <c r="AE208" s="33"/>
      <c r="AF208" s="21"/>
      <c r="AH208" s="16">
        <f t="shared" si="25"/>
        <v>0</v>
      </c>
      <c r="AI208" s="16">
        <f t="shared" si="26"/>
        <v>0</v>
      </c>
    </row>
    <row r="209" spans="1:35" ht="20.100000000000001" hidden="1" customHeight="1">
      <c r="A209" s="18" t="str">
        <f>ÖSSZES!$A$16</f>
        <v>Név14</v>
      </c>
      <c r="B209" s="31"/>
      <c r="C209" s="31"/>
      <c r="D209" s="31"/>
      <c r="E209" s="31"/>
      <c r="F209" s="33"/>
      <c r="G209" s="33"/>
      <c r="H209" s="58" t="s">
        <v>2</v>
      </c>
      <c r="I209" s="58" t="s">
        <v>2</v>
      </c>
      <c r="J209" s="31"/>
      <c r="K209" s="31"/>
      <c r="L209" s="31"/>
      <c r="M209" s="31"/>
      <c r="N209" s="33"/>
      <c r="O209" s="33"/>
      <c r="P209" s="58" t="s">
        <v>2</v>
      </c>
      <c r="Q209" s="58" t="s">
        <v>2</v>
      </c>
      <c r="R209" s="31"/>
      <c r="S209" s="31"/>
      <c r="T209" s="31"/>
      <c r="U209" s="31"/>
      <c r="V209" s="33"/>
      <c r="W209" s="33"/>
      <c r="X209" s="58" t="s">
        <v>2</v>
      </c>
      <c r="Y209" s="58" t="s">
        <v>2</v>
      </c>
      <c r="Z209" s="31"/>
      <c r="AA209" s="31"/>
      <c r="AB209" s="31"/>
      <c r="AC209" s="31"/>
      <c r="AD209" s="33"/>
      <c r="AE209" s="33"/>
      <c r="AF209" s="21"/>
      <c r="AH209" s="16">
        <f t="shared" si="25"/>
        <v>0</v>
      </c>
      <c r="AI209" s="16">
        <f t="shared" si="26"/>
        <v>0</v>
      </c>
    </row>
    <row r="210" spans="1:35" ht="20.100000000000001" hidden="1" customHeight="1">
      <c r="A210" s="18" t="str">
        <f>ÖSSZES!$A$17</f>
        <v>Név15</v>
      </c>
      <c r="B210" s="31"/>
      <c r="C210" s="31"/>
      <c r="D210" s="31"/>
      <c r="E210" s="31"/>
      <c r="F210" s="33"/>
      <c r="G210" s="33"/>
      <c r="H210" s="58" t="s">
        <v>2</v>
      </c>
      <c r="I210" s="58" t="s">
        <v>2</v>
      </c>
      <c r="J210" s="31"/>
      <c r="K210" s="31"/>
      <c r="L210" s="31"/>
      <c r="M210" s="31"/>
      <c r="N210" s="33"/>
      <c r="O210" s="33"/>
      <c r="P210" s="58" t="s">
        <v>2</v>
      </c>
      <c r="Q210" s="58" t="s">
        <v>2</v>
      </c>
      <c r="R210" s="31"/>
      <c r="S210" s="31"/>
      <c r="T210" s="31"/>
      <c r="U210" s="31"/>
      <c r="V210" s="33"/>
      <c r="W210" s="33"/>
      <c r="X210" s="58" t="s">
        <v>2</v>
      </c>
      <c r="Y210" s="58" t="s">
        <v>2</v>
      </c>
      <c r="Z210" s="31"/>
      <c r="AA210" s="31"/>
      <c r="AB210" s="31"/>
      <c r="AC210" s="31"/>
      <c r="AD210" s="33"/>
      <c r="AE210" s="33"/>
      <c r="AF210" s="21"/>
      <c r="AH210" s="16">
        <f t="shared" si="25"/>
        <v>0</v>
      </c>
      <c r="AI210" s="16">
        <f t="shared" si="26"/>
        <v>0</v>
      </c>
    </row>
    <row r="211" spans="1:35" ht="20.100000000000001" hidden="1" customHeight="1">
      <c r="A211" s="18" t="str">
        <f>ÖSSZES!$A$18</f>
        <v>Név16</v>
      </c>
      <c r="B211" s="31"/>
      <c r="C211" s="31"/>
      <c r="D211" s="31"/>
      <c r="E211" s="31"/>
      <c r="F211" s="33"/>
      <c r="G211" s="33"/>
      <c r="H211" s="58" t="s">
        <v>2</v>
      </c>
      <c r="I211" s="58" t="s">
        <v>2</v>
      </c>
      <c r="J211" s="31"/>
      <c r="K211" s="31"/>
      <c r="L211" s="31"/>
      <c r="M211" s="31"/>
      <c r="N211" s="33"/>
      <c r="O211" s="33"/>
      <c r="P211" s="58" t="s">
        <v>2</v>
      </c>
      <c r="Q211" s="58" t="s">
        <v>2</v>
      </c>
      <c r="R211" s="31"/>
      <c r="S211" s="31"/>
      <c r="T211" s="31"/>
      <c r="U211" s="31"/>
      <c r="V211" s="33"/>
      <c r="W211" s="33"/>
      <c r="X211" s="58" t="s">
        <v>2</v>
      </c>
      <c r="Y211" s="58" t="s">
        <v>2</v>
      </c>
      <c r="Z211" s="31"/>
      <c r="AA211" s="31"/>
      <c r="AB211" s="31"/>
      <c r="AC211" s="31"/>
      <c r="AD211" s="33"/>
      <c r="AE211" s="33"/>
      <c r="AF211" s="21"/>
      <c r="AH211" s="16">
        <f t="shared" si="25"/>
        <v>0</v>
      </c>
      <c r="AI211" s="16">
        <f t="shared" si="26"/>
        <v>0</v>
      </c>
    </row>
    <row r="212" spans="1:35" ht="20.100000000000001" hidden="1" customHeight="1">
      <c r="A212" s="18" t="str">
        <f>ÖSSZES!$A$19</f>
        <v>Név17</v>
      </c>
      <c r="B212" s="31"/>
      <c r="C212" s="31"/>
      <c r="D212" s="31"/>
      <c r="E212" s="31"/>
      <c r="F212" s="33"/>
      <c r="G212" s="33"/>
      <c r="H212" s="58" t="s">
        <v>2</v>
      </c>
      <c r="I212" s="58" t="s">
        <v>2</v>
      </c>
      <c r="J212" s="31"/>
      <c r="K212" s="31"/>
      <c r="L212" s="31"/>
      <c r="M212" s="31"/>
      <c r="N212" s="33"/>
      <c r="O212" s="33"/>
      <c r="P212" s="58" t="s">
        <v>2</v>
      </c>
      <c r="Q212" s="58" t="s">
        <v>2</v>
      </c>
      <c r="R212" s="31"/>
      <c r="S212" s="31"/>
      <c r="T212" s="31"/>
      <c r="U212" s="31"/>
      <c r="V212" s="33"/>
      <c r="W212" s="33"/>
      <c r="X212" s="58" t="s">
        <v>2</v>
      </c>
      <c r="Y212" s="58" t="s">
        <v>2</v>
      </c>
      <c r="Z212" s="31"/>
      <c r="AA212" s="31"/>
      <c r="AB212" s="31"/>
      <c r="AC212" s="31"/>
      <c r="AD212" s="33"/>
      <c r="AE212" s="33"/>
      <c r="AF212" s="21"/>
      <c r="AH212" s="16">
        <f t="shared" si="25"/>
        <v>0</v>
      </c>
      <c r="AI212" s="16">
        <f t="shared" si="26"/>
        <v>0</v>
      </c>
    </row>
    <row r="213" spans="1:35" ht="20.100000000000001" hidden="1" customHeight="1">
      <c r="A213" s="18" t="str">
        <f>ÖSSZES!$A$20</f>
        <v>Név18</v>
      </c>
      <c r="B213" s="31"/>
      <c r="C213" s="31"/>
      <c r="D213" s="31"/>
      <c r="E213" s="31"/>
      <c r="F213" s="33"/>
      <c r="G213" s="33"/>
      <c r="H213" s="58" t="s">
        <v>2</v>
      </c>
      <c r="I213" s="58" t="s">
        <v>2</v>
      </c>
      <c r="J213" s="31"/>
      <c r="K213" s="31"/>
      <c r="L213" s="31"/>
      <c r="M213" s="31"/>
      <c r="N213" s="33"/>
      <c r="O213" s="33"/>
      <c r="P213" s="58" t="s">
        <v>2</v>
      </c>
      <c r="Q213" s="58" t="s">
        <v>2</v>
      </c>
      <c r="R213" s="31"/>
      <c r="S213" s="31"/>
      <c r="T213" s="31"/>
      <c r="U213" s="31"/>
      <c r="V213" s="33"/>
      <c r="W213" s="33"/>
      <c r="X213" s="58" t="s">
        <v>2</v>
      </c>
      <c r="Y213" s="58" t="s">
        <v>2</v>
      </c>
      <c r="Z213" s="31"/>
      <c r="AA213" s="31"/>
      <c r="AB213" s="31"/>
      <c r="AC213" s="31"/>
      <c r="AD213" s="33"/>
      <c r="AE213" s="33"/>
      <c r="AF213" s="21"/>
      <c r="AH213" s="16">
        <f t="shared" si="25"/>
        <v>0</v>
      </c>
      <c r="AI213" s="16">
        <f t="shared" si="26"/>
        <v>0</v>
      </c>
    </row>
    <row r="214" spans="1:35" ht="20.100000000000001" hidden="1" customHeight="1">
      <c r="A214" s="18" t="str">
        <f>ÖSSZES!$A$21</f>
        <v>Név19</v>
      </c>
      <c r="B214" s="31"/>
      <c r="C214" s="31"/>
      <c r="D214" s="31"/>
      <c r="E214" s="31"/>
      <c r="F214" s="33"/>
      <c r="G214" s="33"/>
      <c r="H214" s="58" t="s">
        <v>2</v>
      </c>
      <c r="I214" s="58" t="s">
        <v>2</v>
      </c>
      <c r="J214" s="31"/>
      <c r="K214" s="31"/>
      <c r="L214" s="31"/>
      <c r="M214" s="31"/>
      <c r="N214" s="33"/>
      <c r="O214" s="33"/>
      <c r="P214" s="58" t="s">
        <v>2</v>
      </c>
      <c r="Q214" s="58" t="s">
        <v>2</v>
      </c>
      <c r="R214" s="31"/>
      <c r="S214" s="31"/>
      <c r="T214" s="31"/>
      <c r="U214" s="31"/>
      <c r="V214" s="33"/>
      <c r="W214" s="33"/>
      <c r="X214" s="58" t="s">
        <v>2</v>
      </c>
      <c r="Y214" s="58" t="s">
        <v>2</v>
      </c>
      <c r="Z214" s="31"/>
      <c r="AA214" s="31"/>
      <c r="AB214" s="31"/>
      <c r="AC214" s="31"/>
      <c r="AD214" s="33"/>
      <c r="AE214" s="33"/>
      <c r="AF214" s="21"/>
      <c r="AH214" s="16">
        <f t="shared" si="25"/>
        <v>0</v>
      </c>
      <c r="AI214" s="16">
        <f t="shared" si="26"/>
        <v>0</v>
      </c>
    </row>
    <row r="215" spans="1:35" ht="20.100000000000001" hidden="1" customHeight="1">
      <c r="A215" s="18" t="str">
        <f>ÖSSZES!$A$17</f>
        <v>Név15</v>
      </c>
      <c r="B215" s="31"/>
      <c r="C215" s="31"/>
      <c r="D215" s="31"/>
      <c r="E215" s="31"/>
      <c r="F215" s="33"/>
      <c r="G215" s="33"/>
      <c r="H215" s="58" t="s">
        <v>2</v>
      </c>
      <c r="I215" s="58" t="s">
        <v>2</v>
      </c>
      <c r="J215" s="31"/>
      <c r="K215" s="31"/>
      <c r="L215" s="31"/>
      <c r="M215" s="31"/>
      <c r="N215" s="33"/>
      <c r="O215" s="33"/>
      <c r="P215" s="58" t="s">
        <v>2</v>
      </c>
      <c r="Q215" s="58" t="s">
        <v>2</v>
      </c>
      <c r="R215" s="31"/>
      <c r="S215" s="31"/>
      <c r="T215" s="31"/>
      <c r="U215" s="31"/>
      <c r="V215" s="33"/>
      <c r="W215" s="33"/>
      <c r="X215" s="58" t="s">
        <v>2</v>
      </c>
      <c r="Y215" s="58" t="s">
        <v>2</v>
      </c>
      <c r="Z215" s="31"/>
      <c r="AA215" s="31"/>
      <c r="AB215" s="31"/>
      <c r="AC215" s="31"/>
      <c r="AD215" s="33"/>
      <c r="AE215" s="33"/>
      <c r="AF215" s="21"/>
      <c r="AH215" s="16">
        <f t="shared" si="25"/>
        <v>0</v>
      </c>
      <c r="AI215" s="16">
        <f t="shared" si="26"/>
        <v>0</v>
      </c>
    </row>
    <row r="216" spans="1:35" ht="20.100000000000001" customHeight="1">
      <c r="A216" s="22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22"/>
    </row>
    <row r="217" spans="1:35" s="25" customFormat="1" ht="20.100000000000001" customHeight="1">
      <c r="A217" s="88" t="s">
        <v>14</v>
      </c>
      <c r="B217" s="24">
        <v>1</v>
      </c>
      <c r="C217" s="24">
        <v>2</v>
      </c>
      <c r="D217" s="24">
        <v>3</v>
      </c>
      <c r="E217" s="24">
        <v>4</v>
      </c>
      <c r="F217" s="24">
        <v>5</v>
      </c>
      <c r="G217" s="24">
        <v>6</v>
      </c>
      <c r="H217" s="24">
        <v>7</v>
      </c>
      <c r="I217" s="24">
        <v>8</v>
      </c>
      <c r="J217" s="24">
        <v>9</v>
      </c>
      <c r="K217" s="24">
        <v>10</v>
      </c>
      <c r="L217" s="24">
        <v>11</v>
      </c>
      <c r="M217" s="24">
        <v>12</v>
      </c>
      <c r="N217" s="24">
        <v>13</v>
      </c>
      <c r="O217" s="24">
        <v>14</v>
      </c>
      <c r="P217" s="24">
        <v>15</v>
      </c>
      <c r="Q217" s="24">
        <v>16</v>
      </c>
      <c r="R217" s="24">
        <v>17</v>
      </c>
      <c r="S217" s="24">
        <v>18</v>
      </c>
      <c r="T217" s="24">
        <v>19</v>
      </c>
      <c r="U217" s="24">
        <v>20</v>
      </c>
      <c r="V217" s="24">
        <v>21</v>
      </c>
      <c r="W217" s="24">
        <v>22</v>
      </c>
      <c r="X217" s="23">
        <v>23</v>
      </c>
      <c r="Y217" s="24">
        <v>24</v>
      </c>
      <c r="Z217" s="24">
        <v>25</v>
      </c>
      <c r="AA217" s="24">
        <v>26</v>
      </c>
      <c r="AB217" s="24">
        <v>27</v>
      </c>
      <c r="AC217" s="24">
        <v>28</v>
      </c>
      <c r="AD217" s="24">
        <v>29</v>
      </c>
      <c r="AE217" s="24">
        <v>30</v>
      </c>
      <c r="AF217" s="24">
        <v>31</v>
      </c>
      <c r="AH217" s="88" t="s">
        <v>18</v>
      </c>
      <c r="AI217" s="88" t="s">
        <v>19</v>
      </c>
    </row>
    <row r="218" spans="1:35" ht="20.100000000000001" customHeight="1">
      <c r="A218" s="90"/>
      <c r="B218" s="26" t="str">
        <f>'2020'!B76</f>
        <v>Cs</v>
      </c>
      <c r="C218" s="26" t="str">
        <f>'2020'!C76</f>
        <v>P</v>
      </c>
      <c r="D218" s="26" t="str">
        <f>'2020'!D76</f>
        <v>Szo</v>
      </c>
      <c r="E218" s="26" t="str">
        <f>'2020'!E76</f>
        <v>V</v>
      </c>
      <c r="F218" s="26" t="str">
        <f>'2020'!F76</f>
        <v>H</v>
      </c>
      <c r="G218" s="26" t="str">
        <f>'2020'!G76</f>
        <v>K</v>
      </c>
      <c r="H218" s="26" t="str">
        <f>'2020'!H76</f>
        <v>Sze</v>
      </c>
      <c r="I218" s="26" t="str">
        <f>'2020'!I76</f>
        <v>Cs</v>
      </c>
      <c r="J218" s="26" t="str">
        <f>'2020'!J76</f>
        <v>P</v>
      </c>
      <c r="K218" s="26" t="str">
        <f>'2020'!K76</f>
        <v>Szo</v>
      </c>
      <c r="L218" s="26" t="str">
        <f>'2020'!L76</f>
        <v>V</v>
      </c>
      <c r="M218" s="26" t="str">
        <f>'2020'!M76</f>
        <v>H</v>
      </c>
      <c r="N218" s="26" t="str">
        <f>'2020'!N76</f>
        <v>K</v>
      </c>
      <c r="O218" s="26" t="str">
        <f>'2020'!O76</f>
        <v>Sze</v>
      </c>
      <c r="P218" s="26" t="str">
        <f>'2020'!P76</f>
        <v>Cs</v>
      </c>
      <c r="Q218" s="26" t="str">
        <f>'2020'!Q76</f>
        <v>P</v>
      </c>
      <c r="R218" s="26" t="str">
        <f>'2020'!R76</f>
        <v>Szo</v>
      </c>
      <c r="S218" s="26" t="str">
        <f>'2020'!S76</f>
        <v>V</v>
      </c>
      <c r="T218" s="26" t="str">
        <f>'2020'!T76</f>
        <v>H</v>
      </c>
      <c r="U218" s="26" t="str">
        <f>'2020'!U76</f>
        <v>K</v>
      </c>
      <c r="V218" s="26" t="str">
        <f>'2020'!V76</f>
        <v>Sze</v>
      </c>
      <c r="W218" s="26" t="str">
        <f>'2020'!W76</f>
        <v>Cs</v>
      </c>
      <c r="X218" s="26" t="str">
        <f>'2020'!X76</f>
        <v>P</v>
      </c>
      <c r="Y218" s="26" t="str">
        <f>'2020'!Y76</f>
        <v>Szo</v>
      </c>
      <c r="Z218" s="26" t="str">
        <f>'2020'!Z76</f>
        <v>V</v>
      </c>
      <c r="AA218" s="26" t="str">
        <f>'2020'!AA76</f>
        <v>H</v>
      </c>
      <c r="AB218" s="26" t="str">
        <f>'2020'!AB76</f>
        <v>K</v>
      </c>
      <c r="AC218" s="26" t="str">
        <f>'2020'!AC76</f>
        <v>Sze</v>
      </c>
      <c r="AD218" s="26" t="str">
        <f>'2020'!AD76</f>
        <v>Cs</v>
      </c>
      <c r="AE218" s="26" t="str">
        <f>'2020'!AE76</f>
        <v>P</v>
      </c>
      <c r="AF218" s="26" t="str">
        <f>'2020'!AF76</f>
        <v>Szo</v>
      </c>
      <c r="AH218" s="89"/>
      <c r="AI218" s="89"/>
    </row>
    <row r="219" spans="1:35" ht="20.100000000000001" customHeight="1">
      <c r="A219" s="89"/>
      <c r="B219" s="26" t="str">
        <f>'2020'!B77</f>
        <v>X</v>
      </c>
      <c r="C219" s="26" t="str">
        <f>'2020'!C77</f>
        <v>X</v>
      </c>
      <c r="D219" s="26">
        <f>'2020'!D77</f>
        <v>1</v>
      </c>
      <c r="E219" s="26">
        <f>'2020'!E77</f>
        <v>1</v>
      </c>
      <c r="F219" s="26">
        <f>'2020'!F77</f>
        <v>1</v>
      </c>
      <c r="G219" s="26">
        <f>'2020'!G77</f>
        <v>1</v>
      </c>
      <c r="H219" s="26">
        <f>'2020'!H77</f>
        <v>1</v>
      </c>
      <c r="I219" s="26">
        <f>'2020'!I77</f>
        <v>1</v>
      </c>
      <c r="J219" s="26" t="str">
        <f>'2020'!J77</f>
        <v>X</v>
      </c>
      <c r="K219" s="26" t="str">
        <f>'2020'!K77</f>
        <v>X</v>
      </c>
      <c r="L219" s="26">
        <f>'2020'!L77</f>
        <v>3</v>
      </c>
      <c r="M219" s="26">
        <f>'2020'!M77</f>
        <v>3</v>
      </c>
      <c r="N219" s="26">
        <f>'2020'!N77</f>
        <v>3</v>
      </c>
      <c r="O219" s="26">
        <f>'2020'!O77</f>
        <v>3</v>
      </c>
      <c r="P219" s="26">
        <f>'2020'!P77</f>
        <v>3</v>
      </c>
      <c r="Q219" s="26">
        <f>'2020'!Q77</f>
        <v>3</v>
      </c>
      <c r="R219" s="26" t="str">
        <f>'2020'!R77</f>
        <v>X</v>
      </c>
      <c r="S219" s="26" t="str">
        <f>'2020'!S77</f>
        <v>X</v>
      </c>
      <c r="T219" s="26">
        <f>'2020'!T77</f>
        <v>2</v>
      </c>
      <c r="U219" s="26">
        <f>'2020'!U77</f>
        <v>2</v>
      </c>
      <c r="V219" s="26">
        <f>'2020'!V77</f>
        <v>2</v>
      </c>
      <c r="W219" s="26">
        <f>'2020'!W77</f>
        <v>2</v>
      </c>
      <c r="X219" s="26">
        <f>'2020'!X77</f>
        <v>2</v>
      </c>
      <c r="Y219" s="26">
        <f>'2020'!Y77</f>
        <v>2</v>
      </c>
      <c r="Z219" s="26" t="str">
        <f>'2020'!Z77</f>
        <v>X</v>
      </c>
      <c r="AA219" s="26" t="str">
        <f>'2020'!AA77</f>
        <v>X</v>
      </c>
      <c r="AB219" s="26">
        <f>'2020'!AB77</f>
        <v>1</v>
      </c>
      <c r="AC219" s="26">
        <f>'2020'!AC77</f>
        <v>1</v>
      </c>
      <c r="AD219" s="26">
        <f>'2020'!AD77</f>
        <v>1</v>
      </c>
      <c r="AE219" s="26">
        <f>'2020'!AE77</f>
        <v>1</v>
      </c>
      <c r="AF219" s="26">
        <f>'2020'!AF77</f>
        <v>1</v>
      </c>
      <c r="AH219" s="89"/>
      <c r="AI219" s="89"/>
    </row>
    <row r="220" spans="1:35" ht="20.100000000000001" customHeight="1">
      <c r="A220" s="18" t="str">
        <f>ÖSSZES!$A$3</f>
        <v>Csuka Lajos</v>
      </c>
      <c r="B220" s="58" t="s">
        <v>2</v>
      </c>
      <c r="C220" s="58" t="s">
        <v>2</v>
      </c>
      <c r="D220" s="31"/>
      <c r="E220" s="31"/>
      <c r="F220" s="31"/>
      <c r="G220" s="31"/>
      <c r="H220" s="33"/>
      <c r="I220" s="33"/>
      <c r="J220" s="58" t="s">
        <v>2</v>
      </c>
      <c r="K220" s="58" t="s">
        <v>2</v>
      </c>
      <c r="L220" s="31"/>
      <c r="M220" s="31"/>
      <c r="N220" s="31"/>
      <c r="O220" s="31"/>
      <c r="P220" s="33"/>
      <c r="Q220" s="33"/>
      <c r="R220" s="58" t="s">
        <v>2</v>
      </c>
      <c r="S220" s="58" t="s">
        <v>2</v>
      </c>
      <c r="T220" s="31"/>
      <c r="U220" s="31"/>
      <c r="V220" s="31"/>
      <c r="W220" s="31"/>
      <c r="X220" s="59"/>
      <c r="Y220" s="33"/>
      <c r="Z220" s="58" t="s">
        <v>2</v>
      </c>
      <c r="AA220" s="58" t="s">
        <v>2</v>
      </c>
      <c r="AB220" s="33"/>
      <c r="AC220" s="33"/>
      <c r="AD220" s="31"/>
      <c r="AE220" s="31"/>
      <c r="AF220" s="33"/>
      <c r="AH220" s="16">
        <f>1*COUNTIF(A220:AF220,"+")</f>
        <v>0</v>
      </c>
      <c r="AI220" s="16">
        <f t="shared" ref="AI220" si="27">1*COUNTIF(B220:AF220,"szf")</f>
        <v>0</v>
      </c>
    </row>
    <row r="221" spans="1:35" ht="20.100000000000001" customHeight="1">
      <c r="A221" s="18" t="str">
        <f>ÖSSZES!$A$4</f>
        <v>Batiz Attila</v>
      </c>
      <c r="B221" s="58" t="s">
        <v>2</v>
      </c>
      <c r="C221" s="58" t="s">
        <v>2</v>
      </c>
      <c r="D221" s="31"/>
      <c r="E221" s="31"/>
      <c r="F221" s="31"/>
      <c r="G221" s="31"/>
      <c r="H221" s="33"/>
      <c r="I221" s="33"/>
      <c r="J221" s="58" t="s">
        <v>2</v>
      </c>
      <c r="K221" s="58" t="s">
        <v>2</v>
      </c>
      <c r="L221" s="31"/>
      <c r="M221" s="31"/>
      <c r="N221" s="31"/>
      <c r="O221" s="31"/>
      <c r="P221" s="33"/>
      <c r="Q221" s="33"/>
      <c r="R221" s="58" t="s">
        <v>2</v>
      </c>
      <c r="S221" s="58" t="s">
        <v>2</v>
      </c>
      <c r="T221" s="31"/>
      <c r="U221" s="31"/>
      <c r="V221" s="31"/>
      <c r="W221" s="31"/>
      <c r="X221" s="59"/>
      <c r="Y221" s="33"/>
      <c r="Z221" s="58" t="s">
        <v>2</v>
      </c>
      <c r="AA221" s="58" t="s">
        <v>2</v>
      </c>
      <c r="AB221" s="33"/>
      <c r="AC221" s="33"/>
      <c r="AD221" s="31"/>
      <c r="AE221" s="31"/>
      <c r="AF221" s="33"/>
      <c r="AH221" s="16">
        <f t="shared" ref="AH221:AH239" si="28">1*COUNTIF(A221:AF221,"+")</f>
        <v>0</v>
      </c>
      <c r="AI221" s="16">
        <f t="shared" ref="AI221:AI239" si="29">1*COUNTIF(B221:AF221,"szf")</f>
        <v>0</v>
      </c>
    </row>
    <row r="222" spans="1:35" ht="20.100000000000001" customHeight="1">
      <c r="A222" s="18" t="str">
        <f>ÖSSZES!$A$5</f>
        <v>Mizsák Péter</v>
      </c>
      <c r="B222" s="58" t="s">
        <v>2</v>
      </c>
      <c r="C222" s="58" t="s">
        <v>2</v>
      </c>
      <c r="D222" s="31"/>
      <c r="E222" s="31"/>
      <c r="F222" s="31"/>
      <c r="G222" s="31"/>
      <c r="H222" s="33"/>
      <c r="I222" s="33"/>
      <c r="J222" s="58" t="s">
        <v>2</v>
      </c>
      <c r="K222" s="58" t="s">
        <v>2</v>
      </c>
      <c r="L222" s="31"/>
      <c r="M222" s="31"/>
      <c r="N222" s="31"/>
      <c r="O222" s="31"/>
      <c r="P222" s="33"/>
      <c r="Q222" s="33"/>
      <c r="R222" s="58" t="s">
        <v>2</v>
      </c>
      <c r="S222" s="58" t="s">
        <v>2</v>
      </c>
      <c r="T222" s="31"/>
      <c r="U222" s="31"/>
      <c r="V222" s="31"/>
      <c r="W222" s="31"/>
      <c r="X222" s="59"/>
      <c r="Y222" s="33"/>
      <c r="Z222" s="58" t="s">
        <v>2</v>
      </c>
      <c r="AA222" s="58" t="s">
        <v>2</v>
      </c>
      <c r="AB222" s="33"/>
      <c r="AC222" s="33"/>
      <c r="AD222" s="31"/>
      <c r="AE222" s="31"/>
      <c r="AF222" s="33"/>
      <c r="AH222" s="16">
        <f t="shared" si="28"/>
        <v>0</v>
      </c>
      <c r="AI222" s="16">
        <f t="shared" si="29"/>
        <v>0</v>
      </c>
    </row>
    <row r="223" spans="1:35" ht="20.100000000000001" customHeight="1">
      <c r="A223" s="18" t="str">
        <f>ÖSSZES!$A$6</f>
        <v>Füredi Antal</v>
      </c>
      <c r="B223" s="58" t="s">
        <v>2</v>
      </c>
      <c r="C223" s="58" t="s">
        <v>2</v>
      </c>
      <c r="D223" s="31"/>
      <c r="E223" s="31"/>
      <c r="F223" s="31"/>
      <c r="G223" s="31"/>
      <c r="H223" s="33"/>
      <c r="I223" s="33"/>
      <c r="J223" s="58" t="s">
        <v>2</v>
      </c>
      <c r="K223" s="58" t="s">
        <v>2</v>
      </c>
      <c r="L223" s="31"/>
      <c r="M223" s="31"/>
      <c r="N223" s="31"/>
      <c r="O223" s="31"/>
      <c r="P223" s="33"/>
      <c r="Q223" s="33"/>
      <c r="R223" s="58" t="s">
        <v>2</v>
      </c>
      <c r="S223" s="58" t="s">
        <v>2</v>
      </c>
      <c r="T223" s="31"/>
      <c r="U223" s="31"/>
      <c r="V223" s="31"/>
      <c r="W223" s="31"/>
      <c r="X223" s="59"/>
      <c r="Y223" s="33"/>
      <c r="Z223" s="58" t="s">
        <v>2</v>
      </c>
      <c r="AA223" s="58" t="s">
        <v>2</v>
      </c>
      <c r="AB223" s="33"/>
      <c r="AC223" s="33"/>
      <c r="AD223" s="31"/>
      <c r="AE223" s="31"/>
      <c r="AF223" s="33"/>
      <c r="AH223" s="16">
        <f t="shared" si="28"/>
        <v>0</v>
      </c>
      <c r="AI223" s="16">
        <f t="shared" si="29"/>
        <v>0</v>
      </c>
    </row>
    <row r="224" spans="1:35" ht="20.100000000000001" customHeight="1">
      <c r="A224" s="18" t="str">
        <f>ÖSSZES!$A$7</f>
        <v>Iványi István</v>
      </c>
      <c r="B224" s="58" t="s">
        <v>2</v>
      </c>
      <c r="C224" s="58" t="s">
        <v>2</v>
      </c>
      <c r="D224" s="31"/>
      <c r="E224" s="31"/>
      <c r="F224" s="31"/>
      <c r="G224" s="31"/>
      <c r="H224" s="33"/>
      <c r="I224" s="33"/>
      <c r="J224" s="58" t="s">
        <v>2</v>
      </c>
      <c r="K224" s="58" t="s">
        <v>2</v>
      </c>
      <c r="L224" s="31"/>
      <c r="M224" s="31"/>
      <c r="N224" s="31"/>
      <c r="O224" s="31"/>
      <c r="P224" s="33"/>
      <c r="Q224" s="33"/>
      <c r="R224" s="58" t="s">
        <v>2</v>
      </c>
      <c r="S224" s="58" t="s">
        <v>2</v>
      </c>
      <c r="T224" s="31"/>
      <c r="U224" s="31"/>
      <c r="V224" s="31"/>
      <c r="W224" s="31"/>
      <c r="X224" s="59"/>
      <c r="Y224" s="33"/>
      <c r="Z224" s="58" t="s">
        <v>2</v>
      </c>
      <c r="AA224" s="58" t="s">
        <v>2</v>
      </c>
      <c r="AB224" s="33"/>
      <c r="AC224" s="33"/>
      <c r="AD224" s="31"/>
      <c r="AE224" s="31"/>
      <c r="AF224" s="33"/>
      <c r="AH224" s="16">
        <f t="shared" si="28"/>
        <v>0</v>
      </c>
      <c r="AI224" s="16">
        <f t="shared" si="29"/>
        <v>0</v>
      </c>
    </row>
    <row r="225" spans="1:35" ht="20.100000000000001" customHeight="1">
      <c r="A225" s="18" t="str">
        <f>ÖSSZES!$A$8</f>
        <v>Katonka Tibor</v>
      </c>
      <c r="B225" s="58" t="s">
        <v>2</v>
      </c>
      <c r="C225" s="58" t="s">
        <v>2</v>
      </c>
      <c r="D225" s="31"/>
      <c r="E225" s="31"/>
      <c r="F225" s="31"/>
      <c r="G225" s="31"/>
      <c r="H225" s="33"/>
      <c r="I225" s="33"/>
      <c r="J225" s="58" t="s">
        <v>2</v>
      </c>
      <c r="K225" s="58" t="s">
        <v>2</v>
      </c>
      <c r="L225" s="31"/>
      <c r="M225" s="31"/>
      <c r="N225" s="31"/>
      <c r="O225" s="31"/>
      <c r="P225" s="33"/>
      <c r="Q225" s="33"/>
      <c r="R225" s="58" t="s">
        <v>2</v>
      </c>
      <c r="S225" s="58" t="s">
        <v>2</v>
      </c>
      <c r="T225" s="31"/>
      <c r="U225" s="31"/>
      <c r="V225" s="31"/>
      <c r="W225" s="31"/>
      <c r="X225" s="59"/>
      <c r="Y225" s="33"/>
      <c r="Z225" s="58" t="s">
        <v>2</v>
      </c>
      <c r="AA225" s="58" t="s">
        <v>2</v>
      </c>
      <c r="AB225" s="33"/>
      <c r="AC225" s="33"/>
      <c r="AD225" s="31"/>
      <c r="AE225" s="31"/>
      <c r="AF225" s="33"/>
      <c r="AH225" s="16">
        <f t="shared" si="28"/>
        <v>0</v>
      </c>
      <c r="AI225" s="16">
        <f t="shared" si="29"/>
        <v>0</v>
      </c>
    </row>
    <row r="226" spans="1:35" ht="20.100000000000001" hidden="1" customHeight="1">
      <c r="A226" s="18" t="str">
        <f>ÖSSZES!$A$9</f>
        <v>Kiss János Tamás</v>
      </c>
      <c r="B226" s="58" t="s">
        <v>2</v>
      </c>
      <c r="C226" s="58" t="s">
        <v>2</v>
      </c>
      <c r="D226" s="31"/>
      <c r="E226" s="31"/>
      <c r="F226" s="31"/>
      <c r="G226" s="31"/>
      <c r="H226" s="33"/>
      <c r="I226" s="33"/>
      <c r="J226" s="58" t="s">
        <v>2</v>
      </c>
      <c r="K226" s="58" t="s">
        <v>2</v>
      </c>
      <c r="L226" s="31"/>
      <c r="M226" s="31"/>
      <c r="N226" s="31"/>
      <c r="O226" s="31"/>
      <c r="P226" s="33"/>
      <c r="Q226" s="33"/>
      <c r="R226" s="58" t="s">
        <v>2</v>
      </c>
      <c r="S226" s="58" t="s">
        <v>2</v>
      </c>
      <c r="T226" s="31"/>
      <c r="U226" s="31"/>
      <c r="V226" s="31"/>
      <c r="W226" s="31"/>
      <c r="X226" s="59"/>
      <c r="Y226" s="33"/>
      <c r="Z226" s="58" t="s">
        <v>2</v>
      </c>
      <c r="AA226" s="58" t="s">
        <v>2</v>
      </c>
      <c r="AB226" s="33"/>
      <c r="AC226" s="33"/>
      <c r="AD226" s="31"/>
      <c r="AE226" s="31"/>
      <c r="AF226" s="33"/>
      <c r="AH226" s="16">
        <f t="shared" si="28"/>
        <v>0</v>
      </c>
      <c r="AI226" s="16">
        <f t="shared" si="29"/>
        <v>0</v>
      </c>
    </row>
    <row r="227" spans="1:35" ht="20.100000000000001" customHeight="1">
      <c r="A227" s="18" t="str">
        <f>ÖSSZES!$A$10</f>
        <v>Vatamány Gergő</v>
      </c>
      <c r="B227" s="58" t="s">
        <v>2</v>
      </c>
      <c r="C227" s="58" t="s">
        <v>2</v>
      </c>
      <c r="D227" s="31"/>
      <c r="E227" s="31"/>
      <c r="F227" s="31"/>
      <c r="G227" s="31"/>
      <c r="H227" s="33"/>
      <c r="I227" s="33"/>
      <c r="J227" s="58" t="s">
        <v>2</v>
      </c>
      <c r="K227" s="58" t="s">
        <v>2</v>
      </c>
      <c r="L227" s="31"/>
      <c r="M227" s="31"/>
      <c r="N227" s="31"/>
      <c r="O227" s="31"/>
      <c r="P227" s="33"/>
      <c r="Q227" s="33"/>
      <c r="R227" s="58" t="s">
        <v>2</v>
      </c>
      <c r="S227" s="58" t="s">
        <v>2</v>
      </c>
      <c r="T227" s="31"/>
      <c r="U227" s="31"/>
      <c r="V227" s="31"/>
      <c r="W227" s="31"/>
      <c r="X227" s="59"/>
      <c r="Y227" s="33"/>
      <c r="Z227" s="58" t="s">
        <v>2</v>
      </c>
      <c r="AA227" s="58" t="s">
        <v>2</v>
      </c>
      <c r="AB227" s="33"/>
      <c r="AC227" s="33"/>
      <c r="AD227" s="31"/>
      <c r="AE227" s="31"/>
      <c r="AF227" s="33"/>
      <c r="AH227" s="16">
        <f t="shared" si="28"/>
        <v>0</v>
      </c>
      <c r="AI227" s="16">
        <f t="shared" si="29"/>
        <v>0</v>
      </c>
    </row>
    <row r="228" spans="1:35" ht="20.100000000000001" hidden="1" customHeight="1">
      <c r="A228" s="18" t="str">
        <f>ÖSSZES!$A$11</f>
        <v>Név9</v>
      </c>
      <c r="B228" s="58" t="s">
        <v>2</v>
      </c>
      <c r="C228" s="58" t="s">
        <v>2</v>
      </c>
      <c r="D228" s="31"/>
      <c r="E228" s="31"/>
      <c r="F228" s="31"/>
      <c r="G228" s="31"/>
      <c r="H228" s="33"/>
      <c r="I228" s="33"/>
      <c r="J228" s="58" t="s">
        <v>2</v>
      </c>
      <c r="K228" s="58" t="s">
        <v>2</v>
      </c>
      <c r="L228" s="31"/>
      <c r="M228" s="31"/>
      <c r="N228" s="31"/>
      <c r="O228" s="31"/>
      <c r="P228" s="33"/>
      <c r="Q228" s="33"/>
      <c r="R228" s="58" t="s">
        <v>2</v>
      </c>
      <c r="S228" s="58" t="s">
        <v>2</v>
      </c>
      <c r="T228" s="31"/>
      <c r="U228" s="31"/>
      <c r="V228" s="31"/>
      <c r="W228" s="31"/>
      <c r="X228" s="59"/>
      <c r="Y228" s="33"/>
      <c r="Z228" s="58" t="s">
        <v>2</v>
      </c>
      <c r="AA228" s="58" t="s">
        <v>2</v>
      </c>
      <c r="AB228" s="33"/>
      <c r="AC228" s="33"/>
      <c r="AD228" s="31"/>
      <c r="AE228" s="31"/>
      <c r="AF228" s="33"/>
      <c r="AH228" s="16">
        <f t="shared" si="28"/>
        <v>0</v>
      </c>
      <c r="AI228" s="16">
        <f t="shared" si="29"/>
        <v>0</v>
      </c>
    </row>
    <row r="229" spans="1:35" ht="20.100000000000001" hidden="1" customHeight="1">
      <c r="A229" s="18" t="str">
        <f>ÖSSZES!$A$12</f>
        <v>Név10</v>
      </c>
      <c r="B229" s="58" t="s">
        <v>2</v>
      </c>
      <c r="C229" s="58" t="s">
        <v>2</v>
      </c>
      <c r="D229" s="31"/>
      <c r="E229" s="31"/>
      <c r="F229" s="31"/>
      <c r="G229" s="31"/>
      <c r="H229" s="33"/>
      <c r="I229" s="33"/>
      <c r="J229" s="58" t="s">
        <v>2</v>
      </c>
      <c r="K229" s="58" t="s">
        <v>2</v>
      </c>
      <c r="L229" s="31"/>
      <c r="M229" s="31"/>
      <c r="N229" s="31"/>
      <c r="O229" s="31"/>
      <c r="P229" s="33"/>
      <c r="Q229" s="33"/>
      <c r="R229" s="58" t="s">
        <v>2</v>
      </c>
      <c r="S229" s="58" t="s">
        <v>2</v>
      </c>
      <c r="T229" s="31"/>
      <c r="U229" s="31"/>
      <c r="V229" s="31"/>
      <c r="W229" s="31"/>
      <c r="X229" s="59"/>
      <c r="Y229" s="33"/>
      <c r="Z229" s="58" t="s">
        <v>2</v>
      </c>
      <c r="AA229" s="58" t="s">
        <v>2</v>
      </c>
      <c r="AB229" s="33"/>
      <c r="AC229" s="33"/>
      <c r="AD229" s="31"/>
      <c r="AE229" s="31"/>
      <c r="AF229" s="33"/>
      <c r="AH229" s="16">
        <f t="shared" si="28"/>
        <v>0</v>
      </c>
      <c r="AI229" s="16">
        <f t="shared" si="29"/>
        <v>0</v>
      </c>
    </row>
    <row r="230" spans="1:35" ht="20.100000000000001" hidden="1" customHeight="1">
      <c r="A230" s="18" t="str">
        <f>ÖSSZES!$A$13</f>
        <v>Név11</v>
      </c>
      <c r="B230" s="58" t="s">
        <v>2</v>
      </c>
      <c r="C230" s="58" t="s">
        <v>2</v>
      </c>
      <c r="D230" s="31"/>
      <c r="E230" s="31"/>
      <c r="F230" s="31"/>
      <c r="G230" s="31"/>
      <c r="H230" s="33"/>
      <c r="I230" s="33"/>
      <c r="J230" s="58" t="s">
        <v>2</v>
      </c>
      <c r="K230" s="58" t="s">
        <v>2</v>
      </c>
      <c r="L230" s="31"/>
      <c r="M230" s="31"/>
      <c r="N230" s="31"/>
      <c r="O230" s="31"/>
      <c r="P230" s="33"/>
      <c r="Q230" s="33"/>
      <c r="R230" s="58" t="s">
        <v>2</v>
      </c>
      <c r="S230" s="58" t="s">
        <v>2</v>
      </c>
      <c r="T230" s="31"/>
      <c r="U230" s="31"/>
      <c r="V230" s="31"/>
      <c r="W230" s="31"/>
      <c r="X230" s="59"/>
      <c r="Y230" s="33"/>
      <c r="Z230" s="58" t="s">
        <v>2</v>
      </c>
      <c r="AA230" s="58" t="s">
        <v>2</v>
      </c>
      <c r="AB230" s="33"/>
      <c r="AC230" s="33"/>
      <c r="AD230" s="31"/>
      <c r="AE230" s="31"/>
      <c r="AF230" s="33"/>
      <c r="AH230" s="16">
        <f t="shared" si="28"/>
        <v>0</v>
      </c>
      <c r="AI230" s="16">
        <f t="shared" si="29"/>
        <v>0</v>
      </c>
    </row>
    <row r="231" spans="1:35" ht="20.100000000000001" hidden="1" customHeight="1">
      <c r="A231" s="18" t="str">
        <f>ÖSSZES!$A$14</f>
        <v>Név12</v>
      </c>
      <c r="B231" s="58" t="s">
        <v>2</v>
      </c>
      <c r="C231" s="58" t="s">
        <v>2</v>
      </c>
      <c r="D231" s="31"/>
      <c r="E231" s="31"/>
      <c r="F231" s="31"/>
      <c r="G231" s="31"/>
      <c r="H231" s="33"/>
      <c r="I231" s="33"/>
      <c r="J231" s="58" t="s">
        <v>2</v>
      </c>
      <c r="K231" s="58" t="s">
        <v>2</v>
      </c>
      <c r="L231" s="31"/>
      <c r="M231" s="31"/>
      <c r="N231" s="31"/>
      <c r="O231" s="31"/>
      <c r="P231" s="33"/>
      <c r="Q231" s="33"/>
      <c r="R231" s="58" t="s">
        <v>2</v>
      </c>
      <c r="S231" s="58" t="s">
        <v>2</v>
      </c>
      <c r="T231" s="31"/>
      <c r="U231" s="31"/>
      <c r="V231" s="31"/>
      <c r="W231" s="31"/>
      <c r="X231" s="59"/>
      <c r="Y231" s="33"/>
      <c r="Z231" s="58" t="s">
        <v>2</v>
      </c>
      <c r="AA231" s="58" t="s">
        <v>2</v>
      </c>
      <c r="AB231" s="33"/>
      <c r="AC231" s="33"/>
      <c r="AD231" s="31"/>
      <c r="AE231" s="31"/>
      <c r="AF231" s="33"/>
      <c r="AH231" s="16">
        <f t="shared" si="28"/>
        <v>0</v>
      </c>
      <c r="AI231" s="16">
        <f t="shared" si="29"/>
        <v>0</v>
      </c>
    </row>
    <row r="232" spans="1:35" ht="20.100000000000001" hidden="1" customHeight="1">
      <c r="A232" s="18" t="str">
        <f>ÖSSZES!$A$15</f>
        <v>Név13</v>
      </c>
      <c r="B232" s="58" t="s">
        <v>2</v>
      </c>
      <c r="C232" s="58" t="s">
        <v>2</v>
      </c>
      <c r="D232" s="31"/>
      <c r="E232" s="31"/>
      <c r="F232" s="31"/>
      <c r="G232" s="31"/>
      <c r="H232" s="33"/>
      <c r="I232" s="33"/>
      <c r="J232" s="58" t="s">
        <v>2</v>
      </c>
      <c r="K232" s="58" t="s">
        <v>2</v>
      </c>
      <c r="L232" s="31"/>
      <c r="M232" s="31"/>
      <c r="N232" s="31"/>
      <c r="O232" s="31"/>
      <c r="P232" s="33"/>
      <c r="Q232" s="33"/>
      <c r="R232" s="58" t="s">
        <v>2</v>
      </c>
      <c r="S232" s="58" t="s">
        <v>2</v>
      </c>
      <c r="T232" s="31"/>
      <c r="U232" s="31"/>
      <c r="V232" s="31"/>
      <c r="W232" s="31"/>
      <c r="X232" s="59"/>
      <c r="Y232" s="33"/>
      <c r="Z232" s="58" t="s">
        <v>2</v>
      </c>
      <c r="AA232" s="58" t="s">
        <v>2</v>
      </c>
      <c r="AB232" s="33"/>
      <c r="AC232" s="33"/>
      <c r="AD232" s="31"/>
      <c r="AE232" s="31"/>
      <c r="AF232" s="33"/>
      <c r="AH232" s="16">
        <f t="shared" si="28"/>
        <v>0</v>
      </c>
      <c r="AI232" s="16">
        <f t="shared" si="29"/>
        <v>0</v>
      </c>
    </row>
    <row r="233" spans="1:35" ht="20.100000000000001" hidden="1" customHeight="1">
      <c r="A233" s="18" t="str">
        <f>ÖSSZES!$A$16</f>
        <v>Név14</v>
      </c>
      <c r="B233" s="58" t="s">
        <v>2</v>
      </c>
      <c r="C233" s="58" t="s">
        <v>2</v>
      </c>
      <c r="D233" s="31"/>
      <c r="E233" s="31"/>
      <c r="F233" s="31"/>
      <c r="G233" s="31"/>
      <c r="H233" s="33"/>
      <c r="I233" s="33"/>
      <c r="J233" s="58" t="s">
        <v>2</v>
      </c>
      <c r="K233" s="58" t="s">
        <v>2</v>
      </c>
      <c r="L233" s="31"/>
      <c r="M233" s="31"/>
      <c r="N233" s="31"/>
      <c r="O233" s="31"/>
      <c r="P233" s="33"/>
      <c r="Q233" s="33"/>
      <c r="R233" s="58" t="s">
        <v>2</v>
      </c>
      <c r="S233" s="58" t="s">
        <v>2</v>
      </c>
      <c r="T233" s="31"/>
      <c r="U233" s="31"/>
      <c r="V233" s="31"/>
      <c r="W233" s="31"/>
      <c r="X233" s="59"/>
      <c r="Y233" s="33"/>
      <c r="Z233" s="58" t="s">
        <v>2</v>
      </c>
      <c r="AA233" s="58" t="s">
        <v>2</v>
      </c>
      <c r="AB233" s="33"/>
      <c r="AC233" s="33"/>
      <c r="AD233" s="31"/>
      <c r="AE233" s="31"/>
      <c r="AF233" s="33"/>
      <c r="AH233" s="16">
        <f t="shared" si="28"/>
        <v>0</v>
      </c>
      <c r="AI233" s="16">
        <f t="shared" si="29"/>
        <v>0</v>
      </c>
    </row>
    <row r="234" spans="1:35" ht="20.100000000000001" hidden="1" customHeight="1">
      <c r="A234" s="18" t="str">
        <f>ÖSSZES!$A$17</f>
        <v>Név15</v>
      </c>
      <c r="B234" s="58" t="s">
        <v>2</v>
      </c>
      <c r="C234" s="58" t="s">
        <v>2</v>
      </c>
      <c r="D234" s="31"/>
      <c r="E234" s="31"/>
      <c r="F234" s="31"/>
      <c r="G234" s="31"/>
      <c r="H234" s="33"/>
      <c r="I234" s="33"/>
      <c r="J234" s="58" t="s">
        <v>2</v>
      </c>
      <c r="K234" s="58" t="s">
        <v>2</v>
      </c>
      <c r="L234" s="31"/>
      <c r="M234" s="31"/>
      <c r="N234" s="31"/>
      <c r="O234" s="31"/>
      <c r="P234" s="33"/>
      <c r="Q234" s="33"/>
      <c r="R234" s="58" t="s">
        <v>2</v>
      </c>
      <c r="S234" s="58" t="s">
        <v>2</v>
      </c>
      <c r="T234" s="31"/>
      <c r="U234" s="31"/>
      <c r="V234" s="31"/>
      <c r="W234" s="31"/>
      <c r="X234" s="59"/>
      <c r="Y234" s="33"/>
      <c r="Z234" s="58" t="s">
        <v>2</v>
      </c>
      <c r="AA234" s="58" t="s">
        <v>2</v>
      </c>
      <c r="AB234" s="33"/>
      <c r="AC234" s="33"/>
      <c r="AD234" s="31"/>
      <c r="AE234" s="31"/>
      <c r="AF234" s="33"/>
      <c r="AH234" s="16">
        <f t="shared" si="28"/>
        <v>0</v>
      </c>
      <c r="AI234" s="16">
        <f t="shared" si="29"/>
        <v>0</v>
      </c>
    </row>
    <row r="235" spans="1:35" ht="20.100000000000001" hidden="1" customHeight="1">
      <c r="A235" s="18" t="str">
        <f>ÖSSZES!$A$18</f>
        <v>Név16</v>
      </c>
      <c r="B235" s="58" t="s">
        <v>2</v>
      </c>
      <c r="C235" s="58" t="s">
        <v>2</v>
      </c>
      <c r="D235" s="31"/>
      <c r="E235" s="31"/>
      <c r="F235" s="31"/>
      <c r="G235" s="31"/>
      <c r="H235" s="33"/>
      <c r="I235" s="33"/>
      <c r="J235" s="58" t="s">
        <v>2</v>
      </c>
      <c r="K235" s="58" t="s">
        <v>2</v>
      </c>
      <c r="L235" s="31"/>
      <c r="M235" s="31"/>
      <c r="N235" s="31"/>
      <c r="O235" s="31"/>
      <c r="P235" s="33"/>
      <c r="Q235" s="33"/>
      <c r="R235" s="58" t="s">
        <v>2</v>
      </c>
      <c r="S235" s="58" t="s">
        <v>2</v>
      </c>
      <c r="T235" s="31"/>
      <c r="U235" s="31"/>
      <c r="V235" s="31"/>
      <c r="W235" s="31"/>
      <c r="X235" s="59"/>
      <c r="Y235" s="33"/>
      <c r="Z235" s="58" t="s">
        <v>2</v>
      </c>
      <c r="AA235" s="58" t="s">
        <v>2</v>
      </c>
      <c r="AB235" s="33"/>
      <c r="AC235" s="33"/>
      <c r="AD235" s="31"/>
      <c r="AE235" s="31"/>
      <c r="AF235" s="33"/>
      <c r="AH235" s="16">
        <f t="shared" si="28"/>
        <v>0</v>
      </c>
      <c r="AI235" s="16">
        <f t="shared" si="29"/>
        <v>0</v>
      </c>
    </row>
    <row r="236" spans="1:35" ht="20.100000000000001" hidden="1" customHeight="1">
      <c r="A236" s="18" t="str">
        <f>ÖSSZES!$A$19</f>
        <v>Név17</v>
      </c>
      <c r="B236" s="58" t="s">
        <v>2</v>
      </c>
      <c r="C236" s="58" t="s">
        <v>2</v>
      </c>
      <c r="D236" s="31"/>
      <c r="E236" s="31"/>
      <c r="F236" s="31"/>
      <c r="G236" s="31"/>
      <c r="H236" s="33"/>
      <c r="I236" s="33"/>
      <c r="J236" s="58" t="s">
        <v>2</v>
      </c>
      <c r="K236" s="58" t="s">
        <v>2</v>
      </c>
      <c r="L236" s="31"/>
      <c r="M236" s="31"/>
      <c r="N236" s="31"/>
      <c r="O236" s="31"/>
      <c r="P236" s="33"/>
      <c r="Q236" s="33"/>
      <c r="R236" s="58" t="s">
        <v>2</v>
      </c>
      <c r="S236" s="58" t="s">
        <v>2</v>
      </c>
      <c r="T236" s="31"/>
      <c r="U236" s="31"/>
      <c r="V236" s="31"/>
      <c r="W236" s="31"/>
      <c r="X236" s="59"/>
      <c r="Y236" s="33"/>
      <c r="Z236" s="58" t="s">
        <v>2</v>
      </c>
      <c r="AA236" s="58" t="s">
        <v>2</v>
      </c>
      <c r="AB236" s="33"/>
      <c r="AC236" s="33"/>
      <c r="AD236" s="31"/>
      <c r="AE236" s="31"/>
      <c r="AF236" s="33"/>
      <c r="AH236" s="16">
        <f t="shared" si="28"/>
        <v>0</v>
      </c>
      <c r="AI236" s="16">
        <f t="shared" si="29"/>
        <v>0</v>
      </c>
    </row>
    <row r="237" spans="1:35" ht="20.100000000000001" hidden="1" customHeight="1">
      <c r="A237" s="18" t="str">
        <f>ÖSSZES!$A$20</f>
        <v>Név18</v>
      </c>
      <c r="B237" s="58" t="s">
        <v>2</v>
      </c>
      <c r="C237" s="58" t="s">
        <v>2</v>
      </c>
      <c r="D237" s="31"/>
      <c r="E237" s="31"/>
      <c r="F237" s="31"/>
      <c r="G237" s="31"/>
      <c r="H237" s="33"/>
      <c r="I237" s="33"/>
      <c r="J237" s="58" t="s">
        <v>2</v>
      </c>
      <c r="K237" s="58" t="s">
        <v>2</v>
      </c>
      <c r="L237" s="31"/>
      <c r="M237" s="31"/>
      <c r="N237" s="31"/>
      <c r="O237" s="31"/>
      <c r="P237" s="33"/>
      <c r="Q237" s="33"/>
      <c r="R237" s="58" t="s">
        <v>2</v>
      </c>
      <c r="S237" s="58" t="s">
        <v>2</v>
      </c>
      <c r="T237" s="31"/>
      <c r="U237" s="31"/>
      <c r="V237" s="31"/>
      <c r="W237" s="31"/>
      <c r="X237" s="59"/>
      <c r="Y237" s="33"/>
      <c r="Z237" s="58" t="s">
        <v>2</v>
      </c>
      <c r="AA237" s="58" t="s">
        <v>2</v>
      </c>
      <c r="AB237" s="33"/>
      <c r="AC237" s="33"/>
      <c r="AD237" s="31"/>
      <c r="AE237" s="31"/>
      <c r="AF237" s="33"/>
      <c r="AH237" s="16">
        <f t="shared" si="28"/>
        <v>0</v>
      </c>
      <c r="AI237" s="16">
        <f t="shared" si="29"/>
        <v>0</v>
      </c>
    </row>
    <row r="238" spans="1:35" ht="20.100000000000001" hidden="1" customHeight="1">
      <c r="A238" s="18" t="str">
        <f>ÖSSZES!$A$21</f>
        <v>Név19</v>
      </c>
      <c r="B238" s="58" t="s">
        <v>2</v>
      </c>
      <c r="C238" s="58" t="s">
        <v>2</v>
      </c>
      <c r="D238" s="31"/>
      <c r="E238" s="31"/>
      <c r="F238" s="31"/>
      <c r="G238" s="31"/>
      <c r="H238" s="33"/>
      <c r="I238" s="33"/>
      <c r="J238" s="58" t="s">
        <v>2</v>
      </c>
      <c r="K238" s="58" t="s">
        <v>2</v>
      </c>
      <c r="L238" s="31"/>
      <c r="M238" s="31"/>
      <c r="N238" s="31"/>
      <c r="O238" s="31"/>
      <c r="P238" s="33"/>
      <c r="Q238" s="33"/>
      <c r="R238" s="58" t="s">
        <v>2</v>
      </c>
      <c r="S238" s="58" t="s">
        <v>2</v>
      </c>
      <c r="T238" s="31"/>
      <c r="U238" s="31"/>
      <c r="V238" s="31"/>
      <c r="W238" s="31"/>
      <c r="X238" s="59"/>
      <c r="Y238" s="33"/>
      <c r="Z238" s="58" t="s">
        <v>2</v>
      </c>
      <c r="AA238" s="58" t="s">
        <v>2</v>
      </c>
      <c r="AB238" s="33"/>
      <c r="AC238" s="33"/>
      <c r="AD238" s="31"/>
      <c r="AE238" s="31"/>
      <c r="AF238" s="33"/>
      <c r="AH238" s="16">
        <f t="shared" si="28"/>
        <v>0</v>
      </c>
      <c r="AI238" s="16">
        <f t="shared" si="29"/>
        <v>0</v>
      </c>
    </row>
    <row r="239" spans="1:35" ht="20.100000000000001" hidden="1" customHeight="1">
      <c r="A239" s="18" t="str">
        <f>ÖSSZES!$A$17</f>
        <v>Név15</v>
      </c>
      <c r="B239" s="58" t="s">
        <v>2</v>
      </c>
      <c r="C239" s="58" t="s">
        <v>2</v>
      </c>
      <c r="D239" s="31"/>
      <c r="E239" s="31"/>
      <c r="F239" s="31"/>
      <c r="G239" s="31"/>
      <c r="H239" s="33"/>
      <c r="I239" s="33"/>
      <c r="J239" s="58" t="s">
        <v>2</v>
      </c>
      <c r="K239" s="58" t="s">
        <v>2</v>
      </c>
      <c r="L239" s="31"/>
      <c r="M239" s="31"/>
      <c r="N239" s="31"/>
      <c r="O239" s="31"/>
      <c r="P239" s="33"/>
      <c r="Q239" s="33"/>
      <c r="R239" s="58" t="s">
        <v>2</v>
      </c>
      <c r="S239" s="58" t="s">
        <v>2</v>
      </c>
      <c r="T239" s="31"/>
      <c r="U239" s="31"/>
      <c r="V239" s="31"/>
      <c r="W239" s="31"/>
      <c r="X239" s="59"/>
      <c r="Y239" s="33"/>
      <c r="Z239" s="58" t="s">
        <v>2</v>
      </c>
      <c r="AA239" s="58" t="s">
        <v>2</v>
      </c>
      <c r="AB239" s="33"/>
      <c r="AC239" s="33"/>
      <c r="AD239" s="31"/>
      <c r="AE239" s="31"/>
      <c r="AF239" s="33"/>
      <c r="AH239" s="16">
        <f t="shared" si="28"/>
        <v>0</v>
      </c>
      <c r="AI239" s="16">
        <f t="shared" si="29"/>
        <v>0</v>
      </c>
    </row>
    <row r="240" spans="1:35" ht="20.100000000000001" customHeight="1">
      <c r="A240" s="12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H240" s="30"/>
      <c r="AI240" s="30"/>
    </row>
    <row r="241" spans="1:35" s="25" customFormat="1" ht="20.100000000000001" customHeight="1">
      <c r="A241" s="88" t="s">
        <v>15</v>
      </c>
      <c r="B241" s="23">
        <v>1</v>
      </c>
      <c r="C241" s="24">
        <v>2</v>
      </c>
      <c r="D241" s="24">
        <v>3</v>
      </c>
      <c r="E241" s="24">
        <v>4</v>
      </c>
      <c r="F241" s="24">
        <v>5</v>
      </c>
      <c r="G241" s="24">
        <v>6</v>
      </c>
      <c r="H241" s="24">
        <v>7</v>
      </c>
      <c r="I241" s="24">
        <v>8</v>
      </c>
      <c r="J241" s="24">
        <v>9</v>
      </c>
      <c r="K241" s="24">
        <v>10</v>
      </c>
      <c r="L241" s="24">
        <v>11</v>
      </c>
      <c r="M241" s="24">
        <v>12</v>
      </c>
      <c r="N241" s="24">
        <v>13</v>
      </c>
      <c r="O241" s="24">
        <v>14</v>
      </c>
      <c r="P241" s="24">
        <v>15</v>
      </c>
      <c r="Q241" s="24">
        <v>16</v>
      </c>
      <c r="R241" s="24">
        <v>17</v>
      </c>
      <c r="S241" s="24">
        <v>18</v>
      </c>
      <c r="T241" s="24">
        <v>19</v>
      </c>
      <c r="U241" s="24">
        <v>20</v>
      </c>
      <c r="V241" s="24">
        <v>21</v>
      </c>
      <c r="W241" s="24">
        <v>22</v>
      </c>
      <c r="X241" s="24">
        <v>23</v>
      </c>
      <c r="Y241" s="24">
        <v>24</v>
      </c>
      <c r="Z241" s="24">
        <v>25</v>
      </c>
      <c r="AA241" s="24">
        <v>26</v>
      </c>
      <c r="AB241" s="24">
        <v>27</v>
      </c>
      <c r="AC241" s="24">
        <v>28</v>
      </c>
      <c r="AD241" s="24">
        <v>29</v>
      </c>
      <c r="AE241" s="24">
        <v>30</v>
      </c>
      <c r="AH241" s="88" t="s">
        <v>18</v>
      </c>
      <c r="AI241" s="88" t="s">
        <v>19</v>
      </c>
    </row>
    <row r="242" spans="1:35" ht="20.100000000000001" customHeight="1">
      <c r="A242" s="90"/>
      <c r="B242" s="26" t="str">
        <f>'2020'!B84</f>
        <v>V</v>
      </c>
      <c r="C242" s="26" t="str">
        <f>'2020'!C84</f>
        <v>H</v>
      </c>
      <c r="D242" s="26" t="str">
        <f>'2020'!D84</f>
        <v>K</v>
      </c>
      <c r="E242" s="26" t="str">
        <f>'2020'!E84</f>
        <v>Sze</v>
      </c>
      <c r="F242" s="26" t="str">
        <f>'2020'!F84</f>
        <v>Cs</v>
      </c>
      <c r="G242" s="26" t="str">
        <f>'2020'!G84</f>
        <v>P</v>
      </c>
      <c r="H242" s="26" t="str">
        <f>'2020'!H84</f>
        <v>Szo</v>
      </c>
      <c r="I242" s="26" t="str">
        <f>'2020'!I84</f>
        <v>V</v>
      </c>
      <c r="J242" s="26" t="str">
        <f>'2020'!J84</f>
        <v>H</v>
      </c>
      <c r="K242" s="26" t="str">
        <f>'2020'!K84</f>
        <v>K</v>
      </c>
      <c r="L242" s="26" t="str">
        <f>'2020'!L84</f>
        <v>Sze</v>
      </c>
      <c r="M242" s="26" t="str">
        <f>'2020'!M84</f>
        <v>Cs</v>
      </c>
      <c r="N242" s="26" t="str">
        <f>'2020'!N84</f>
        <v>P</v>
      </c>
      <c r="O242" s="26" t="str">
        <f>'2020'!O84</f>
        <v>Szo</v>
      </c>
      <c r="P242" s="26" t="str">
        <f>'2020'!P84</f>
        <v>V</v>
      </c>
      <c r="Q242" s="26" t="str">
        <f>'2020'!Q84</f>
        <v>H</v>
      </c>
      <c r="R242" s="26" t="str">
        <f>'2020'!R84</f>
        <v>K</v>
      </c>
      <c r="S242" s="26" t="str">
        <f>'2020'!S84</f>
        <v>Sze</v>
      </c>
      <c r="T242" s="26" t="str">
        <f>'2020'!T84</f>
        <v>Cs</v>
      </c>
      <c r="U242" s="26" t="str">
        <f>'2020'!U84</f>
        <v>P</v>
      </c>
      <c r="V242" s="26" t="str">
        <f>'2020'!V84</f>
        <v>Szo</v>
      </c>
      <c r="W242" s="26" t="str">
        <f>'2020'!W84</f>
        <v>V</v>
      </c>
      <c r="X242" s="26" t="str">
        <f>'2020'!X84</f>
        <v>H</v>
      </c>
      <c r="Y242" s="26" t="str">
        <f>'2020'!Y84</f>
        <v>K</v>
      </c>
      <c r="Z242" s="26" t="str">
        <f>'2020'!Z84</f>
        <v>Sze</v>
      </c>
      <c r="AA242" s="26" t="str">
        <f>'2020'!AA84</f>
        <v>Cs</v>
      </c>
      <c r="AB242" s="26" t="str">
        <f>'2020'!AB84</f>
        <v>P</v>
      </c>
      <c r="AC242" s="26" t="str">
        <f>'2020'!AC84</f>
        <v>Szo</v>
      </c>
      <c r="AD242" s="26" t="str">
        <f>'2020'!AD84</f>
        <v>V</v>
      </c>
      <c r="AE242" s="26" t="str">
        <f>'2020'!AE84</f>
        <v>H</v>
      </c>
      <c r="AF242" s="21"/>
      <c r="AH242" s="89"/>
      <c r="AI242" s="89"/>
    </row>
    <row r="243" spans="1:35" ht="20.100000000000001" customHeight="1">
      <c r="A243" s="89"/>
      <c r="B243" s="26">
        <f>'2020'!B85</f>
        <v>1</v>
      </c>
      <c r="C243" s="26" t="str">
        <f>'2020'!C85</f>
        <v>X</v>
      </c>
      <c r="D243" s="26" t="str">
        <f>'2020'!D85</f>
        <v>X</v>
      </c>
      <c r="E243" s="26">
        <f>'2020'!E85</f>
        <v>3</v>
      </c>
      <c r="F243" s="26">
        <f>'2020'!F85</f>
        <v>3</v>
      </c>
      <c r="G243" s="26">
        <f>'2020'!G85</f>
        <v>3</v>
      </c>
      <c r="H243" s="26">
        <f>'2020'!H85</f>
        <v>3</v>
      </c>
      <c r="I243" s="26">
        <f>'2020'!I85</f>
        <v>3</v>
      </c>
      <c r="J243" s="26">
        <f>'2020'!J85</f>
        <v>3</v>
      </c>
      <c r="K243" s="26" t="str">
        <f>'2020'!K85</f>
        <v>X</v>
      </c>
      <c r="L243" s="26" t="str">
        <f>'2020'!L85</f>
        <v>X</v>
      </c>
      <c r="M243" s="26">
        <f>'2020'!M85</f>
        <v>2</v>
      </c>
      <c r="N243" s="26">
        <f>'2020'!N85</f>
        <v>2</v>
      </c>
      <c r="O243" s="26">
        <f>'2020'!O85</f>
        <v>2</v>
      </c>
      <c r="P243" s="26">
        <f>'2020'!P85</f>
        <v>2</v>
      </c>
      <c r="Q243" s="26">
        <f>'2020'!Q85</f>
        <v>2</v>
      </c>
      <c r="R243" s="26">
        <f>'2020'!R85</f>
        <v>2</v>
      </c>
      <c r="S243" s="26" t="str">
        <f>'2020'!S85</f>
        <v>X</v>
      </c>
      <c r="T243" s="26" t="str">
        <f>'2020'!T85</f>
        <v>X</v>
      </c>
      <c r="U243" s="26">
        <f>'2020'!U85</f>
        <v>1</v>
      </c>
      <c r="V243" s="26">
        <f>'2020'!V85</f>
        <v>1</v>
      </c>
      <c r="W243" s="26">
        <f>'2020'!W85</f>
        <v>1</v>
      </c>
      <c r="X243" s="26">
        <f>'2020'!X85</f>
        <v>1</v>
      </c>
      <c r="Y243" s="26">
        <f>'2020'!Y85</f>
        <v>1</v>
      </c>
      <c r="Z243" s="26">
        <f>'2020'!Z85</f>
        <v>1</v>
      </c>
      <c r="AA243" s="26" t="str">
        <f>'2020'!AA85</f>
        <v>X</v>
      </c>
      <c r="AB243" s="26" t="str">
        <f>'2020'!AB85</f>
        <v>X</v>
      </c>
      <c r="AC243" s="26">
        <f>'2020'!AC85</f>
        <v>3</v>
      </c>
      <c r="AD243" s="26">
        <f>'2020'!AD85</f>
        <v>3</v>
      </c>
      <c r="AE243" s="26">
        <f>'2020'!AE85</f>
        <v>3</v>
      </c>
      <c r="AF243" s="21"/>
      <c r="AH243" s="89"/>
      <c r="AI243" s="89"/>
    </row>
    <row r="244" spans="1:35" ht="20.100000000000001" customHeight="1">
      <c r="A244" s="18" t="str">
        <f>ÖSSZES!$A$3</f>
        <v>Csuka Lajos</v>
      </c>
      <c r="B244" s="59"/>
      <c r="C244" s="58" t="s">
        <v>2</v>
      </c>
      <c r="D244" s="58" t="s">
        <v>2</v>
      </c>
      <c r="E244" s="31"/>
      <c r="F244" s="31"/>
      <c r="G244" s="31"/>
      <c r="H244" s="31"/>
      <c r="I244" s="33"/>
      <c r="J244" s="33"/>
      <c r="K244" s="58" t="s">
        <v>2</v>
      </c>
      <c r="L244" s="58" t="s">
        <v>2</v>
      </c>
      <c r="M244" s="31"/>
      <c r="N244" s="31"/>
      <c r="O244" s="31"/>
      <c r="P244" s="31"/>
      <c r="Q244" s="33"/>
      <c r="R244" s="33"/>
      <c r="S244" s="58" t="s">
        <v>2</v>
      </c>
      <c r="T244" s="58" t="s">
        <v>2</v>
      </c>
      <c r="U244" s="31"/>
      <c r="V244" s="31"/>
      <c r="W244" s="31"/>
      <c r="X244" s="31"/>
      <c r="Y244" s="33"/>
      <c r="Z244" s="33"/>
      <c r="AA244" s="58" t="s">
        <v>2</v>
      </c>
      <c r="AB244" s="58" t="s">
        <v>2</v>
      </c>
      <c r="AC244" s="31"/>
      <c r="AD244" s="31"/>
      <c r="AE244" s="31"/>
      <c r="AF244" s="21"/>
      <c r="AH244" s="16">
        <f>1*COUNTIF(A244:AF244,"+")</f>
        <v>0</v>
      </c>
      <c r="AI244" s="16">
        <f t="shared" ref="AI244" si="30">1*COUNTIF(B244:AF244,"szf")</f>
        <v>0</v>
      </c>
    </row>
    <row r="245" spans="1:35" ht="20.100000000000001" customHeight="1">
      <c r="A245" s="18" t="str">
        <f>ÖSSZES!$A$4</f>
        <v>Batiz Attila</v>
      </c>
      <c r="B245" s="59"/>
      <c r="C245" s="58" t="s">
        <v>2</v>
      </c>
      <c r="D245" s="58" t="s">
        <v>2</v>
      </c>
      <c r="E245" s="31"/>
      <c r="F245" s="31"/>
      <c r="G245" s="31"/>
      <c r="H245" s="31"/>
      <c r="I245" s="33"/>
      <c r="J245" s="33"/>
      <c r="K245" s="58" t="s">
        <v>2</v>
      </c>
      <c r="L245" s="58" t="s">
        <v>2</v>
      </c>
      <c r="M245" s="31"/>
      <c r="N245" s="31"/>
      <c r="O245" s="31"/>
      <c r="P245" s="31"/>
      <c r="Q245" s="33"/>
      <c r="R245" s="33"/>
      <c r="S245" s="58" t="s">
        <v>2</v>
      </c>
      <c r="T245" s="58" t="s">
        <v>2</v>
      </c>
      <c r="U245" s="31"/>
      <c r="V245" s="31"/>
      <c r="W245" s="31"/>
      <c r="X245" s="31"/>
      <c r="Y245" s="33"/>
      <c r="Z245" s="33"/>
      <c r="AA245" s="58" t="s">
        <v>2</v>
      </c>
      <c r="AB245" s="58" t="s">
        <v>2</v>
      </c>
      <c r="AC245" s="31"/>
      <c r="AD245" s="31"/>
      <c r="AE245" s="31"/>
      <c r="AF245" s="21"/>
      <c r="AH245" s="16">
        <f t="shared" ref="AH245:AH263" si="31">1*COUNTIF(A245:AF245,"+")</f>
        <v>0</v>
      </c>
      <c r="AI245" s="16">
        <f t="shared" ref="AI245:AI263" si="32">1*COUNTIF(B245:AF245,"szf")</f>
        <v>0</v>
      </c>
    </row>
    <row r="246" spans="1:35" ht="20.100000000000001" customHeight="1">
      <c r="A246" s="18" t="str">
        <f>ÖSSZES!$A$5</f>
        <v>Mizsák Péter</v>
      </c>
      <c r="B246" s="59"/>
      <c r="C246" s="58" t="s">
        <v>2</v>
      </c>
      <c r="D246" s="58" t="s">
        <v>2</v>
      </c>
      <c r="E246" s="31"/>
      <c r="F246" s="31"/>
      <c r="G246" s="31"/>
      <c r="H246" s="31"/>
      <c r="I246" s="33"/>
      <c r="J246" s="33"/>
      <c r="K246" s="58" t="s">
        <v>2</v>
      </c>
      <c r="L246" s="58" t="s">
        <v>2</v>
      </c>
      <c r="M246" s="31"/>
      <c r="N246" s="31"/>
      <c r="O246" s="31"/>
      <c r="P246" s="31"/>
      <c r="Q246" s="33"/>
      <c r="R246" s="33"/>
      <c r="S246" s="58" t="s">
        <v>2</v>
      </c>
      <c r="T246" s="58" t="s">
        <v>2</v>
      </c>
      <c r="U246" s="31"/>
      <c r="V246" s="31"/>
      <c r="W246" s="31"/>
      <c r="X246" s="31"/>
      <c r="Y246" s="33"/>
      <c r="Z246" s="33"/>
      <c r="AA246" s="58" t="s">
        <v>2</v>
      </c>
      <c r="AB246" s="58" t="s">
        <v>2</v>
      </c>
      <c r="AC246" s="31"/>
      <c r="AD246" s="31"/>
      <c r="AE246" s="31"/>
      <c r="AF246" s="21"/>
      <c r="AH246" s="16">
        <f t="shared" si="31"/>
        <v>0</v>
      </c>
      <c r="AI246" s="16">
        <f t="shared" si="32"/>
        <v>0</v>
      </c>
    </row>
    <row r="247" spans="1:35" ht="20.100000000000001" customHeight="1">
      <c r="A247" s="18" t="str">
        <f>ÖSSZES!$A$6</f>
        <v>Füredi Antal</v>
      </c>
      <c r="B247" s="59"/>
      <c r="C247" s="58" t="s">
        <v>2</v>
      </c>
      <c r="D247" s="58" t="s">
        <v>2</v>
      </c>
      <c r="E247" s="31"/>
      <c r="F247" s="31"/>
      <c r="G247" s="31"/>
      <c r="H247" s="31"/>
      <c r="I247" s="33"/>
      <c r="J247" s="33"/>
      <c r="K247" s="58" t="s">
        <v>2</v>
      </c>
      <c r="L247" s="58" t="s">
        <v>2</v>
      </c>
      <c r="M247" s="31"/>
      <c r="N247" s="31"/>
      <c r="O247" s="31"/>
      <c r="P247" s="31"/>
      <c r="Q247" s="33"/>
      <c r="R247" s="33"/>
      <c r="S247" s="58" t="s">
        <v>2</v>
      </c>
      <c r="T247" s="58" t="s">
        <v>2</v>
      </c>
      <c r="U247" s="31"/>
      <c r="V247" s="31"/>
      <c r="W247" s="31"/>
      <c r="X247" s="31"/>
      <c r="Y247" s="33"/>
      <c r="Z247" s="33"/>
      <c r="AA247" s="58" t="s">
        <v>2</v>
      </c>
      <c r="AB247" s="58" t="s">
        <v>2</v>
      </c>
      <c r="AC247" s="31"/>
      <c r="AD247" s="31"/>
      <c r="AE247" s="31"/>
      <c r="AF247" s="21"/>
      <c r="AH247" s="16">
        <f t="shared" si="31"/>
        <v>0</v>
      </c>
      <c r="AI247" s="16">
        <f t="shared" si="32"/>
        <v>0</v>
      </c>
    </row>
    <row r="248" spans="1:35" ht="20.100000000000001" customHeight="1">
      <c r="A248" s="18" t="str">
        <f>ÖSSZES!$A$7</f>
        <v>Iványi István</v>
      </c>
      <c r="B248" s="59"/>
      <c r="C248" s="58" t="s">
        <v>2</v>
      </c>
      <c r="D248" s="58" t="s">
        <v>2</v>
      </c>
      <c r="E248" s="31"/>
      <c r="F248" s="31"/>
      <c r="G248" s="31"/>
      <c r="H248" s="31"/>
      <c r="I248" s="33"/>
      <c r="J248" s="33"/>
      <c r="K248" s="58" t="s">
        <v>2</v>
      </c>
      <c r="L248" s="58" t="s">
        <v>2</v>
      </c>
      <c r="M248" s="31"/>
      <c r="N248" s="31"/>
      <c r="O248" s="31"/>
      <c r="P248" s="31"/>
      <c r="Q248" s="33"/>
      <c r="R248" s="33"/>
      <c r="S248" s="58" t="s">
        <v>2</v>
      </c>
      <c r="T248" s="58" t="s">
        <v>2</v>
      </c>
      <c r="U248" s="31"/>
      <c r="V248" s="31"/>
      <c r="W248" s="31"/>
      <c r="X248" s="31"/>
      <c r="Y248" s="33"/>
      <c r="Z248" s="33"/>
      <c r="AA248" s="58" t="s">
        <v>2</v>
      </c>
      <c r="AB248" s="58" t="s">
        <v>2</v>
      </c>
      <c r="AC248" s="31"/>
      <c r="AD248" s="31"/>
      <c r="AE248" s="31"/>
      <c r="AF248" s="21"/>
      <c r="AH248" s="16">
        <f t="shared" si="31"/>
        <v>0</v>
      </c>
      <c r="AI248" s="16">
        <f t="shared" si="32"/>
        <v>0</v>
      </c>
    </row>
    <row r="249" spans="1:35" ht="20.100000000000001" customHeight="1">
      <c r="A249" s="18" t="str">
        <f>ÖSSZES!$A$8</f>
        <v>Katonka Tibor</v>
      </c>
      <c r="B249" s="59"/>
      <c r="C249" s="58" t="s">
        <v>2</v>
      </c>
      <c r="D249" s="58" t="s">
        <v>2</v>
      </c>
      <c r="E249" s="31"/>
      <c r="F249" s="31"/>
      <c r="G249" s="31"/>
      <c r="H249" s="31"/>
      <c r="I249" s="33"/>
      <c r="J249" s="33"/>
      <c r="K249" s="58" t="s">
        <v>2</v>
      </c>
      <c r="L249" s="58" t="s">
        <v>2</v>
      </c>
      <c r="M249" s="31"/>
      <c r="N249" s="31"/>
      <c r="O249" s="31"/>
      <c r="P249" s="31"/>
      <c r="Q249" s="33"/>
      <c r="R249" s="33"/>
      <c r="S249" s="58" t="s">
        <v>2</v>
      </c>
      <c r="T249" s="58" t="s">
        <v>2</v>
      </c>
      <c r="U249" s="31"/>
      <c r="V249" s="31"/>
      <c r="W249" s="31"/>
      <c r="X249" s="31"/>
      <c r="Y249" s="33"/>
      <c r="Z249" s="33"/>
      <c r="AA249" s="58" t="s">
        <v>2</v>
      </c>
      <c r="AB249" s="58" t="s">
        <v>2</v>
      </c>
      <c r="AC249" s="31"/>
      <c r="AD249" s="31"/>
      <c r="AE249" s="31"/>
      <c r="AF249" s="21"/>
      <c r="AH249" s="16">
        <f t="shared" si="31"/>
        <v>0</v>
      </c>
      <c r="AI249" s="16">
        <f t="shared" si="32"/>
        <v>0</v>
      </c>
    </row>
    <row r="250" spans="1:35" ht="20.100000000000001" hidden="1" customHeight="1">
      <c r="A250" s="18" t="str">
        <f>ÖSSZES!$A$9</f>
        <v>Kiss János Tamás</v>
      </c>
      <c r="B250" s="59"/>
      <c r="C250" s="58" t="s">
        <v>2</v>
      </c>
      <c r="D250" s="58" t="s">
        <v>2</v>
      </c>
      <c r="E250" s="31"/>
      <c r="F250" s="31"/>
      <c r="G250" s="31"/>
      <c r="H250" s="31"/>
      <c r="I250" s="33"/>
      <c r="J250" s="33"/>
      <c r="K250" s="58" t="s">
        <v>2</v>
      </c>
      <c r="L250" s="58" t="s">
        <v>2</v>
      </c>
      <c r="M250" s="31"/>
      <c r="N250" s="31"/>
      <c r="O250" s="31"/>
      <c r="P250" s="31"/>
      <c r="Q250" s="33"/>
      <c r="R250" s="33"/>
      <c r="S250" s="58" t="s">
        <v>2</v>
      </c>
      <c r="T250" s="58" t="s">
        <v>2</v>
      </c>
      <c r="U250" s="31"/>
      <c r="V250" s="31"/>
      <c r="W250" s="31"/>
      <c r="X250" s="31"/>
      <c r="Y250" s="33"/>
      <c r="Z250" s="33"/>
      <c r="AA250" s="58" t="s">
        <v>2</v>
      </c>
      <c r="AB250" s="58" t="s">
        <v>2</v>
      </c>
      <c r="AC250" s="31"/>
      <c r="AD250" s="31"/>
      <c r="AE250" s="31"/>
      <c r="AF250" s="21"/>
      <c r="AH250" s="16">
        <f t="shared" si="31"/>
        <v>0</v>
      </c>
      <c r="AI250" s="16">
        <f t="shared" si="32"/>
        <v>0</v>
      </c>
    </row>
    <row r="251" spans="1:35" ht="20.100000000000001" customHeight="1">
      <c r="A251" s="18" t="str">
        <f>ÖSSZES!$A$10</f>
        <v>Vatamány Gergő</v>
      </c>
      <c r="B251" s="59"/>
      <c r="C251" s="58" t="s">
        <v>2</v>
      </c>
      <c r="D251" s="58" t="s">
        <v>2</v>
      </c>
      <c r="E251" s="31"/>
      <c r="F251" s="31"/>
      <c r="G251" s="31"/>
      <c r="H251" s="31"/>
      <c r="I251" s="33"/>
      <c r="J251" s="33"/>
      <c r="K251" s="58" t="s">
        <v>2</v>
      </c>
      <c r="L251" s="58" t="s">
        <v>2</v>
      </c>
      <c r="M251" s="31"/>
      <c r="N251" s="31"/>
      <c r="O251" s="31"/>
      <c r="P251" s="31"/>
      <c r="Q251" s="33"/>
      <c r="R251" s="33"/>
      <c r="S251" s="58" t="s">
        <v>2</v>
      </c>
      <c r="T251" s="58" t="s">
        <v>2</v>
      </c>
      <c r="U251" s="31"/>
      <c r="V251" s="31"/>
      <c r="W251" s="31"/>
      <c r="X251" s="31"/>
      <c r="Y251" s="33"/>
      <c r="Z251" s="33"/>
      <c r="AA251" s="58" t="s">
        <v>2</v>
      </c>
      <c r="AB251" s="58" t="s">
        <v>2</v>
      </c>
      <c r="AC251" s="31"/>
      <c r="AD251" s="31"/>
      <c r="AE251" s="31"/>
      <c r="AF251" s="21"/>
      <c r="AH251" s="16">
        <f t="shared" si="31"/>
        <v>0</v>
      </c>
      <c r="AI251" s="16">
        <f t="shared" si="32"/>
        <v>0</v>
      </c>
    </row>
    <row r="252" spans="1:35" ht="20.100000000000001" hidden="1" customHeight="1">
      <c r="A252" s="18" t="str">
        <f>ÖSSZES!$A$11</f>
        <v>Név9</v>
      </c>
      <c r="B252" s="59"/>
      <c r="C252" s="58" t="s">
        <v>2</v>
      </c>
      <c r="D252" s="58" t="s">
        <v>2</v>
      </c>
      <c r="E252" s="31"/>
      <c r="F252" s="31"/>
      <c r="G252" s="31"/>
      <c r="H252" s="31"/>
      <c r="I252" s="33"/>
      <c r="J252" s="33"/>
      <c r="K252" s="58" t="s">
        <v>2</v>
      </c>
      <c r="L252" s="58" t="s">
        <v>2</v>
      </c>
      <c r="M252" s="31"/>
      <c r="N252" s="31"/>
      <c r="O252" s="31"/>
      <c r="P252" s="31"/>
      <c r="Q252" s="33"/>
      <c r="R252" s="33"/>
      <c r="S252" s="58" t="s">
        <v>2</v>
      </c>
      <c r="T252" s="58" t="s">
        <v>2</v>
      </c>
      <c r="U252" s="31"/>
      <c r="V252" s="31"/>
      <c r="W252" s="31"/>
      <c r="X252" s="31"/>
      <c r="Y252" s="33"/>
      <c r="Z252" s="33"/>
      <c r="AA252" s="58" t="s">
        <v>2</v>
      </c>
      <c r="AB252" s="58" t="s">
        <v>2</v>
      </c>
      <c r="AC252" s="31"/>
      <c r="AD252" s="31"/>
      <c r="AE252" s="31"/>
      <c r="AF252" s="21"/>
      <c r="AH252" s="16">
        <f t="shared" si="31"/>
        <v>0</v>
      </c>
      <c r="AI252" s="16">
        <f t="shared" si="32"/>
        <v>0</v>
      </c>
    </row>
    <row r="253" spans="1:35" ht="20.100000000000001" hidden="1" customHeight="1">
      <c r="A253" s="18" t="str">
        <f>ÖSSZES!$A$12</f>
        <v>Név10</v>
      </c>
      <c r="B253" s="59"/>
      <c r="C253" s="58" t="s">
        <v>2</v>
      </c>
      <c r="D253" s="58" t="s">
        <v>2</v>
      </c>
      <c r="E253" s="31"/>
      <c r="F253" s="31"/>
      <c r="G253" s="31"/>
      <c r="H253" s="31"/>
      <c r="I253" s="33"/>
      <c r="J253" s="33"/>
      <c r="K253" s="58" t="s">
        <v>2</v>
      </c>
      <c r="L253" s="58" t="s">
        <v>2</v>
      </c>
      <c r="M253" s="31"/>
      <c r="N253" s="31"/>
      <c r="O253" s="31"/>
      <c r="P253" s="31"/>
      <c r="Q253" s="33"/>
      <c r="R253" s="33"/>
      <c r="S253" s="58" t="s">
        <v>2</v>
      </c>
      <c r="T253" s="58" t="s">
        <v>2</v>
      </c>
      <c r="U253" s="31"/>
      <c r="V253" s="31"/>
      <c r="W253" s="31"/>
      <c r="X253" s="31"/>
      <c r="Y253" s="33"/>
      <c r="Z253" s="33"/>
      <c r="AA253" s="58" t="s">
        <v>2</v>
      </c>
      <c r="AB253" s="58" t="s">
        <v>2</v>
      </c>
      <c r="AC253" s="31"/>
      <c r="AD253" s="31"/>
      <c r="AE253" s="31"/>
      <c r="AF253" s="21"/>
      <c r="AH253" s="16">
        <f t="shared" si="31"/>
        <v>0</v>
      </c>
      <c r="AI253" s="16">
        <f t="shared" si="32"/>
        <v>0</v>
      </c>
    </row>
    <row r="254" spans="1:35" ht="20.100000000000001" hidden="1" customHeight="1">
      <c r="A254" s="18" t="str">
        <f>ÖSSZES!$A$13</f>
        <v>Név11</v>
      </c>
      <c r="B254" s="59"/>
      <c r="C254" s="58" t="s">
        <v>2</v>
      </c>
      <c r="D254" s="58" t="s">
        <v>2</v>
      </c>
      <c r="E254" s="31"/>
      <c r="F254" s="31"/>
      <c r="G254" s="31"/>
      <c r="H254" s="31"/>
      <c r="I254" s="33"/>
      <c r="J254" s="33"/>
      <c r="K254" s="58" t="s">
        <v>2</v>
      </c>
      <c r="L254" s="58" t="s">
        <v>2</v>
      </c>
      <c r="M254" s="31"/>
      <c r="N254" s="31"/>
      <c r="O254" s="31"/>
      <c r="P254" s="31"/>
      <c r="Q254" s="33"/>
      <c r="R254" s="33"/>
      <c r="S254" s="58" t="s">
        <v>2</v>
      </c>
      <c r="T254" s="58" t="s">
        <v>2</v>
      </c>
      <c r="U254" s="31"/>
      <c r="V254" s="31"/>
      <c r="W254" s="31"/>
      <c r="X254" s="31"/>
      <c r="Y254" s="33"/>
      <c r="Z254" s="33"/>
      <c r="AA254" s="58" t="s">
        <v>2</v>
      </c>
      <c r="AB254" s="58" t="s">
        <v>2</v>
      </c>
      <c r="AC254" s="31"/>
      <c r="AD254" s="31"/>
      <c r="AE254" s="31"/>
      <c r="AF254" s="21"/>
      <c r="AH254" s="16">
        <f t="shared" si="31"/>
        <v>0</v>
      </c>
      <c r="AI254" s="16">
        <f t="shared" si="32"/>
        <v>0</v>
      </c>
    </row>
    <row r="255" spans="1:35" ht="20.100000000000001" hidden="1" customHeight="1">
      <c r="A255" s="18" t="str">
        <f>ÖSSZES!$A$14</f>
        <v>Név12</v>
      </c>
      <c r="B255" s="59"/>
      <c r="C255" s="58" t="s">
        <v>2</v>
      </c>
      <c r="D255" s="58" t="s">
        <v>2</v>
      </c>
      <c r="E255" s="31"/>
      <c r="F255" s="31"/>
      <c r="G255" s="31"/>
      <c r="H255" s="31"/>
      <c r="I255" s="33"/>
      <c r="J255" s="33"/>
      <c r="K255" s="58" t="s">
        <v>2</v>
      </c>
      <c r="L255" s="58" t="s">
        <v>2</v>
      </c>
      <c r="M255" s="31"/>
      <c r="N255" s="31"/>
      <c r="O255" s="31"/>
      <c r="P255" s="31"/>
      <c r="Q255" s="33"/>
      <c r="R255" s="33"/>
      <c r="S255" s="58" t="s">
        <v>2</v>
      </c>
      <c r="T255" s="58" t="s">
        <v>2</v>
      </c>
      <c r="U255" s="31"/>
      <c r="V255" s="31"/>
      <c r="W255" s="31"/>
      <c r="X255" s="31"/>
      <c r="Y255" s="33"/>
      <c r="Z255" s="33"/>
      <c r="AA255" s="58" t="s">
        <v>2</v>
      </c>
      <c r="AB255" s="58" t="s">
        <v>2</v>
      </c>
      <c r="AC255" s="31"/>
      <c r="AD255" s="31"/>
      <c r="AE255" s="31"/>
      <c r="AF255" s="21"/>
      <c r="AH255" s="16">
        <f t="shared" si="31"/>
        <v>0</v>
      </c>
      <c r="AI255" s="16">
        <f t="shared" si="32"/>
        <v>0</v>
      </c>
    </row>
    <row r="256" spans="1:35" ht="20.100000000000001" hidden="1" customHeight="1">
      <c r="A256" s="18" t="str">
        <f>ÖSSZES!$A$15</f>
        <v>Név13</v>
      </c>
      <c r="B256" s="59"/>
      <c r="C256" s="58" t="s">
        <v>2</v>
      </c>
      <c r="D256" s="58" t="s">
        <v>2</v>
      </c>
      <c r="E256" s="31"/>
      <c r="F256" s="31"/>
      <c r="G256" s="31"/>
      <c r="H256" s="31"/>
      <c r="I256" s="33"/>
      <c r="J256" s="33"/>
      <c r="K256" s="58" t="s">
        <v>2</v>
      </c>
      <c r="L256" s="58" t="s">
        <v>2</v>
      </c>
      <c r="M256" s="31"/>
      <c r="N256" s="31"/>
      <c r="O256" s="31"/>
      <c r="P256" s="31"/>
      <c r="Q256" s="33"/>
      <c r="R256" s="33"/>
      <c r="S256" s="58" t="s">
        <v>2</v>
      </c>
      <c r="T256" s="58" t="s">
        <v>2</v>
      </c>
      <c r="U256" s="31"/>
      <c r="V256" s="31"/>
      <c r="W256" s="31"/>
      <c r="X256" s="31"/>
      <c r="Y256" s="33"/>
      <c r="Z256" s="33"/>
      <c r="AA256" s="58" t="s">
        <v>2</v>
      </c>
      <c r="AB256" s="58" t="s">
        <v>2</v>
      </c>
      <c r="AC256" s="31"/>
      <c r="AD256" s="31"/>
      <c r="AE256" s="31"/>
      <c r="AF256" s="21"/>
      <c r="AH256" s="16">
        <f t="shared" si="31"/>
        <v>0</v>
      </c>
      <c r="AI256" s="16">
        <f t="shared" si="32"/>
        <v>0</v>
      </c>
    </row>
    <row r="257" spans="1:35" ht="20.100000000000001" hidden="1" customHeight="1">
      <c r="A257" s="18" t="str">
        <f>ÖSSZES!$A$16</f>
        <v>Név14</v>
      </c>
      <c r="B257" s="59"/>
      <c r="C257" s="58" t="s">
        <v>2</v>
      </c>
      <c r="D257" s="58" t="s">
        <v>2</v>
      </c>
      <c r="E257" s="31"/>
      <c r="F257" s="31"/>
      <c r="G257" s="31"/>
      <c r="H257" s="31"/>
      <c r="I257" s="33"/>
      <c r="J257" s="33"/>
      <c r="K257" s="58" t="s">
        <v>2</v>
      </c>
      <c r="L257" s="58" t="s">
        <v>2</v>
      </c>
      <c r="M257" s="31"/>
      <c r="N257" s="31"/>
      <c r="O257" s="31"/>
      <c r="P257" s="31"/>
      <c r="Q257" s="33"/>
      <c r="R257" s="33"/>
      <c r="S257" s="58" t="s">
        <v>2</v>
      </c>
      <c r="T257" s="58" t="s">
        <v>2</v>
      </c>
      <c r="U257" s="31"/>
      <c r="V257" s="31"/>
      <c r="W257" s="31"/>
      <c r="X257" s="31"/>
      <c r="Y257" s="33"/>
      <c r="Z257" s="33"/>
      <c r="AA257" s="58" t="s">
        <v>2</v>
      </c>
      <c r="AB257" s="58" t="s">
        <v>2</v>
      </c>
      <c r="AC257" s="31"/>
      <c r="AD257" s="31"/>
      <c r="AE257" s="31"/>
      <c r="AF257" s="21"/>
      <c r="AH257" s="16">
        <f t="shared" si="31"/>
        <v>0</v>
      </c>
      <c r="AI257" s="16">
        <f t="shared" si="32"/>
        <v>0</v>
      </c>
    </row>
    <row r="258" spans="1:35" ht="20.100000000000001" hidden="1" customHeight="1">
      <c r="A258" s="18" t="str">
        <f>ÖSSZES!$A$17</f>
        <v>Név15</v>
      </c>
      <c r="B258" s="59"/>
      <c r="C258" s="58" t="s">
        <v>2</v>
      </c>
      <c r="D258" s="58" t="s">
        <v>2</v>
      </c>
      <c r="E258" s="31"/>
      <c r="F258" s="31"/>
      <c r="G258" s="31"/>
      <c r="H258" s="31"/>
      <c r="I258" s="33"/>
      <c r="J258" s="33"/>
      <c r="K258" s="58" t="s">
        <v>2</v>
      </c>
      <c r="L258" s="58" t="s">
        <v>2</v>
      </c>
      <c r="M258" s="31"/>
      <c r="N258" s="31"/>
      <c r="O258" s="31"/>
      <c r="P258" s="31"/>
      <c r="Q258" s="33"/>
      <c r="R258" s="33"/>
      <c r="S258" s="58" t="s">
        <v>2</v>
      </c>
      <c r="T258" s="58" t="s">
        <v>2</v>
      </c>
      <c r="U258" s="31"/>
      <c r="V258" s="31"/>
      <c r="W258" s="31"/>
      <c r="X258" s="31"/>
      <c r="Y258" s="33"/>
      <c r="Z258" s="33"/>
      <c r="AA258" s="58" t="s">
        <v>2</v>
      </c>
      <c r="AB258" s="58" t="s">
        <v>2</v>
      </c>
      <c r="AC258" s="31"/>
      <c r="AD258" s="31"/>
      <c r="AE258" s="31"/>
      <c r="AF258" s="21"/>
      <c r="AH258" s="16">
        <f t="shared" si="31"/>
        <v>0</v>
      </c>
      <c r="AI258" s="16">
        <f t="shared" si="32"/>
        <v>0</v>
      </c>
    </row>
    <row r="259" spans="1:35" ht="20.100000000000001" hidden="1" customHeight="1">
      <c r="A259" s="18" t="str">
        <f>ÖSSZES!$A$18</f>
        <v>Név16</v>
      </c>
      <c r="B259" s="59"/>
      <c r="C259" s="58" t="s">
        <v>2</v>
      </c>
      <c r="D259" s="58" t="s">
        <v>2</v>
      </c>
      <c r="E259" s="31"/>
      <c r="F259" s="31"/>
      <c r="G259" s="31"/>
      <c r="H259" s="31"/>
      <c r="I259" s="33"/>
      <c r="J259" s="33"/>
      <c r="K259" s="58" t="s">
        <v>2</v>
      </c>
      <c r="L259" s="58" t="s">
        <v>2</v>
      </c>
      <c r="M259" s="31"/>
      <c r="N259" s="31"/>
      <c r="O259" s="31"/>
      <c r="P259" s="31"/>
      <c r="Q259" s="33"/>
      <c r="R259" s="33"/>
      <c r="S259" s="58" t="s">
        <v>2</v>
      </c>
      <c r="T259" s="58" t="s">
        <v>2</v>
      </c>
      <c r="U259" s="31"/>
      <c r="V259" s="31"/>
      <c r="W259" s="31"/>
      <c r="X259" s="31"/>
      <c r="Y259" s="33"/>
      <c r="Z259" s="33"/>
      <c r="AA259" s="58" t="s">
        <v>2</v>
      </c>
      <c r="AB259" s="58" t="s">
        <v>2</v>
      </c>
      <c r="AC259" s="31"/>
      <c r="AD259" s="31"/>
      <c r="AE259" s="31"/>
      <c r="AF259" s="21"/>
      <c r="AH259" s="16">
        <f t="shared" si="31"/>
        <v>0</v>
      </c>
      <c r="AI259" s="16">
        <f t="shared" si="32"/>
        <v>0</v>
      </c>
    </row>
    <row r="260" spans="1:35" ht="20.100000000000001" hidden="1" customHeight="1">
      <c r="A260" s="18" t="str">
        <f>ÖSSZES!$A$19</f>
        <v>Név17</v>
      </c>
      <c r="B260" s="59"/>
      <c r="C260" s="58" t="s">
        <v>2</v>
      </c>
      <c r="D260" s="58" t="s">
        <v>2</v>
      </c>
      <c r="E260" s="31"/>
      <c r="F260" s="31"/>
      <c r="G260" s="31"/>
      <c r="H260" s="31"/>
      <c r="I260" s="33"/>
      <c r="J260" s="33"/>
      <c r="K260" s="58" t="s">
        <v>2</v>
      </c>
      <c r="L260" s="58" t="s">
        <v>2</v>
      </c>
      <c r="M260" s="31"/>
      <c r="N260" s="31"/>
      <c r="O260" s="31"/>
      <c r="P260" s="31"/>
      <c r="Q260" s="33"/>
      <c r="R260" s="33"/>
      <c r="S260" s="58" t="s">
        <v>2</v>
      </c>
      <c r="T260" s="58" t="s">
        <v>2</v>
      </c>
      <c r="U260" s="31"/>
      <c r="V260" s="31"/>
      <c r="W260" s="31"/>
      <c r="X260" s="31"/>
      <c r="Y260" s="33"/>
      <c r="Z260" s="33"/>
      <c r="AA260" s="58" t="s">
        <v>2</v>
      </c>
      <c r="AB260" s="58" t="s">
        <v>2</v>
      </c>
      <c r="AC260" s="31"/>
      <c r="AD260" s="31"/>
      <c r="AE260" s="31"/>
      <c r="AF260" s="21"/>
      <c r="AH260" s="16">
        <f t="shared" si="31"/>
        <v>0</v>
      </c>
      <c r="AI260" s="16">
        <f t="shared" si="32"/>
        <v>0</v>
      </c>
    </row>
    <row r="261" spans="1:35" ht="20.100000000000001" hidden="1" customHeight="1">
      <c r="A261" s="18" t="str">
        <f>ÖSSZES!$A$20</f>
        <v>Név18</v>
      </c>
      <c r="B261" s="59"/>
      <c r="C261" s="58" t="s">
        <v>2</v>
      </c>
      <c r="D261" s="58" t="s">
        <v>2</v>
      </c>
      <c r="E261" s="31"/>
      <c r="F261" s="31"/>
      <c r="G261" s="31"/>
      <c r="H261" s="31"/>
      <c r="I261" s="33"/>
      <c r="J261" s="33"/>
      <c r="K261" s="58" t="s">
        <v>2</v>
      </c>
      <c r="L261" s="58" t="s">
        <v>2</v>
      </c>
      <c r="M261" s="31"/>
      <c r="N261" s="31"/>
      <c r="O261" s="31"/>
      <c r="P261" s="31"/>
      <c r="Q261" s="33"/>
      <c r="R261" s="33"/>
      <c r="S261" s="58" t="s">
        <v>2</v>
      </c>
      <c r="T261" s="58" t="s">
        <v>2</v>
      </c>
      <c r="U261" s="31"/>
      <c r="V261" s="31"/>
      <c r="W261" s="31"/>
      <c r="X261" s="31"/>
      <c r="Y261" s="33"/>
      <c r="Z261" s="33"/>
      <c r="AA261" s="58" t="s">
        <v>2</v>
      </c>
      <c r="AB261" s="58" t="s">
        <v>2</v>
      </c>
      <c r="AC261" s="31"/>
      <c r="AD261" s="31"/>
      <c r="AE261" s="31"/>
      <c r="AF261" s="21"/>
      <c r="AH261" s="16">
        <f t="shared" si="31"/>
        <v>0</v>
      </c>
      <c r="AI261" s="16">
        <f t="shared" si="32"/>
        <v>0</v>
      </c>
    </row>
    <row r="262" spans="1:35" ht="20.100000000000001" hidden="1" customHeight="1">
      <c r="A262" s="18" t="str">
        <f>ÖSSZES!$A$21</f>
        <v>Név19</v>
      </c>
      <c r="B262" s="59"/>
      <c r="C262" s="58" t="s">
        <v>2</v>
      </c>
      <c r="D262" s="58" t="s">
        <v>2</v>
      </c>
      <c r="E262" s="31"/>
      <c r="F262" s="31"/>
      <c r="G262" s="31"/>
      <c r="H262" s="31"/>
      <c r="I262" s="33"/>
      <c r="J262" s="33"/>
      <c r="K262" s="58" t="s">
        <v>2</v>
      </c>
      <c r="L262" s="58" t="s">
        <v>2</v>
      </c>
      <c r="M262" s="31"/>
      <c r="N262" s="31"/>
      <c r="O262" s="31"/>
      <c r="P262" s="31"/>
      <c r="Q262" s="33"/>
      <c r="R262" s="33"/>
      <c r="S262" s="58" t="s">
        <v>2</v>
      </c>
      <c r="T262" s="58" t="s">
        <v>2</v>
      </c>
      <c r="U262" s="31"/>
      <c r="V262" s="31"/>
      <c r="W262" s="31"/>
      <c r="X262" s="31"/>
      <c r="Y262" s="33"/>
      <c r="Z262" s="33"/>
      <c r="AA262" s="58" t="s">
        <v>2</v>
      </c>
      <c r="AB262" s="58" t="s">
        <v>2</v>
      </c>
      <c r="AC262" s="31"/>
      <c r="AD262" s="31"/>
      <c r="AE262" s="31"/>
      <c r="AF262" s="21"/>
      <c r="AH262" s="16">
        <f t="shared" si="31"/>
        <v>0</v>
      </c>
      <c r="AI262" s="16">
        <f t="shared" si="32"/>
        <v>0</v>
      </c>
    </row>
    <row r="263" spans="1:35" ht="20.100000000000001" hidden="1" customHeight="1">
      <c r="A263" s="18" t="str">
        <f>ÖSSZES!$A$17</f>
        <v>Név15</v>
      </c>
      <c r="B263" s="59"/>
      <c r="C263" s="58" t="s">
        <v>2</v>
      </c>
      <c r="D263" s="58" t="s">
        <v>2</v>
      </c>
      <c r="E263" s="31"/>
      <c r="F263" s="31"/>
      <c r="G263" s="31"/>
      <c r="H263" s="31"/>
      <c r="I263" s="33"/>
      <c r="J263" s="33"/>
      <c r="K263" s="58" t="s">
        <v>2</v>
      </c>
      <c r="L263" s="58" t="s">
        <v>2</v>
      </c>
      <c r="M263" s="31"/>
      <c r="N263" s="31"/>
      <c r="O263" s="31"/>
      <c r="P263" s="31"/>
      <c r="Q263" s="33"/>
      <c r="R263" s="33"/>
      <c r="S263" s="58" t="s">
        <v>2</v>
      </c>
      <c r="T263" s="58" t="s">
        <v>2</v>
      </c>
      <c r="U263" s="31"/>
      <c r="V263" s="31"/>
      <c r="W263" s="31"/>
      <c r="X263" s="31"/>
      <c r="Y263" s="33"/>
      <c r="Z263" s="33"/>
      <c r="AA263" s="58" t="s">
        <v>2</v>
      </c>
      <c r="AB263" s="58" t="s">
        <v>2</v>
      </c>
      <c r="AC263" s="31"/>
      <c r="AD263" s="31"/>
      <c r="AE263" s="31"/>
      <c r="AF263" s="21"/>
      <c r="AH263" s="16">
        <f t="shared" si="31"/>
        <v>0</v>
      </c>
      <c r="AI263" s="16">
        <f t="shared" si="32"/>
        <v>0</v>
      </c>
    </row>
    <row r="264" spans="1:35" s="22" customFormat="1" ht="20.100000000000001" customHeight="1">
      <c r="A264" s="12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H264" s="27"/>
      <c r="AI264" s="27"/>
    </row>
    <row r="265" spans="1:35" s="25" customFormat="1" ht="20.100000000000001" customHeight="1">
      <c r="A265" s="88" t="s">
        <v>16</v>
      </c>
      <c r="B265" s="24">
        <v>1</v>
      </c>
      <c r="C265" s="24">
        <v>2</v>
      </c>
      <c r="D265" s="24">
        <v>3</v>
      </c>
      <c r="E265" s="24">
        <v>4</v>
      </c>
      <c r="F265" s="24">
        <v>5</v>
      </c>
      <c r="G265" s="24">
        <v>6</v>
      </c>
      <c r="H265" s="24">
        <v>7</v>
      </c>
      <c r="I265" s="24">
        <v>8</v>
      </c>
      <c r="J265" s="24">
        <v>9</v>
      </c>
      <c r="K265" s="24">
        <v>10</v>
      </c>
      <c r="L265" s="24">
        <v>11</v>
      </c>
      <c r="M265" s="24">
        <v>12</v>
      </c>
      <c r="N265" s="24">
        <v>13</v>
      </c>
      <c r="O265" s="24">
        <v>14</v>
      </c>
      <c r="P265" s="24">
        <v>15</v>
      </c>
      <c r="Q265" s="24">
        <v>16</v>
      </c>
      <c r="R265" s="24">
        <v>17</v>
      </c>
      <c r="S265" s="24">
        <v>18</v>
      </c>
      <c r="T265" s="24">
        <v>19</v>
      </c>
      <c r="U265" s="24">
        <v>20</v>
      </c>
      <c r="V265" s="24">
        <v>21</v>
      </c>
      <c r="W265" s="24">
        <v>22</v>
      </c>
      <c r="X265" s="24">
        <v>23</v>
      </c>
      <c r="Y265" s="24">
        <v>24</v>
      </c>
      <c r="Z265" s="23">
        <v>25</v>
      </c>
      <c r="AA265" s="23">
        <v>26</v>
      </c>
      <c r="AB265" s="24">
        <v>27</v>
      </c>
      <c r="AC265" s="24">
        <v>28</v>
      </c>
      <c r="AD265" s="24">
        <v>29</v>
      </c>
      <c r="AE265" s="24">
        <v>30</v>
      </c>
      <c r="AF265" s="24">
        <v>31</v>
      </c>
      <c r="AH265" s="88" t="s">
        <v>18</v>
      </c>
      <c r="AI265" s="88" t="s">
        <v>19</v>
      </c>
    </row>
    <row r="266" spans="1:35" ht="20.100000000000001" customHeight="1">
      <c r="A266" s="90"/>
      <c r="B266" s="26" t="str">
        <f>'2020'!B92</f>
        <v>K</v>
      </c>
      <c r="C266" s="26" t="str">
        <f>'2020'!C92</f>
        <v>Sze</v>
      </c>
      <c r="D266" s="26" t="str">
        <f>'2020'!D92</f>
        <v>Cs</v>
      </c>
      <c r="E266" s="26" t="str">
        <f>'2020'!E92</f>
        <v>P</v>
      </c>
      <c r="F266" s="26" t="str">
        <f>'2020'!F92</f>
        <v>Szo</v>
      </c>
      <c r="G266" s="26" t="str">
        <f>'2020'!G92</f>
        <v>V</v>
      </c>
      <c r="H266" s="26" t="str">
        <f>'2020'!H92</f>
        <v>H</v>
      </c>
      <c r="I266" s="26" t="str">
        <f>'2020'!I92</f>
        <v>K</v>
      </c>
      <c r="J266" s="26" t="str">
        <f>'2020'!J92</f>
        <v>Sze</v>
      </c>
      <c r="K266" s="26" t="str">
        <f>'2020'!K92</f>
        <v>Cs</v>
      </c>
      <c r="L266" s="26" t="str">
        <f>'2020'!L92</f>
        <v>P</v>
      </c>
      <c r="M266" s="26" t="str">
        <f>'2020'!M92</f>
        <v>Szo</v>
      </c>
      <c r="N266" s="26" t="str">
        <f>'2020'!N92</f>
        <v>V</v>
      </c>
      <c r="O266" s="26" t="str">
        <f>'2020'!O92</f>
        <v>H</v>
      </c>
      <c r="P266" s="26" t="str">
        <f>'2020'!P92</f>
        <v>K</v>
      </c>
      <c r="Q266" s="26" t="str">
        <f>'2020'!Q92</f>
        <v>Sze</v>
      </c>
      <c r="R266" s="26" t="str">
        <f>'2020'!R92</f>
        <v>Cs</v>
      </c>
      <c r="S266" s="26" t="str">
        <f>'2020'!S92</f>
        <v>P</v>
      </c>
      <c r="T266" s="26" t="str">
        <f>'2020'!T92</f>
        <v>Szo</v>
      </c>
      <c r="U266" s="26" t="str">
        <f>'2020'!U92</f>
        <v>V</v>
      </c>
      <c r="V266" s="26" t="str">
        <f>'2020'!V92</f>
        <v>H</v>
      </c>
      <c r="W266" s="26" t="str">
        <f>'2020'!W92</f>
        <v>K</v>
      </c>
      <c r="X266" s="26" t="str">
        <f>'2020'!X92</f>
        <v>Sze</v>
      </c>
      <c r="Y266" s="26" t="str">
        <f>'2020'!Y92</f>
        <v>Cs</v>
      </c>
      <c r="Z266" s="26" t="str">
        <f>'2020'!Z92</f>
        <v>P</v>
      </c>
      <c r="AA266" s="26" t="str">
        <f>'2020'!AA92</f>
        <v>Szo</v>
      </c>
      <c r="AB266" s="26" t="str">
        <f>'2020'!AB92</f>
        <v>V</v>
      </c>
      <c r="AC266" s="26" t="str">
        <f>'2020'!AC92</f>
        <v>H</v>
      </c>
      <c r="AD266" s="26" t="str">
        <f>'2020'!AD92</f>
        <v>K</v>
      </c>
      <c r="AE266" s="26" t="str">
        <f>'2020'!AE92</f>
        <v>Sze</v>
      </c>
      <c r="AF266" s="26" t="str">
        <f>'2020'!AF92</f>
        <v>Cs</v>
      </c>
      <c r="AH266" s="89"/>
      <c r="AI266" s="89"/>
    </row>
    <row r="267" spans="1:35" ht="20.100000000000001" customHeight="1">
      <c r="A267" s="89"/>
      <c r="B267" s="26">
        <f>'2020'!B93</f>
        <v>3</v>
      </c>
      <c r="C267" s="26">
        <f>'2020'!C93</f>
        <v>3</v>
      </c>
      <c r="D267" s="26">
        <f>'2020'!D93</f>
        <v>3</v>
      </c>
      <c r="E267" s="26" t="str">
        <f>'2020'!E93</f>
        <v>X</v>
      </c>
      <c r="F267" s="26" t="str">
        <f>'2020'!F93</f>
        <v>X</v>
      </c>
      <c r="G267" s="26">
        <f>'2020'!G93</f>
        <v>2</v>
      </c>
      <c r="H267" s="26">
        <f>'2020'!H93</f>
        <v>2</v>
      </c>
      <c r="I267" s="26">
        <f>'2020'!I93</f>
        <v>2</v>
      </c>
      <c r="J267" s="26">
        <f>'2020'!J93</f>
        <v>2</v>
      </c>
      <c r="K267" s="26">
        <f>'2020'!K93</f>
        <v>2</v>
      </c>
      <c r="L267" s="26">
        <f>'2020'!L93</f>
        <v>2</v>
      </c>
      <c r="M267" s="26" t="str">
        <f>'2020'!M93</f>
        <v>X</v>
      </c>
      <c r="N267" s="26" t="str">
        <f>'2020'!N93</f>
        <v>X</v>
      </c>
      <c r="O267" s="26">
        <f>'2020'!O93</f>
        <v>1</v>
      </c>
      <c r="P267" s="26">
        <f>'2020'!P93</f>
        <v>1</v>
      </c>
      <c r="Q267" s="26">
        <f>'2020'!Q93</f>
        <v>1</v>
      </c>
      <c r="R267" s="26">
        <f>'2020'!R93</f>
        <v>1</v>
      </c>
      <c r="S267" s="26">
        <f>'2020'!S93</f>
        <v>1</v>
      </c>
      <c r="T267" s="26">
        <f>'2020'!T93</f>
        <v>1</v>
      </c>
      <c r="U267" s="26" t="str">
        <f>'2020'!U93</f>
        <v>X</v>
      </c>
      <c r="V267" s="26" t="str">
        <f>'2020'!V93</f>
        <v>X</v>
      </c>
      <c r="W267" s="26">
        <f>'2020'!W93</f>
        <v>3</v>
      </c>
      <c r="X267" s="26">
        <f>'2020'!X93</f>
        <v>3</v>
      </c>
      <c r="Y267" s="26">
        <f>'2020'!Y93</f>
        <v>3</v>
      </c>
      <c r="Z267" s="26">
        <f>'2020'!Z93</f>
        <v>3</v>
      </c>
      <c r="AA267" s="26">
        <f>'2020'!AA93</f>
        <v>3</v>
      </c>
      <c r="AB267" s="26">
        <f>'2020'!AB93</f>
        <v>3</v>
      </c>
      <c r="AC267" s="26" t="str">
        <f>'2020'!AC93</f>
        <v>X</v>
      </c>
      <c r="AD267" s="26" t="str">
        <f>'2020'!AD93</f>
        <v>X</v>
      </c>
      <c r="AE267" s="26">
        <f>'2020'!AE93</f>
        <v>2</v>
      </c>
      <c r="AF267" s="26">
        <f>'2020'!AF93</f>
        <v>2</v>
      </c>
      <c r="AH267" s="89"/>
      <c r="AI267" s="89"/>
    </row>
    <row r="268" spans="1:35" ht="20.100000000000001" customHeight="1">
      <c r="A268" s="18" t="str">
        <f>ÖSSZES!$A$3</f>
        <v>Csuka Lajos</v>
      </c>
      <c r="B268" s="31"/>
      <c r="C268" s="33"/>
      <c r="D268" s="33"/>
      <c r="E268" s="58" t="s">
        <v>2</v>
      </c>
      <c r="F268" s="58" t="s">
        <v>2</v>
      </c>
      <c r="G268" s="33"/>
      <c r="H268" s="33"/>
      <c r="I268" s="33"/>
      <c r="J268" s="33"/>
      <c r="K268" s="33"/>
      <c r="L268" s="33"/>
      <c r="M268" s="58" t="s">
        <v>2</v>
      </c>
      <c r="N268" s="58" t="s">
        <v>2</v>
      </c>
      <c r="O268" s="33"/>
      <c r="P268" s="33"/>
      <c r="Q268" s="33"/>
      <c r="R268" s="33"/>
      <c r="S268" s="33"/>
      <c r="T268" s="33"/>
      <c r="U268" s="58" t="s">
        <v>2</v>
      </c>
      <c r="V268" s="58" t="s">
        <v>2</v>
      </c>
      <c r="W268" s="33"/>
      <c r="X268" s="31"/>
      <c r="Y268" s="31"/>
      <c r="Z268" s="59"/>
      <c r="AA268" s="59"/>
      <c r="AB268" s="33"/>
      <c r="AC268" s="58" t="s">
        <v>2</v>
      </c>
      <c r="AD268" s="58" t="s">
        <v>2</v>
      </c>
      <c r="AE268" s="33"/>
      <c r="AF268" s="33"/>
      <c r="AH268" s="16">
        <f>1*COUNTIF(A268:AF268,"+")</f>
        <v>0</v>
      </c>
      <c r="AI268" s="16">
        <f t="shared" ref="AI268" si="33">1*COUNTIF(B268:AF268,"szf")</f>
        <v>0</v>
      </c>
    </row>
    <row r="269" spans="1:35" ht="20.100000000000001" customHeight="1">
      <c r="A269" s="18" t="str">
        <f>ÖSSZES!$A$4</f>
        <v>Batiz Attila</v>
      </c>
      <c r="B269" s="31"/>
      <c r="C269" s="33"/>
      <c r="D269" s="33"/>
      <c r="E269" s="58" t="s">
        <v>2</v>
      </c>
      <c r="F269" s="58" t="s">
        <v>2</v>
      </c>
      <c r="G269" s="33"/>
      <c r="H269" s="33"/>
      <c r="I269" s="33"/>
      <c r="J269" s="33"/>
      <c r="K269" s="33"/>
      <c r="L269" s="33"/>
      <c r="M269" s="58" t="s">
        <v>2</v>
      </c>
      <c r="N269" s="58" t="s">
        <v>2</v>
      </c>
      <c r="O269" s="33"/>
      <c r="P269" s="33"/>
      <c r="Q269" s="33"/>
      <c r="R269" s="33"/>
      <c r="S269" s="33"/>
      <c r="T269" s="33"/>
      <c r="U269" s="58" t="s">
        <v>2</v>
      </c>
      <c r="V269" s="58" t="s">
        <v>2</v>
      </c>
      <c r="W269" s="33"/>
      <c r="X269" s="31"/>
      <c r="Y269" s="31"/>
      <c r="Z269" s="59"/>
      <c r="AA269" s="59"/>
      <c r="AB269" s="33"/>
      <c r="AC269" s="58" t="s">
        <v>2</v>
      </c>
      <c r="AD269" s="58" t="s">
        <v>2</v>
      </c>
      <c r="AE269" s="33"/>
      <c r="AF269" s="33"/>
      <c r="AH269" s="16">
        <f t="shared" ref="AH269:AH287" si="34">1*COUNTIF(A269:AF269,"+")</f>
        <v>0</v>
      </c>
      <c r="AI269" s="16">
        <f t="shared" ref="AI269:AI287" si="35">1*COUNTIF(B269:AF269,"szf")</f>
        <v>0</v>
      </c>
    </row>
    <row r="270" spans="1:35" ht="20.100000000000001" customHeight="1">
      <c r="A270" s="18" t="str">
        <f>ÖSSZES!$A$5</f>
        <v>Mizsák Péter</v>
      </c>
      <c r="B270" s="31"/>
      <c r="C270" s="33"/>
      <c r="D270" s="33"/>
      <c r="E270" s="58" t="s">
        <v>2</v>
      </c>
      <c r="F270" s="58" t="s">
        <v>2</v>
      </c>
      <c r="G270" s="33"/>
      <c r="H270" s="33"/>
      <c r="I270" s="33"/>
      <c r="J270" s="33"/>
      <c r="K270" s="33"/>
      <c r="L270" s="33"/>
      <c r="M270" s="58" t="s">
        <v>2</v>
      </c>
      <c r="N270" s="58" t="s">
        <v>2</v>
      </c>
      <c r="O270" s="33"/>
      <c r="P270" s="33"/>
      <c r="Q270" s="33"/>
      <c r="R270" s="33"/>
      <c r="S270" s="33"/>
      <c r="T270" s="33"/>
      <c r="U270" s="58" t="s">
        <v>2</v>
      </c>
      <c r="V270" s="58" t="s">
        <v>2</v>
      </c>
      <c r="W270" s="33"/>
      <c r="X270" s="31"/>
      <c r="Y270" s="31"/>
      <c r="Z270" s="59"/>
      <c r="AA270" s="59"/>
      <c r="AB270" s="33"/>
      <c r="AC270" s="58" t="s">
        <v>2</v>
      </c>
      <c r="AD270" s="58" t="s">
        <v>2</v>
      </c>
      <c r="AE270" s="33"/>
      <c r="AF270" s="33"/>
      <c r="AH270" s="16">
        <f t="shared" si="34"/>
        <v>0</v>
      </c>
      <c r="AI270" s="16">
        <f t="shared" si="35"/>
        <v>0</v>
      </c>
    </row>
    <row r="271" spans="1:35" ht="20.100000000000001" customHeight="1">
      <c r="A271" s="18" t="str">
        <f>ÖSSZES!$A$6</f>
        <v>Füredi Antal</v>
      </c>
      <c r="B271" s="31"/>
      <c r="C271" s="33"/>
      <c r="D271" s="33"/>
      <c r="E271" s="58" t="s">
        <v>2</v>
      </c>
      <c r="F271" s="58" t="s">
        <v>2</v>
      </c>
      <c r="G271" s="33"/>
      <c r="H271" s="33"/>
      <c r="I271" s="33"/>
      <c r="J271" s="33"/>
      <c r="K271" s="33"/>
      <c r="L271" s="33"/>
      <c r="M271" s="58" t="s">
        <v>2</v>
      </c>
      <c r="N271" s="58" t="s">
        <v>2</v>
      </c>
      <c r="O271" s="33"/>
      <c r="P271" s="33"/>
      <c r="Q271" s="33"/>
      <c r="R271" s="33"/>
      <c r="S271" s="33"/>
      <c r="T271" s="33"/>
      <c r="U271" s="58" t="s">
        <v>2</v>
      </c>
      <c r="V271" s="58" t="s">
        <v>2</v>
      </c>
      <c r="W271" s="33"/>
      <c r="X271" s="31"/>
      <c r="Y271" s="31"/>
      <c r="Z271" s="59"/>
      <c r="AA271" s="59"/>
      <c r="AB271" s="33"/>
      <c r="AC271" s="58" t="s">
        <v>2</v>
      </c>
      <c r="AD271" s="58" t="s">
        <v>2</v>
      </c>
      <c r="AE271" s="33"/>
      <c r="AF271" s="33"/>
      <c r="AH271" s="16">
        <f t="shared" si="34"/>
        <v>0</v>
      </c>
      <c r="AI271" s="16">
        <f t="shared" si="35"/>
        <v>0</v>
      </c>
    </row>
    <row r="272" spans="1:35" ht="20.100000000000001" customHeight="1">
      <c r="A272" s="18" t="str">
        <f>ÖSSZES!$A$7</f>
        <v>Iványi István</v>
      </c>
      <c r="B272" s="31"/>
      <c r="C272" s="33"/>
      <c r="D272" s="33"/>
      <c r="E272" s="58" t="s">
        <v>2</v>
      </c>
      <c r="F272" s="58" t="s">
        <v>2</v>
      </c>
      <c r="G272" s="33"/>
      <c r="H272" s="33"/>
      <c r="I272" s="33"/>
      <c r="J272" s="33"/>
      <c r="K272" s="33"/>
      <c r="L272" s="33"/>
      <c r="M272" s="58" t="s">
        <v>2</v>
      </c>
      <c r="N272" s="58" t="s">
        <v>2</v>
      </c>
      <c r="O272" s="33"/>
      <c r="P272" s="33"/>
      <c r="Q272" s="33"/>
      <c r="R272" s="33"/>
      <c r="S272" s="33"/>
      <c r="T272" s="33"/>
      <c r="U272" s="58" t="s">
        <v>2</v>
      </c>
      <c r="V272" s="58" t="s">
        <v>2</v>
      </c>
      <c r="W272" s="33"/>
      <c r="X272" s="31"/>
      <c r="Y272" s="31"/>
      <c r="Z272" s="59"/>
      <c r="AA272" s="59"/>
      <c r="AB272" s="33"/>
      <c r="AC272" s="58" t="s">
        <v>2</v>
      </c>
      <c r="AD272" s="58" t="s">
        <v>2</v>
      </c>
      <c r="AE272" s="33"/>
      <c r="AF272" s="33"/>
      <c r="AH272" s="16">
        <f t="shared" si="34"/>
        <v>0</v>
      </c>
      <c r="AI272" s="16">
        <f t="shared" si="35"/>
        <v>0</v>
      </c>
    </row>
    <row r="273" spans="1:35" ht="20.100000000000001" customHeight="1">
      <c r="A273" s="18" t="str">
        <f>ÖSSZES!$A$8</f>
        <v>Katonka Tibor</v>
      </c>
      <c r="B273" s="31"/>
      <c r="C273" s="33"/>
      <c r="D273" s="33"/>
      <c r="E273" s="58" t="s">
        <v>2</v>
      </c>
      <c r="F273" s="58" t="s">
        <v>2</v>
      </c>
      <c r="G273" s="33"/>
      <c r="H273" s="33"/>
      <c r="I273" s="33"/>
      <c r="J273" s="33"/>
      <c r="K273" s="33"/>
      <c r="L273" s="33"/>
      <c r="M273" s="58" t="s">
        <v>2</v>
      </c>
      <c r="N273" s="58" t="s">
        <v>2</v>
      </c>
      <c r="O273" s="33"/>
      <c r="P273" s="33"/>
      <c r="Q273" s="33"/>
      <c r="R273" s="33"/>
      <c r="S273" s="33"/>
      <c r="T273" s="33"/>
      <c r="U273" s="58" t="s">
        <v>2</v>
      </c>
      <c r="V273" s="58" t="s">
        <v>2</v>
      </c>
      <c r="W273" s="33"/>
      <c r="X273" s="31"/>
      <c r="Y273" s="31"/>
      <c r="Z273" s="59"/>
      <c r="AA273" s="59"/>
      <c r="AB273" s="33"/>
      <c r="AC273" s="58" t="s">
        <v>2</v>
      </c>
      <c r="AD273" s="58" t="s">
        <v>2</v>
      </c>
      <c r="AE273" s="33"/>
      <c r="AF273" s="33"/>
      <c r="AH273" s="16">
        <f t="shared" si="34"/>
        <v>0</v>
      </c>
      <c r="AI273" s="16">
        <f t="shared" si="35"/>
        <v>0</v>
      </c>
    </row>
    <row r="274" spans="1:35" ht="20.100000000000001" hidden="1" customHeight="1">
      <c r="A274" s="18" t="str">
        <f>ÖSSZES!$A$9</f>
        <v>Kiss János Tamás</v>
      </c>
      <c r="B274" s="31"/>
      <c r="C274" s="33"/>
      <c r="D274" s="33"/>
      <c r="E274" s="58" t="s">
        <v>2</v>
      </c>
      <c r="F274" s="58" t="s">
        <v>2</v>
      </c>
      <c r="G274" s="33"/>
      <c r="H274" s="33"/>
      <c r="I274" s="33"/>
      <c r="J274" s="33"/>
      <c r="K274" s="33"/>
      <c r="L274" s="33"/>
      <c r="M274" s="58" t="s">
        <v>2</v>
      </c>
      <c r="N274" s="58" t="s">
        <v>2</v>
      </c>
      <c r="O274" s="33"/>
      <c r="P274" s="33"/>
      <c r="Q274" s="33"/>
      <c r="R274" s="33"/>
      <c r="S274" s="33"/>
      <c r="T274" s="33"/>
      <c r="U274" s="58" t="s">
        <v>2</v>
      </c>
      <c r="V274" s="58" t="s">
        <v>2</v>
      </c>
      <c r="W274" s="33"/>
      <c r="X274" s="31"/>
      <c r="Y274" s="31"/>
      <c r="Z274" s="59"/>
      <c r="AA274" s="59"/>
      <c r="AB274" s="33"/>
      <c r="AC274" s="58" t="s">
        <v>2</v>
      </c>
      <c r="AD274" s="58" t="s">
        <v>2</v>
      </c>
      <c r="AE274" s="33"/>
      <c r="AF274" s="33"/>
      <c r="AH274" s="16">
        <f t="shared" si="34"/>
        <v>0</v>
      </c>
      <c r="AI274" s="16">
        <f t="shared" si="35"/>
        <v>0</v>
      </c>
    </row>
    <row r="275" spans="1:35" ht="20.100000000000001" customHeight="1">
      <c r="A275" s="18" t="str">
        <f>ÖSSZES!$A$10</f>
        <v>Vatamány Gergő</v>
      </c>
      <c r="B275" s="31"/>
      <c r="C275" s="33"/>
      <c r="D275" s="33"/>
      <c r="E275" s="58" t="s">
        <v>2</v>
      </c>
      <c r="F275" s="58" t="s">
        <v>2</v>
      </c>
      <c r="G275" s="33"/>
      <c r="H275" s="33"/>
      <c r="I275" s="33"/>
      <c r="J275" s="33"/>
      <c r="K275" s="33"/>
      <c r="L275" s="33"/>
      <c r="M275" s="58" t="s">
        <v>2</v>
      </c>
      <c r="N275" s="58" t="s">
        <v>2</v>
      </c>
      <c r="O275" s="33"/>
      <c r="P275" s="33"/>
      <c r="Q275" s="33"/>
      <c r="R275" s="33"/>
      <c r="S275" s="33"/>
      <c r="T275" s="33"/>
      <c r="U275" s="58" t="s">
        <v>2</v>
      </c>
      <c r="V275" s="58" t="s">
        <v>2</v>
      </c>
      <c r="W275" s="33"/>
      <c r="X275" s="31"/>
      <c r="Y275" s="31"/>
      <c r="Z275" s="59"/>
      <c r="AA275" s="59"/>
      <c r="AB275" s="33"/>
      <c r="AC275" s="58" t="s">
        <v>2</v>
      </c>
      <c r="AD275" s="58" t="s">
        <v>2</v>
      </c>
      <c r="AE275" s="33"/>
      <c r="AF275" s="33"/>
      <c r="AH275" s="16">
        <f t="shared" si="34"/>
        <v>0</v>
      </c>
      <c r="AI275" s="16">
        <f t="shared" si="35"/>
        <v>0</v>
      </c>
    </row>
    <row r="276" spans="1:35" ht="20.100000000000001" hidden="1" customHeight="1">
      <c r="A276" s="18" t="str">
        <f>ÖSSZES!$A$11</f>
        <v>Név9</v>
      </c>
      <c r="B276" s="31"/>
      <c r="C276" s="33"/>
      <c r="D276" s="33"/>
      <c r="E276" s="58" t="s">
        <v>2</v>
      </c>
      <c r="F276" s="58" t="s">
        <v>2</v>
      </c>
      <c r="G276" s="33"/>
      <c r="H276" s="33"/>
      <c r="I276" s="33"/>
      <c r="J276" s="33"/>
      <c r="K276" s="33"/>
      <c r="L276" s="33"/>
      <c r="M276" s="58" t="s">
        <v>2</v>
      </c>
      <c r="N276" s="58" t="s">
        <v>2</v>
      </c>
      <c r="O276" s="33"/>
      <c r="P276" s="33"/>
      <c r="Q276" s="33"/>
      <c r="R276" s="33"/>
      <c r="S276" s="33"/>
      <c r="T276" s="33"/>
      <c r="U276" s="58" t="s">
        <v>2</v>
      </c>
      <c r="V276" s="58" t="s">
        <v>2</v>
      </c>
      <c r="W276" s="33"/>
      <c r="X276" s="31"/>
      <c r="Y276" s="31"/>
      <c r="Z276" s="59"/>
      <c r="AA276" s="59"/>
      <c r="AB276" s="33"/>
      <c r="AC276" s="58" t="s">
        <v>2</v>
      </c>
      <c r="AD276" s="58" t="s">
        <v>2</v>
      </c>
      <c r="AE276" s="33"/>
      <c r="AF276" s="33"/>
      <c r="AH276" s="16">
        <f t="shared" si="34"/>
        <v>0</v>
      </c>
      <c r="AI276" s="16">
        <f t="shared" si="35"/>
        <v>0</v>
      </c>
    </row>
    <row r="277" spans="1:35" ht="20.100000000000001" hidden="1" customHeight="1">
      <c r="A277" s="18" t="str">
        <f>ÖSSZES!$A$12</f>
        <v>Név10</v>
      </c>
      <c r="B277" s="31"/>
      <c r="C277" s="33"/>
      <c r="D277" s="33"/>
      <c r="E277" s="58" t="s">
        <v>2</v>
      </c>
      <c r="F277" s="58" t="s">
        <v>2</v>
      </c>
      <c r="G277" s="33"/>
      <c r="H277" s="33"/>
      <c r="I277" s="33"/>
      <c r="J277" s="33"/>
      <c r="K277" s="33"/>
      <c r="L277" s="33"/>
      <c r="M277" s="58" t="s">
        <v>2</v>
      </c>
      <c r="N277" s="58" t="s">
        <v>2</v>
      </c>
      <c r="O277" s="33"/>
      <c r="P277" s="33"/>
      <c r="Q277" s="33"/>
      <c r="R277" s="33"/>
      <c r="S277" s="33"/>
      <c r="T277" s="33"/>
      <c r="U277" s="58" t="s">
        <v>2</v>
      </c>
      <c r="V277" s="58" t="s">
        <v>2</v>
      </c>
      <c r="W277" s="33"/>
      <c r="X277" s="31"/>
      <c r="Y277" s="31"/>
      <c r="Z277" s="59"/>
      <c r="AA277" s="59"/>
      <c r="AB277" s="33"/>
      <c r="AC277" s="58" t="s">
        <v>2</v>
      </c>
      <c r="AD277" s="58" t="s">
        <v>2</v>
      </c>
      <c r="AE277" s="33"/>
      <c r="AF277" s="33"/>
      <c r="AH277" s="16">
        <f t="shared" si="34"/>
        <v>0</v>
      </c>
      <c r="AI277" s="16">
        <f t="shared" si="35"/>
        <v>0</v>
      </c>
    </row>
    <row r="278" spans="1:35" ht="20.100000000000001" hidden="1" customHeight="1">
      <c r="A278" s="18" t="str">
        <f>ÖSSZES!$A$13</f>
        <v>Név11</v>
      </c>
      <c r="B278" s="31"/>
      <c r="C278" s="33"/>
      <c r="D278" s="33"/>
      <c r="E278" s="58" t="s">
        <v>2</v>
      </c>
      <c r="F278" s="58" t="s">
        <v>2</v>
      </c>
      <c r="G278" s="33"/>
      <c r="H278" s="33"/>
      <c r="I278" s="33"/>
      <c r="J278" s="33"/>
      <c r="K278" s="33"/>
      <c r="L278" s="33"/>
      <c r="M278" s="58" t="s">
        <v>2</v>
      </c>
      <c r="N278" s="58" t="s">
        <v>2</v>
      </c>
      <c r="O278" s="33"/>
      <c r="P278" s="33"/>
      <c r="Q278" s="33"/>
      <c r="R278" s="33"/>
      <c r="S278" s="33"/>
      <c r="T278" s="33"/>
      <c r="U278" s="58" t="s">
        <v>2</v>
      </c>
      <c r="V278" s="58" t="s">
        <v>2</v>
      </c>
      <c r="W278" s="33"/>
      <c r="X278" s="31"/>
      <c r="Y278" s="31"/>
      <c r="Z278" s="59"/>
      <c r="AA278" s="59"/>
      <c r="AB278" s="33"/>
      <c r="AC278" s="58" t="s">
        <v>2</v>
      </c>
      <c r="AD278" s="58" t="s">
        <v>2</v>
      </c>
      <c r="AE278" s="33"/>
      <c r="AF278" s="33"/>
      <c r="AH278" s="16">
        <f t="shared" si="34"/>
        <v>0</v>
      </c>
      <c r="AI278" s="16">
        <f t="shared" si="35"/>
        <v>0</v>
      </c>
    </row>
    <row r="279" spans="1:35" ht="20.100000000000001" hidden="1" customHeight="1">
      <c r="A279" s="18" t="str">
        <f>ÖSSZES!$A$14</f>
        <v>Név12</v>
      </c>
      <c r="B279" s="31"/>
      <c r="C279" s="33"/>
      <c r="D279" s="33"/>
      <c r="E279" s="58" t="s">
        <v>2</v>
      </c>
      <c r="F279" s="58" t="s">
        <v>2</v>
      </c>
      <c r="G279" s="33"/>
      <c r="H279" s="33"/>
      <c r="I279" s="33"/>
      <c r="J279" s="33"/>
      <c r="K279" s="33"/>
      <c r="L279" s="33"/>
      <c r="M279" s="58" t="s">
        <v>2</v>
      </c>
      <c r="N279" s="58" t="s">
        <v>2</v>
      </c>
      <c r="O279" s="33"/>
      <c r="P279" s="33"/>
      <c r="Q279" s="33"/>
      <c r="R279" s="33"/>
      <c r="S279" s="33"/>
      <c r="T279" s="33"/>
      <c r="U279" s="58" t="s">
        <v>2</v>
      </c>
      <c r="V279" s="58" t="s">
        <v>2</v>
      </c>
      <c r="W279" s="33"/>
      <c r="X279" s="31"/>
      <c r="Y279" s="31"/>
      <c r="Z279" s="59"/>
      <c r="AA279" s="59"/>
      <c r="AB279" s="33"/>
      <c r="AC279" s="58" t="s">
        <v>2</v>
      </c>
      <c r="AD279" s="58" t="s">
        <v>2</v>
      </c>
      <c r="AE279" s="33"/>
      <c r="AF279" s="33"/>
      <c r="AH279" s="16">
        <f t="shared" si="34"/>
        <v>0</v>
      </c>
      <c r="AI279" s="16">
        <f t="shared" si="35"/>
        <v>0</v>
      </c>
    </row>
    <row r="280" spans="1:35" ht="20.100000000000001" hidden="1" customHeight="1">
      <c r="A280" s="18" t="str">
        <f>ÖSSZES!$A$15</f>
        <v>Név13</v>
      </c>
      <c r="B280" s="31"/>
      <c r="C280" s="33"/>
      <c r="D280" s="33"/>
      <c r="E280" s="58" t="s">
        <v>2</v>
      </c>
      <c r="F280" s="58" t="s">
        <v>2</v>
      </c>
      <c r="G280" s="33"/>
      <c r="H280" s="33"/>
      <c r="I280" s="33"/>
      <c r="J280" s="33"/>
      <c r="K280" s="33"/>
      <c r="L280" s="33"/>
      <c r="M280" s="58" t="s">
        <v>2</v>
      </c>
      <c r="N280" s="58" t="s">
        <v>2</v>
      </c>
      <c r="O280" s="33"/>
      <c r="P280" s="33"/>
      <c r="Q280" s="33"/>
      <c r="R280" s="33"/>
      <c r="S280" s="33"/>
      <c r="T280" s="33"/>
      <c r="U280" s="58" t="s">
        <v>2</v>
      </c>
      <c r="V280" s="58" t="s">
        <v>2</v>
      </c>
      <c r="W280" s="33"/>
      <c r="X280" s="31"/>
      <c r="Y280" s="31"/>
      <c r="Z280" s="59"/>
      <c r="AA280" s="59"/>
      <c r="AB280" s="33"/>
      <c r="AC280" s="58" t="s">
        <v>2</v>
      </c>
      <c r="AD280" s="58" t="s">
        <v>2</v>
      </c>
      <c r="AE280" s="33"/>
      <c r="AF280" s="33"/>
      <c r="AH280" s="16">
        <f t="shared" si="34"/>
        <v>0</v>
      </c>
      <c r="AI280" s="16">
        <f t="shared" si="35"/>
        <v>0</v>
      </c>
    </row>
    <row r="281" spans="1:35" ht="20.100000000000001" hidden="1" customHeight="1">
      <c r="A281" s="18" t="str">
        <f>ÖSSZES!$A$16</f>
        <v>Név14</v>
      </c>
      <c r="B281" s="31"/>
      <c r="C281" s="33"/>
      <c r="D281" s="33"/>
      <c r="E281" s="58" t="s">
        <v>2</v>
      </c>
      <c r="F281" s="58" t="s">
        <v>2</v>
      </c>
      <c r="G281" s="33"/>
      <c r="H281" s="33"/>
      <c r="I281" s="33"/>
      <c r="J281" s="33"/>
      <c r="K281" s="33"/>
      <c r="L281" s="33"/>
      <c r="M281" s="58" t="s">
        <v>2</v>
      </c>
      <c r="N281" s="58" t="s">
        <v>2</v>
      </c>
      <c r="O281" s="33"/>
      <c r="P281" s="33"/>
      <c r="Q281" s="33"/>
      <c r="R281" s="33"/>
      <c r="S281" s="33"/>
      <c r="T281" s="33"/>
      <c r="U281" s="58" t="s">
        <v>2</v>
      </c>
      <c r="V281" s="58" t="s">
        <v>2</v>
      </c>
      <c r="W281" s="33"/>
      <c r="X281" s="31"/>
      <c r="Y281" s="31"/>
      <c r="Z281" s="59"/>
      <c r="AA281" s="59"/>
      <c r="AB281" s="33"/>
      <c r="AC281" s="58" t="s">
        <v>2</v>
      </c>
      <c r="AD281" s="58" t="s">
        <v>2</v>
      </c>
      <c r="AE281" s="33"/>
      <c r="AF281" s="33"/>
      <c r="AH281" s="16">
        <f t="shared" si="34"/>
        <v>0</v>
      </c>
      <c r="AI281" s="16">
        <f t="shared" si="35"/>
        <v>0</v>
      </c>
    </row>
    <row r="282" spans="1:35" ht="20.100000000000001" hidden="1" customHeight="1">
      <c r="A282" s="18" t="str">
        <f>ÖSSZES!$A$17</f>
        <v>Név15</v>
      </c>
      <c r="B282" s="31"/>
      <c r="C282" s="33"/>
      <c r="D282" s="33"/>
      <c r="E282" s="58" t="s">
        <v>2</v>
      </c>
      <c r="F282" s="58" t="s">
        <v>2</v>
      </c>
      <c r="G282" s="33"/>
      <c r="H282" s="33"/>
      <c r="I282" s="33"/>
      <c r="J282" s="33"/>
      <c r="K282" s="33"/>
      <c r="L282" s="33"/>
      <c r="M282" s="58" t="s">
        <v>2</v>
      </c>
      <c r="N282" s="58" t="s">
        <v>2</v>
      </c>
      <c r="O282" s="33"/>
      <c r="P282" s="33"/>
      <c r="Q282" s="33"/>
      <c r="R282" s="33"/>
      <c r="S282" s="33"/>
      <c r="T282" s="33"/>
      <c r="U282" s="58" t="s">
        <v>2</v>
      </c>
      <c r="V282" s="58" t="s">
        <v>2</v>
      </c>
      <c r="W282" s="33"/>
      <c r="X282" s="31"/>
      <c r="Y282" s="31"/>
      <c r="Z282" s="59"/>
      <c r="AA282" s="59"/>
      <c r="AB282" s="33"/>
      <c r="AC282" s="58" t="s">
        <v>2</v>
      </c>
      <c r="AD282" s="58" t="s">
        <v>2</v>
      </c>
      <c r="AE282" s="33"/>
      <c r="AF282" s="33"/>
      <c r="AH282" s="16">
        <f t="shared" si="34"/>
        <v>0</v>
      </c>
      <c r="AI282" s="16">
        <f t="shared" si="35"/>
        <v>0</v>
      </c>
    </row>
    <row r="283" spans="1:35" ht="20.100000000000001" hidden="1" customHeight="1">
      <c r="A283" s="18" t="str">
        <f>ÖSSZES!$A$18</f>
        <v>Név16</v>
      </c>
      <c r="B283" s="31"/>
      <c r="C283" s="33"/>
      <c r="D283" s="33"/>
      <c r="E283" s="58" t="s">
        <v>2</v>
      </c>
      <c r="F283" s="58" t="s">
        <v>2</v>
      </c>
      <c r="G283" s="33"/>
      <c r="H283" s="33"/>
      <c r="I283" s="33"/>
      <c r="J283" s="33"/>
      <c r="K283" s="33"/>
      <c r="L283" s="33"/>
      <c r="M283" s="58" t="s">
        <v>2</v>
      </c>
      <c r="N283" s="58" t="s">
        <v>2</v>
      </c>
      <c r="O283" s="33"/>
      <c r="P283" s="33"/>
      <c r="Q283" s="33"/>
      <c r="R283" s="33"/>
      <c r="S283" s="33"/>
      <c r="T283" s="33"/>
      <c r="U283" s="58" t="s">
        <v>2</v>
      </c>
      <c r="V283" s="58" t="s">
        <v>2</v>
      </c>
      <c r="W283" s="33"/>
      <c r="X283" s="31"/>
      <c r="Y283" s="31"/>
      <c r="Z283" s="59"/>
      <c r="AA283" s="59"/>
      <c r="AB283" s="33"/>
      <c r="AC283" s="58" t="s">
        <v>2</v>
      </c>
      <c r="AD283" s="58" t="s">
        <v>2</v>
      </c>
      <c r="AE283" s="33"/>
      <c r="AF283" s="33"/>
      <c r="AH283" s="16">
        <f t="shared" si="34"/>
        <v>0</v>
      </c>
      <c r="AI283" s="16">
        <f t="shared" si="35"/>
        <v>0</v>
      </c>
    </row>
    <row r="284" spans="1:35" ht="20.100000000000001" hidden="1" customHeight="1">
      <c r="A284" s="18" t="str">
        <f>ÖSSZES!$A$19</f>
        <v>Név17</v>
      </c>
      <c r="B284" s="31"/>
      <c r="C284" s="33"/>
      <c r="D284" s="33"/>
      <c r="E284" s="58" t="s">
        <v>2</v>
      </c>
      <c r="F284" s="58" t="s">
        <v>2</v>
      </c>
      <c r="G284" s="33"/>
      <c r="H284" s="33"/>
      <c r="I284" s="33"/>
      <c r="J284" s="33"/>
      <c r="K284" s="33"/>
      <c r="L284" s="33"/>
      <c r="M284" s="58" t="s">
        <v>2</v>
      </c>
      <c r="N284" s="58" t="s">
        <v>2</v>
      </c>
      <c r="O284" s="33"/>
      <c r="P284" s="33"/>
      <c r="Q284" s="33"/>
      <c r="R284" s="33"/>
      <c r="S284" s="33"/>
      <c r="T284" s="33"/>
      <c r="U284" s="58" t="s">
        <v>2</v>
      </c>
      <c r="V284" s="58" t="s">
        <v>2</v>
      </c>
      <c r="W284" s="33"/>
      <c r="X284" s="31"/>
      <c r="Y284" s="31"/>
      <c r="Z284" s="59"/>
      <c r="AA284" s="59"/>
      <c r="AB284" s="33"/>
      <c r="AC284" s="58" t="s">
        <v>2</v>
      </c>
      <c r="AD284" s="58" t="s">
        <v>2</v>
      </c>
      <c r="AE284" s="33"/>
      <c r="AF284" s="33"/>
      <c r="AH284" s="16">
        <f t="shared" si="34"/>
        <v>0</v>
      </c>
      <c r="AI284" s="16">
        <f t="shared" si="35"/>
        <v>0</v>
      </c>
    </row>
    <row r="285" spans="1:35" ht="20.100000000000001" hidden="1" customHeight="1">
      <c r="A285" s="18" t="str">
        <f>ÖSSZES!$A$20</f>
        <v>Név18</v>
      </c>
      <c r="B285" s="31"/>
      <c r="C285" s="33"/>
      <c r="D285" s="33"/>
      <c r="E285" s="58" t="s">
        <v>2</v>
      </c>
      <c r="F285" s="58" t="s">
        <v>2</v>
      </c>
      <c r="G285" s="33"/>
      <c r="H285" s="33"/>
      <c r="I285" s="33"/>
      <c r="J285" s="33"/>
      <c r="K285" s="33"/>
      <c r="L285" s="33"/>
      <c r="M285" s="58" t="s">
        <v>2</v>
      </c>
      <c r="N285" s="58" t="s">
        <v>2</v>
      </c>
      <c r="O285" s="33"/>
      <c r="P285" s="33"/>
      <c r="Q285" s="33"/>
      <c r="R285" s="33"/>
      <c r="S285" s="33"/>
      <c r="T285" s="33"/>
      <c r="U285" s="58" t="s">
        <v>2</v>
      </c>
      <c r="V285" s="58" t="s">
        <v>2</v>
      </c>
      <c r="W285" s="33"/>
      <c r="X285" s="31"/>
      <c r="Y285" s="31"/>
      <c r="Z285" s="59"/>
      <c r="AA285" s="59"/>
      <c r="AB285" s="33"/>
      <c r="AC285" s="58" t="s">
        <v>2</v>
      </c>
      <c r="AD285" s="58" t="s">
        <v>2</v>
      </c>
      <c r="AE285" s="33"/>
      <c r="AF285" s="33"/>
      <c r="AH285" s="16">
        <f t="shared" si="34"/>
        <v>0</v>
      </c>
      <c r="AI285" s="16">
        <f t="shared" si="35"/>
        <v>0</v>
      </c>
    </row>
    <row r="286" spans="1:35" ht="20.100000000000001" hidden="1" customHeight="1">
      <c r="A286" s="18" t="str">
        <f>ÖSSZES!$A$21</f>
        <v>Név19</v>
      </c>
      <c r="B286" s="31"/>
      <c r="C286" s="33"/>
      <c r="D286" s="33"/>
      <c r="E286" s="58" t="s">
        <v>2</v>
      </c>
      <c r="F286" s="58" t="s">
        <v>2</v>
      </c>
      <c r="G286" s="33"/>
      <c r="H286" s="33"/>
      <c r="I286" s="33"/>
      <c r="J286" s="33"/>
      <c r="K286" s="33"/>
      <c r="L286" s="33"/>
      <c r="M286" s="58" t="s">
        <v>2</v>
      </c>
      <c r="N286" s="58" t="s">
        <v>2</v>
      </c>
      <c r="O286" s="33"/>
      <c r="P286" s="33"/>
      <c r="Q286" s="33"/>
      <c r="R286" s="33"/>
      <c r="S286" s="33"/>
      <c r="T286" s="33"/>
      <c r="U286" s="58" t="s">
        <v>2</v>
      </c>
      <c r="V286" s="58" t="s">
        <v>2</v>
      </c>
      <c r="W286" s="33"/>
      <c r="X286" s="31"/>
      <c r="Y286" s="31"/>
      <c r="Z286" s="59"/>
      <c r="AA286" s="59"/>
      <c r="AB286" s="33"/>
      <c r="AC286" s="58" t="s">
        <v>2</v>
      </c>
      <c r="AD286" s="58" t="s">
        <v>2</v>
      </c>
      <c r="AE286" s="33"/>
      <c r="AF286" s="33"/>
      <c r="AH286" s="16">
        <f t="shared" si="34"/>
        <v>0</v>
      </c>
      <c r="AI286" s="16">
        <f t="shared" si="35"/>
        <v>0</v>
      </c>
    </row>
    <row r="287" spans="1:35" ht="20.100000000000001" hidden="1" customHeight="1">
      <c r="A287" s="18" t="str">
        <f>ÖSSZES!$A$17</f>
        <v>Név15</v>
      </c>
      <c r="B287" s="31"/>
      <c r="C287" s="33"/>
      <c r="D287" s="33"/>
      <c r="E287" s="58" t="s">
        <v>2</v>
      </c>
      <c r="F287" s="58" t="s">
        <v>2</v>
      </c>
      <c r="G287" s="33"/>
      <c r="H287" s="33"/>
      <c r="I287" s="33"/>
      <c r="J287" s="33"/>
      <c r="K287" s="33"/>
      <c r="L287" s="33"/>
      <c r="M287" s="58" t="s">
        <v>2</v>
      </c>
      <c r="N287" s="58" t="s">
        <v>2</v>
      </c>
      <c r="O287" s="33"/>
      <c r="P287" s="33"/>
      <c r="Q287" s="33"/>
      <c r="R287" s="33"/>
      <c r="S287" s="33"/>
      <c r="T287" s="33"/>
      <c r="U287" s="58" t="s">
        <v>2</v>
      </c>
      <c r="V287" s="58" t="s">
        <v>2</v>
      </c>
      <c r="W287" s="33"/>
      <c r="X287" s="31"/>
      <c r="Y287" s="31"/>
      <c r="Z287" s="59"/>
      <c r="AA287" s="59"/>
      <c r="AB287" s="33"/>
      <c r="AC287" s="58" t="s">
        <v>2</v>
      </c>
      <c r="AD287" s="58" t="s">
        <v>2</v>
      </c>
      <c r="AE287" s="33"/>
      <c r="AF287" s="33"/>
      <c r="AH287" s="16">
        <f t="shared" si="34"/>
        <v>0</v>
      </c>
      <c r="AI287" s="16">
        <f t="shared" si="35"/>
        <v>0</v>
      </c>
    </row>
  </sheetData>
  <sheetProtection password="DD6F" sheet="1" objects="1" scenarios="1"/>
  <mergeCells count="36">
    <mergeCell ref="A265:A267"/>
    <mergeCell ref="A1:A3"/>
    <mergeCell ref="A25:A27"/>
    <mergeCell ref="A49:A51"/>
    <mergeCell ref="A73:A75"/>
    <mergeCell ref="A97:A99"/>
    <mergeCell ref="A121:A123"/>
    <mergeCell ref="A145:A147"/>
    <mergeCell ref="A169:A171"/>
    <mergeCell ref="A193:A195"/>
    <mergeCell ref="A217:A219"/>
    <mergeCell ref="A241:A243"/>
    <mergeCell ref="AH1:AH3"/>
    <mergeCell ref="AI1:AI3"/>
    <mergeCell ref="AH25:AH27"/>
    <mergeCell ref="AI25:AI27"/>
    <mergeCell ref="AH49:AH51"/>
    <mergeCell ref="AI49:AI51"/>
    <mergeCell ref="AH73:AH75"/>
    <mergeCell ref="AI73:AI75"/>
    <mergeCell ref="AH97:AH99"/>
    <mergeCell ref="AI97:AI99"/>
    <mergeCell ref="AH121:AH123"/>
    <mergeCell ref="AI121:AI123"/>
    <mergeCell ref="AH145:AH147"/>
    <mergeCell ref="AI145:AI147"/>
    <mergeCell ref="AH169:AH171"/>
    <mergeCell ref="AI169:AI171"/>
    <mergeCell ref="AH193:AH195"/>
    <mergeCell ref="AI193:AI195"/>
    <mergeCell ref="AH217:AH219"/>
    <mergeCell ref="AI217:AI219"/>
    <mergeCell ref="AH241:AH243"/>
    <mergeCell ref="AI241:AI243"/>
    <mergeCell ref="AH265:AH267"/>
    <mergeCell ref="AI265:AI267"/>
  </mergeCells>
  <phoneticPr fontId="0" type="noConversion"/>
  <conditionalFormatting sqref="C4">
    <cfRule type="cellIs" dxfId="2155" priority="96" operator="equal">
      <formula>"+"</formula>
    </cfRule>
    <cfRule type="cellIs" dxfId="2154" priority="97" operator="equal">
      <formula>"szf"</formula>
    </cfRule>
  </conditionalFormatting>
  <conditionalFormatting sqref="D4">
    <cfRule type="cellIs" dxfId="2153" priority="95" operator="equal">
      <formula>"szf"</formula>
    </cfRule>
  </conditionalFormatting>
  <conditionalFormatting sqref="F4">
    <cfRule type="cellIs" dxfId="2152" priority="94" operator="equal">
      <formula>"+"</formula>
    </cfRule>
  </conditionalFormatting>
  <conditionalFormatting sqref="E4">
    <cfRule type="cellIs" dxfId="2151" priority="93" operator="equal">
      <formula>"szf"</formula>
    </cfRule>
  </conditionalFormatting>
  <conditionalFormatting sqref="A1:XFD1048576">
    <cfRule type="cellIs" dxfId="2150" priority="91" operator="equal">
      <formula>"+"</formula>
    </cfRule>
    <cfRule type="cellIs" dxfId="2149" priority="92" operator="equal">
      <formula>"szf"</formula>
    </cfRule>
  </conditionalFormatting>
  <conditionalFormatting sqref="L4">
    <cfRule type="cellIs" dxfId="2148" priority="90" operator="equal">
      <formula>"szf"</formula>
    </cfRule>
  </conditionalFormatting>
  <conditionalFormatting sqref="M4">
    <cfRule type="cellIs" dxfId="2147" priority="89" operator="equal">
      <formula>"szf"</formula>
    </cfRule>
  </conditionalFormatting>
  <conditionalFormatting sqref="T4">
    <cfRule type="cellIs" dxfId="2146" priority="88" operator="equal">
      <formula>"szf"</formula>
    </cfRule>
  </conditionalFormatting>
  <conditionalFormatting sqref="U4">
    <cfRule type="cellIs" dxfId="2145" priority="87" operator="equal">
      <formula>"szf"</formula>
    </cfRule>
  </conditionalFormatting>
  <conditionalFormatting sqref="AB4">
    <cfRule type="cellIs" dxfId="2144" priority="86" operator="equal">
      <formula>"szf"</formula>
    </cfRule>
  </conditionalFormatting>
  <conditionalFormatting sqref="AC4">
    <cfRule type="cellIs" dxfId="2143" priority="85" operator="equal">
      <formula>"szf"</formula>
    </cfRule>
  </conditionalFormatting>
  <conditionalFormatting sqref="E28">
    <cfRule type="cellIs" dxfId="2142" priority="84" operator="equal">
      <formula>"szf"</formula>
    </cfRule>
  </conditionalFormatting>
  <conditionalFormatting sqref="F28">
    <cfRule type="cellIs" dxfId="2141" priority="83" operator="equal">
      <formula>"szf"</formula>
    </cfRule>
  </conditionalFormatting>
  <conditionalFormatting sqref="M28">
    <cfRule type="cellIs" dxfId="2140" priority="82" operator="equal">
      <formula>"szf"</formula>
    </cfRule>
  </conditionalFormatting>
  <conditionalFormatting sqref="N28">
    <cfRule type="cellIs" dxfId="2139" priority="81" operator="equal">
      <formula>"szf"</formula>
    </cfRule>
  </conditionalFormatting>
  <conditionalFormatting sqref="U28">
    <cfRule type="cellIs" dxfId="2138" priority="80" operator="equal">
      <formula>"szf"</formula>
    </cfRule>
  </conditionalFormatting>
  <conditionalFormatting sqref="V28">
    <cfRule type="cellIs" dxfId="2137" priority="79" operator="equal">
      <formula>"szf"</formula>
    </cfRule>
  </conditionalFormatting>
  <conditionalFormatting sqref="AC28:AD28">
    <cfRule type="cellIs" dxfId="2136" priority="78" operator="equal">
      <formula>"szf"</formula>
    </cfRule>
  </conditionalFormatting>
  <conditionalFormatting sqref="H52">
    <cfRule type="cellIs" dxfId="2135" priority="77" operator="equal">
      <formula>"szf"</formula>
    </cfRule>
  </conditionalFormatting>
  <conditionalFormatting sqref="I52">
    <cfRule type="cellIs" dxfId="2134" priority="76" operator="equal">
      <formula>"szf"</formula>
    </cfRule>
  </conditionalFormatting>
  <conditionalFormatting sqref="P52">
    <cfRule type="cellIs" dxfId="2133" priority="75" operator="equal">
      <formula>"szf"</formula>
    </cfRule>
  </conditionalFormatting>
  <conditionalFormatting sqref="Q52">
    <cfRule type="cellIs" dxfId="2132" priority="74" operator="equal">
      <formula>"szf"</formula>
    </cfRule>
  </conditionalFormatting>
  <conditionalFormatting sqref="X52">
    <cfRule type="cellIs" dxfId="2131" priority="73" operator="equal">
      <formula>"szf"</formula>
    </cfRule>
  </conditionalFormatting>
  <conditionalFormatting sqref="Y52">
    <cfRule type="cellIs" dxfId="2130" priority="72" operator="equal">
      <formula>"szf"</formula>
    </cfRule>
  </conditionalFormatting>
  <conditionalFormatting sqref="AF52">
    <cfRule type="cellIs" dxfId="2129" priority="71" operator="equal">
      <formula>"szf"</formula>
    </cfRule>
  </conditionalFormatting>
  <conditionalFormatting sqref="B76">
    <cfRule type="cellIs" dxfId="2128" priority="70" operator="equal">
      <formula>"szf"</formula>
    </cfRule>
  </conditionalFormatting>
  <conditionalFormatting sqref="J76">
    <cfRule type="cellIs" dxfId="2127" priority="69" operator="equal">
      <formula>"szf"</formula>
    </cfRule>
  </conditionalFormatting>
  <conditionalFormatting sqref="I76">
    <cfRule type="cellIs" dxfId="2126" priority="68" operator="equal">
      <formula>"szf"</formula>
    </cfRule>
  </conditionalFormatting>
  <conditionalFormatting sqref="R76">
    <cfRule type="cellIs" dxfId="2125" priority="67" operator="equal">
      <formula>"szf"</formula>
    </cfRule>
  </conditionalFormatting>
  <conditionalFormatting sqref="Q76">
    <cfRule type="cellIs" dxfId="2124" priority="66" operator="equal">
      <formula>"szf"</formula>
    </cfRule>
  </conditionalFormatting>
  <conditionalFormatting sqref="Y76">
    <cfRule type="cellIs" dxfId="2123" priority="65" operator="equal">
      <formula>"szf"</formula>
    </cfRule>
  </conditionalFormatting>
  <conditionalFormatting sqref="Z76">
    <cfRule type="cellIs" dxfId="2122" priority="64" operator="equal">
      <formula>"szf"</formula>
    </cfRule>
  </conditionalFormatting>
  <conditionalFormatting sqref="C100">
    <cfRule type="cellIs" dxfId="2121" priority="63" operator="equal">
      <formula>"szf"</formula>
    </cfRule>
  </conditionalFormatting>
  <conditionalFormatting sqref="D100">
    <cfRule type="cellIs" dxfId="2120" priority="62" operator="equal">
      <formula>"szf"</formula>
    </cfRule>
  </conditionalFormatting>
  <conditionalFormatting sqref="K100">
    <cfRule type="cellIs" dxfId="2119" priority="61" operator="equal">
      <formula>"szf"</formula>
    </cfRule>
  </conditionalFormatting>
  <conditionalFormatting sqref="L100">
    <cfRule type="cellIs" dxfId="2118" priority="60" operator="equal">
      <formula>"szf"</formula>
    </cfRule>
  </conditionalFormatting>
  <conditionalFormatting sqref="S100">
    <cfRule type="cellIs" dxfId="2117" priority="59" operator="equal">
      <formula>"szf"</formula>
    </cfRule>
  </conditionalFormatting>
  <conditionalFormatting sqref="T100">
    <cfRule type="cellIs" dxfId="2116" priority="58" operator="equal">
      <formula>"szf"</formula>
    </cfRule>
  </conditionalFormatting>
  <conditionalFormatting sqref="AA100">
    <cfRule type="cellIs" dxfId="2115" priority="57" operator="equal">
      <formula>"szf"</formula>
    </cfRule>
  </conditionalFormatting>
  <conditionalFormatting sqref="AB100">
    <cfRule type="cellIs" dxfId="2114" priority="56" operator="equal">
      <formula>"szf"</formula>
    </cfRule>
  </conditionalFormatting>
  <conditionalFormatting sqref="D124">
    <cfRule type="cellIs" dxfId="2113" priority="55" operator="equal">
      <formula>"szf"</formula>
    </cfRule>
  </conditionalFormatting>
  <conditionalFormatting sqref="E124">
    <cfRule type="cellIs" dxfId="2112" priority="54" operator="equal">
      <formula>"szf"</formula>
    </cfRule>
  </conditionalFormatting>
  <conditionalFormatting sqref="L124">
    <cfRule type="cellIs" dxfId="2111" priority="53" operator="equal">
      <formula>"szf"</formula>
    </cfRule>
  </conditionalFormatting>
  <conditionalFormatting sqref="M124">
    <cfRule type="cellIs" dxfId="2110" priority="52" operator="equal">
      <formula>"szf"</formula>
    </cfRule>
  </conditionalFormatting>
  <conditionalFormatting sqref="T124">
    <cfRule type="cellIs" dxfId="2109" priority="51" operator="equal">
      <formula>"szf"</formula>
    </cfRule>
  </conditionalFormatting>
  <conditionalFormatting sqref="U124">
    <cfRule type="cellIs" dxfId="2108" priority="50" operator="equal">
      <formula>"szf"</formula>
    </cfRule>
  </conditionalFormatting>
  <conditionalFormatting sqref="AB124">
    <cfRule type="cellIs" dxfId="2107" priority="49" operator="equal">
      <formula>"szf"</formula>
    </cfRule>
  </conditionalFormatting>
  <conditionalFormatting sqref="AB124">
    <cfRule type="cellIs" dxfId="2106" priority="48" operator="equal">
      <formula>"szf"</formula>
    </cfRule>
  </conditionalFormatting>
  <conditionalFormatting sqref="AC124">
    <cfRule type="cellIs" dxfId="2105" priority="47" operator="equal">
      <formula>"szf"</formula>
    </cfRule>
  </conditionalFormatting>
  <conditionalFormatting sqref="F148">
    <cfRule type="cellIs" dxfId="2104" priority="46" operator="equal">
      <formula>"szf"</formula>
    </cfRule>
  </conditionalFormatting>
  <conditionalFormatting sqref="G148">
    <cfRule type="cellIs" dxfId="2103" priority="45" operator="equal">
      <formula>"szf"</formula>
    </cfRule>
  </conditionalFormatting>
  <conditionalFormatting sqref="N148">
    <cfRule type="cellIs" dxfId="2102" priority="44" operator="equal">
      <formula>"szf"</formula>
    </cfRule>
  </conditionalFormatting>
  <conditionalFormatting sqref="O148">
    <cfRule type="cellIs" dxfId="2101" priority="43" operator="equal">
      <formula>"szf"</formula>
    </cfRule>
  </conditionalFormatting>
  <conditionalFormatting sqref="W148">
    <cfRule type="cellIs" dxfId="2100" priority="42" operator="equal">
      <formula>"szf"</formula>
    </cfRule>
  </conditionalFormatting>
  <conditionalFormatting sqref="V148">
    <cfRule type="cellIs" dxfId="2099" priority="41" operator="equal">
      <formula>"szf"</formula>
    </cfRule>
  </conditionalFormatting>
  <conditionalFormatting sqref="AD148">
    <cfRule type="cellIs" dxfId="2098" priority="40" operator="equal">
      <formula>"szf"</formula>
    </cfRule>
  </conditionalFormatting>
  <conditionalFormatting sqref="AE148">
    <cfRule type="cellIs" dxfId="2097" priority="39" operator="equal">
      <formula>"szf"</formula>
    </cfRule>
  </conditionalFormatting>
  <conditionalFormatting sqref="G172">
    <cfRule type="cellIs" dxfId="2096" priority="38" operator="equal">
      <formula>"szf"</formula>
    </cfRule>
  </conditionalFormatting>
  <conditionalFormatting sqref="H172">
    <cfRule type="cellIs" dxfId="2095" priority="37" operator="equal">
      <formula>"szf"</formula>
    </cfRule>
  </conditionalFormatting>
  <conditionalFormatting sqref="O172">
    <cfRule type="cellIs" dxfId="2094" priority="36" operator="equal">
      <formula>"szf"</formula>
    </cfRule>
  </conditionalFormatting>
  <conditionalFormatting sqref="P172">
    <cfRule type="cellIs" dxfId="2093" priority="35" operator="equal">
      <formula>"szf"</formula>
    </cfRule>
  </conditionalFormatting>
  <conditionalFormatting sqref="X172">
    <cfRule type="cellIs" dxfId="2092" priority="34" operator="equal">
      <formula>"szf"</formula>
    </cfRule>
  </conditionalFormatting>
  <conditionalFormatting sqref="W172">
    <cfRule type="cellIs" dxfId="2091" priority="33" operator="equal">
      <formula>"szf"</formula>
    </cfRule>
  </conditionalFormatting>
  <conditionalFormatting sqref="AE172">
    <cfRule type="cellIs" dxfId="2090" priority="32" operator="equal">
      <formula>"szf"</formula>
    </cfRule>
  </conditionalFormatting>
  <conditionalFormatting sqref="AF172">
    <cfRule type="cellIs" dxfId="2089" priority="31" operator="equal">
      <formula>"szf"</formula>
    </cfRule>
  </conditionalFormatting>
  <conditionalFormatting sqref="H196">
    <cfRule type="cellIs" dxfId="2088" priority="30" operator="equal">
      <formula>"szf"</formula>
    </cfRule>
  </conditionalFormatting>
  <conditionalFormatting sqref="I196">
    <cfRule type="cellIs" dxfId="2087" priority="29" operator="equal">
      <formula>"szf"</formula>
    </cfRule>
  </conditionalFormatting>
  <conditionalFormatting sqref="P196">
    <cfRule type="cellIs" dxfId="2086" priority="28" operator="equal">
      <formula>"szf"</formula>
    </cfRule>
  </conditionalFormatting>
  <conditionalFormatting sqref="Q196">
    <cfRule type="cellIs" dxfId="2085" priority="27" operator="equal">
      <formula>"szf"</formula>
    </cfRule>
  </conditionalFormatting>
  <conditionalFormatting sqref="Y196">
    <cfRule type="cellIs" dxfId="2084" priority="26" operator="equal">
      <formula>"szf"</formula>
    </cfRule>
  </conditionalFormatting>
  <conditionalFormatting sqref="X196">
    <cfRule type="cellIs" dxfId="2083" priority="25" operator="equal">
      <formula>"szf"</formula>
    </cfRule>
  </conditionalFormatting>
  <conditionalFormatting sqref="B220">
    <cfRule type="cellIs" dxfId="2082" priority="24" operator="equal">
      <formula>"szf"</formula>
    </cfRule>
  </conditionalFormatting>
  <conditionalFormatting sqref="C220">
    <cfRule type="cellIs" dxfId="2081" priority="23" operator="equal">
      <formula>"szf"</formula>
    </cfRule>
  </conditionalFormatting>
  <conditionalFormatting sqref="J220">
    <cfRule type="cellIs" dxfId="2080" priority="22" operator="equal">
      <formula>"szf"</formula>
    </cfRule>
  </conditionalFormatting>
  <conditionalFormatting sqref="K220">
    <cfRule type="cellIs" dxfId="2079" priority="21" operator="equal">
      <formula>"szf"</formula>
    </cfRule>
  </conditionalFormatting>
  <conditionalFormatting sqref="R220">
    <cfRule type="cellIs" dxfId="2078" priority="20" operator="equal">
      <formula>"szf"</formula>
    </cfRule>
  </conditionalFormatting>
  <conditionalFormatting sqref="S220">
    <cfRule type="cellIs" dxfId="2077" priority="19" operator="equal">
      <formula>"szf"</formula>
    </cfRule>
  </conditionalFormatting>
  <conditionalFormatting sqref="Z220">
    <cfRule type="cellIs" dxfId="2076" priority="18" operator="equal">
      <formula>"szf"</formula>
    </cfRule>
  </conditionalFormatting>
  <conditionalFormatting sqref="AA220">
    <cfRule type="cellIs" dxfId="2075" priority="17" operator="equal">
      <formula>"szf"</formula>
    </cfRule>
  </conditionalFormatting>
  <conditionalFormatting sqref="C244">
    <cfRule type="cellIs" dxfId="2074" priority="16" operator="equal">
      <formula>"szf"</formula>
    </cfRule>
  </conditionalFormatting>
  <conditionalFormatting sqref="D244">
    <cfRule type="cellIs" dxfId="2073" priority="15" operator="equal">
      <formula>"szf"</formula>
    </cfRule>
  </conditionalFormatting>
  <conditionalFormatting sqref="K244">
    <cfRule type="cellIs" dxfId="2072" priority="14" operator="equal">
      <formula>"szf"</formula>
    </cfRule>
  </conditionalFormatting>
  <conditionalFormatting sqref="L244">
    <cfRule type="cellIs" dxfId="2071" priority="13" operator="equal">
      <formula>"szf"</formula>
    </cfRule>
  </conditionalFormatting>
  <conditionalFormatting sqref="S244">
    <cfRule type="cellIs" dxfId="2070" priority="12" operator="equal">
      <formula>"szf"</formula>
    </cfRule>
  </conditionalFormatting>
  <conditionalFormatting sqref="T244">
    <cfRule type="cellIs" dxfId="2069" priority="11" operator="equal">
      <formula>"szf"</formula>
    </cfRule>
  </conditionalFormatting>
  <conditionalFormatting sqref="AA244">
    <cfRule type="cellIs" dxfId="2068" priority="10" operator="equal">
      <formula>"szf"</formula>
    </cfRule>
  </conditionalFormatting>
  <conditionalFormatting sqref="AB244">
    <cfRule type="cellIs" dxfId="2067" priority="9" operator="equal">
      <formula>"szf"</formula>
    </cfRule>
  </conditionalFormatting>
  <conditionalFormatting sqref="E268">
    <cfRule type="cellIs" dxfId="2066" priority="8" operator="equal">
      <formula>"szf"</formula>
    </cfRule>
  </conditionalFormatting>
  <conditionalFormatting sqref="F268">
    <cfRule type="cellIs" dxfId="2065" priority="7" operator="equal">
      <formula>"szf"</formula>
    </cfRule>
  </conditionalFormatting>
  <conditionalFormatting sqref="N268">
    <cfRule type="cellIs" dxfId="2064" priority="6" operator="equal">
      <formula>"szf"</formula>
    </cfRule>
  </conditionalFormatting>
  <conditionalFormatting sqref="M268">
    <cfRule type="cellIs" dxfId="2063" priority="5" operator="equal">
      <formula>"szf"</formula>
    </cfRule>
  </conditionalFormatting>
  <conditionalFormatting sqref="V268">
    <cfRule type="cellIs" dxfId="2062" priority="4" operator="equal">
      <formula>"szf"</formula>
    </cfRule>
  </conditionalFormatting>
  <conditionalFormatting sqref="U268">
    <cfRule type="cellIs" dxfId="2061" priority="3" operator="equal">
      <formula>"szf"</formula>
    </cfRule>
  </conditionalFormatting>
  <conditionalFormatting sqref="AC268">
    <cfRule type="cellIs" dxfId="2060" priority="2" operator="equal">
      <formula>"szf"</formula>
    </cfRule>
  </conditionalFormatting>
  <conditionalFormatting sqref="AD268">
    <cfRule type="cellIs" dxfId="2059" priority="1" operator="equal">
      <formula>"szf"</formula>
    </cfRule>
  </conditionalFormatting>
  <printOptions horizontalCentered="1" verticalCentered="1"/>
  <pageMargins left="0.39370078740157483" right="0.39370078740157483" top="0.24" bottom="0.3" header="0.17" footer="0.3"/>
  <pageSetup paperSize="9" orientation="landscape" horizontalDpi="4294967292" r:id="rId1"/>
  <headerFooter alignWithMargins="0">
    <oddFooter>&amp;RCim: C:\besse\szab_szn\szabi.xls</oddFooter>
  </headerFooter>
  <rowBreaks count="11" manualBreakCount="11">
    <brk id="23" max="16383" man="1"/>
    <brk id="47" max="16383" man="1"/>
    <brk id="71" max="16383" man="1"/>
    <brk id="95" max="16383" man="1"/>
    <brk id="119" max="16383" man="1"/>
    <brk id="143" max="16383" man="1"/>
    <brk id="167" max="16383" man="1"/>
    <brk id="191" max="16383" man="1"/>
    <brk id="215" max="16383" man="1"/>
    <brk id="239" max="16383" man="1"/>
    <brk id="26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7"/>
  <sheetViews>
    <sheetView showGridLines="0" topLeftCell="A72" workbookViewId="0">
      <selection activeCell="AA80" sqref="AA80"/>
    </sheetView>
  </sheetViews>
  <sheetFormatPr defaultColWidth="12" defaultRowHeight="12.75"/>
  <cols>
    <col min="1" max="1" width="20.140625" style="20" bestFit="1" customWidth="1"/>
    <col min="2" max="2" width="4" style="4" customWidth="1"/>
    <col min="3" max="8" width="3.140625" style="4" customWidth="1"/>
    <col min="9" max="9" width="3" style="4" customWidth="1"/>
    <col min="10" max="31" width="3.140625" style="4" customWidth="1"/>
    <col min="32" max="32" width="3.85546875" style="4" customWidth="1"/>
    <col min="33" max="33" width="3.42578125" style="1" customWidth="1"/>
    <col min="34" max="35" width="6.85546875" style="8" hidden="1" customWidth="1"/>
    <col min="36" max="43" width="3.42578125" style="1" customWidth="1"/>
    <col min="44" max="16384" width="12" style="1"/>
  </cols>
  <sheetData>
    <row r="1" spans="1:35" s="6" customFormat="1" ht="20.100000000000001" customHeight="1">
      <c r="A1" s="88" t="s">
        <v>0</v>
      </c>
      <c r="B1" s="66">
        <v>1</v>
      </c>
      <c r="C1" s="67">
        <v>2</v>
      </c>
      <c r="D1" s="67">
        <v>3</v>
      </c>
      <c r="E1" s="67">
        <v>4</v>
      </c>
      <c r="F1" s="67">
        <v>5</v>
      </c>
      <c r="G1" s="67">
        <v>6</v>
      </c>
      <c r="H1" s="67">
        <v>7</v>
      </c>
      <c r="I1" s="67">
        <v>8</v>
      </c>
      <c r="J1" s="67">
        <v>9</v>
      </c>
      <c r="K1" s="67">
        <v>10</v>
      </c>
      <c r="L1" s="67">
        <v>11</v>
      </c>
      <c r="M1" s="67">
        <v>12</v>
      </c>
      <c r="N1" s="67">
        <v>13</v>
      </c>
      <c r="O1" s="67">
        <v>14</v>
      </c>
      <c r="P1" s="67">
        <v>15</v>
      </c>
      <c r="Q1" s="67">
        <v>16</v>
      </c>
      <c r="R1" s="67">
        <v>17</v>
      </c>
      <c r="S1" s="67">
        <v>18</v>
      </c>
      <c r="T1" s="67">
        <v>19</v>
      </c>
      <c r="U1" s="67">
        <v>20</v>
      </c>
      <c r="V1" s="67">
        <v>21</v>
      </c>
      <c r="W1" s="67">
        <v>22</v>
      </c>
      <c r="X1" s="67">
        <v>23</v>
      </c>
      <c r="Y1" s="67">
        <v>24</v>
      </c>
      <c r="Z1" s="67">
        <v>25</v>
      </c>
      <c r="AA1" s="67">
        <v>26</v>
      </c>
      <c r="AB1" s="67">
        <v>27</v>
      </c>
      <c r="AC1" s="67">
        <v>28</v>
      </c>
      <c r="AD1" s="67">
        <v>29</v>
      </c>
      <c r="AE1" s="67">
        <v>30</v>
      </c>
      <c r="AF1" s="67">
        <v>31</v>
      </c>
      <c r="AH1" s="93" t="s">
        <v>18</v>
      </c>
      <c r="AI1" s="93" t="s">
        <v>19</v>
      </c>
    </row>
    <row r="2" spans="1:35" ht="20.100000000000001" customHeight="1">
      <c r="A2" s="90"/>
      <c r="B2" s="68" t="str">
        <f>'2020'!B4</f>
        <v>Sze</v>
      </c>
      <c r="C2" s="68" t="str">
        <f>'2020'!C4</f>
        <v>Cs</v>
      </c>
      <c r="D2" s="68" t="str">
        <f>'2020'!D4</f>
        <v>P</v>
      </c>
      <c r="E2" s="68" t="str">
        <f>'2020'!E4</f>
        <v>Szo</v>
      </c>
      <c r="F2" s="68" t="str">
        <f>'2020'!F4</f>
        <v>V</v>
      </c>
      <c r="G2" s="68" t="str">
        <f>'2020'!G4</f>
        <v>H</v>
      </c>
      <c r="H2" s="68" t="str">
        <f>'2020'!H4</f>
        <v>K</v>
      </c>
      <c r="I2" s="68" t="str">
        <f>'2020'!I4</f>
        <v>Sze</v>
      </c>
      <c r="J2" s="68" t="str">
        <f>'2020'!J4</f>
        <v>Cs</v>
      </c>
      <c r="K2" s="68" t="str">
        <f>'2020'!K4</f>
        <v>P</v>
      </c>
      <c r="L2" s="68" t="str">
        <f>'2020'!L4</f>
        <v>Szo</v>
      </c>
      <c r="M2" s="68" t="str">
        <f>'2020'!M4</f>
        <v>V</v>
      </c>
      <c r="N2" s="68" t="str">
        <f>'2020'!N4</f>
        <v>H</v>
      </c>
      <c r="O2" s="68" t="str">
        <f>'2020'!O4</f>
        <v>K</v>
      </c>
      <c r="P2" s="68" t="str">
        <f>'2020'!P4</f>
        <v>Sze</v>
      </c>
      <c r="Q2" s="68" t="str">
        <f>'2020'!Q4</f>
        <v>Cs</v>
      </c>
      <c r="R2" s="68" t="str">
        <f>'2020'!R4</f>
        <v>P</v>
      </c>
      <c r="S2" s="68" t="str">
        <f>'2020'!S4</f>
        <v>Szo</v>
      </c>
      <c r="T2" s="68" t="str">
        <f>'2020'!T4</f>
        <v>V</v>
      </c>
      <c r="U2" s="68" t="str">
        <f>'2020'!U4</f>
        <v>H</v>
      </c>
      <c r="V2" s="68" t="str">
        <f>'2020'!V4</f>
        <v>K</v>
      </c>
      <c r="W2" s="68" t="str">
        <f>'2020'!W4</f>
        <v>Sze</v>
      </c>
      <c r="X2" s="68" t="str">
        <f>'2020'!X4</f>
        <v>Cs</v>
      </c>
      <c r="Y2" s="68" t="str">
        <f>'2020'!Y4</f>
        <v>P</v>
      </c>
      <c r="Z2" s="68" t="str">
        <f>'2020'!Z4</f>
        <v>Szo</v>
      </c>
      <c r="AA2" s="68" t="str">
        <f>'2020'!AA4</f>
        <v>V</v>
      </c>
      <c r="AB2" s="68" t="str">
        <f>'2020'!AB4</f>
        <v>H</v>
      </c>
      <c r="AC2" s="68" t="str">
        <f>'2020'!AC4</f>
        <v>K</v>
      </c>
      <c r="AD2" s="68" t="str">
        <f>'2020'!AD4</f>
        <v>Sze</v>
      </c>
      <c r="AE2" s="68" t="str">
        <f>'2020'!AE4</f>
        <v>Cs</v>
      </c>
      <c r="AF2" s="68" t="str">
        <f>'2020'!AF4</f>
        <v>P</v>
      </c>
      <c r="AH2" s="94"/>
      <c r="AI2" s="94"/>
    </row>
    <row r="3" spans="1:35" ht="20.100000000000001" customHeight="1">
      <c r="A3" s="90"/>
      <c r="B3" s="68" t="str">
        <f>'2020'!B6</f>
        <v>X</v>
      </c>
      <c r="C3" s="68" t="str">
        <f>'2020'!C6</f>
        <v>X</v>
      </c>
      <c r="D3" s="68">
        <f>'2020'!D6</f>
        <v>3</v>
      </c>
      <c r="E3" s="68">
        <f>'2020'!E6</f>
        <v>3</v>
      </c>
      <c r="F3" s="68">
        <f>'2020'!F6</f>
        <v>3</v>
      </c>
      <c r="G3" s="68">
        <f>'2020'!G6</f>
        <v>3</v>
      </c>
      <c r="H3" s="68">
        <f>'2020'!H6</f>
        <v>3</v>
      </c>
      <c r="I3" s="68">
        <f>'2020'!I6</f>
        <v>3</v>
      </c>
      <c r="J3" s="68" t="str">
        <f>'2020'!J6</f>
        <v>X</v>
      </c>
      <c r="K3" s="68" t="str">
        <f>'2020'!K6</f>
        <v>X</v>
      </c>
      <c r="L3" s="68">
        <f>'2020'!L6</f>
        <v>2</v>
      </c>
      <c r="M3" s="68">
        <f>'2020'!M6</f>
        <v>2</v>
      </c>
      <c r="N3" s="68">
        <f>'2020'!N6</f>
        <v>2</v>
      </c>
      <c r="O3" s="68">
        <f>'2020'!O6</f>
        <v>2</v>
      </c>
      <c r="P3" s="68">
        <f>'2020'!P6</f>
        <v>2</v>
      </c>
      <c r="Q3" s="68">
        <f>'2020'!Q6</f>
        <v>2</v>
      </c>
      <c r="R3" s="68" t="str">
        <f>'2020'!R6</f>
        <v>X</v>
      </c>
      <c r="S3" s="68" t="str">
        <f>'2020'!S6</f>
        <v>X</v>
      </c>
      <c r="T3" s="68">
        <f>'2020'!T6</f>
        <v>1</v>
      </c>
      <c r="U3" s="68">
        <f>'2020'!U6</f>
        <v>1</v>
      </c>
      <c r="V3" s="68">
        <f>'2020'!V6</f>
        <v>1</v>
      </c>
      <c r="W3" s="68">
        <f>'2020'!W6</f>
        <v>1</v>
      </c>
      <c r="X3" s="68">
        <f>'2020'!X6</f>
        <v>1</v>
      </c>
      <c r="Y3" s="68">
        <f>'2020'!Y6</f>
        <v>1</v>
      </c>
      <c r="Z3" s="68" t="str">
        <f>'2020'!Z6</f>
        <v>X</v>
      </c>
      <c r="AA3" s="68" t="str">
        <f>'2020'!AA6</f>
        <v>X</v>
      </c>
      <c r="AB3" s="68">
        <f>'2020'!AB6</f>
        <v>3</v>
      </c>
      <c r="AC3" s="68">
        <f>'2020'!AC6</f>
        <v>3</v>
      </c>
      <c r="AD3" s="68">
        <f>'2020'!AD6</f>
        <v>3</v>
      </c>
      <c r="AE3" s="68">
        <f>'2020'!AE6</f>
        <v>3</v>
      </c>
      <c r="AF3" s="68">
        <f>'2020'!AF6</f>
        <v>3</v>
      </c>
      <c r="AH3" s="94"/>
      <c r="AI3" s="94"/>
    </row>
    <row r="4" spans="1:35" ht="20.100000000000001" customHeight="1">
      <c r="A4" s="18" t="str">
        <f>ÖSSZES!$A$26</f>
        <v>Katona László</v>
      </c>
      <c r="B4" s="71" t="s">
        <v>2</v>
      </c>
      <c r="C4" s="71" t="s">
        <v>2</v>
      </c>
      <c r="D4" s="70"/>
      <c r="E4" s="70"/>
      <c r="F4" s="70"/>
      <c r="G4" s="72"/>
      <c r="H4" s="72"/>
      <c r="I4" s="72"/>
      <c r="J4" s="71" t="s">
        <v>2</v>
      </c>
      <c r="K4" s="71" t="s">
        <v>2</v>
      </c>
      <c r="L4" s="70"/>
      <c r="M4" s="70"/>
      <c r="N4" s="70" t="s">
        <v>114</v>
      </c>
      <c r="O4" s="72" t="s">
        <v>114</v>
      </c>
      <c r="P4" s="72"/>
      <c r="Q4" s="72"/>
      <c r="R4" s="71" t="s">
        <v>2</v>
      </c>
      <c r="S4" s="71" t="s">
        <v>2</v>
      </c>
      <c r="T4" s="70"/>
      <c r="U4" s="70"/>
      <c r="V4" s="70"/>
      <c r="W4" s="72"/>
      <c r="X4" s="72"/>
      <c r="Y4" s="72"/>
      <c r="Z4" s="71" t="s">
        <v>2</v>
      </c>
      <c r="AA4" s="71" t="s">
        <v>2</v>
      </c>
      <c r="AB4" s="70"/>
      <c r="AC4" s="70"/>
      <c r="AD4" s="70"/>
      <c r="AE4" s="72"/>
      <c r="AF4" s="72"/>
      <c r="AH4" s="16">
        <f>1*COUNTIF(A4:AF4,"+")</f>
        <v>2</v>
      </c>
      <c r="AI4" s="16">
        <f>1*COUNTIF(B4:AF4,"szf")</f>
        <v>0</v>
      </c>
    </row>
    <row r="5" spans="1:35" ht="20.100000000000001" customHeight="1">
      <c r="A5" s="18" t="str">
        <f>ÖSSZES!$A$27</f>
        <v>Kiss János Tamás</v>
      </c>
      <c r="B5" s="73"/>
      <c r="C5" s="72"/>
      <c r="D5" s="71" t="s">
        <v>2</v>
      </c>
      <c r="E5" s="71" t="s">
        <v>2</v>
      </c>
      <c r="F5" s="72"/>
      <c r="G5" s="65"/>
      <c r="H5" s="65"/>
      <c r="I5" s="72"/>
      <c r="J5" s="72"/>
      <c r="K5" s="72"/>
      <c r="L5" s="71" t="s">
        <v>2</v>
      </c>
      <c r="M5" s="71" t="s">
        <v>2</v>
      </c>
      <c r="N5" s="65"/>
      <c r="O5" s="65"/>
      <c r="P5" s="65"/>
      <c r="Q5" s="72"/>
      <c r="R5" s="72"/>
      <c r="S5" s="72" t="s">
        <v>114</v>
      </c>
      <c r="T5" s="71" t="s">
        <v>2</v>
      </c>
      <c r="U5" s="71" t="s">
        <v>2</v>
      </c>
      <c r="V5" s="65"/>
      <c r="W5" s="65"/>
      <c r="X5" s="65"/>
      <c r="Y5" s="72"/>
      <c r="Z5" s="72"/>
      <c r="AA5" s="72"/>
      <c r="AB5" s="71" t="s">
        <v>2</v>
      </c>
      <c r="AC5" s="71" t="s">
        <v>2</v>
      </c>
      <c r="AD5" s="65"/>
      <c r="AE5" s="65"/>
      <c r="AF5" s="72"/>
      <c r="AH5" s="16">
        <f t="shared" ref="AH5:AH23" si="0">1*COUNTIF(A5:AF5,"+")</f>
        <v>1</v>
      </c>
      <c r="AI5" s="16">
        <f t="shared" ref="AI5:AI23" si="1">1*COUNTIF(B5:AF5,"szf")</f>
        <v>0</v>
      </c>
    </row>
    <row r="6" spans="1:35" ht="20.100000000000001" customHeight="1">
      <c r="A6" s="18" t="str">
        <f>ÖSSZES!$A$28</f>
        <v>Habara Gábor</v>
      </c>
      <c r="B6" s="71" t="s">
        <v>2</v>
      </c>
      <c r="C6" s="71" t="s">
        <v>2</v>
      </c>
      <c r="D6" s="70"/>
      <c r="E6" s="70"/>
      <c r="F6" s="70"/>
      <c r="G6" s="72"/>
      <c r="H6" s="72"/>
      <c r="I6" s="72"/>
      <c r="J6" s="71" t="s">
        <v>2</v>
      </c>
      <c r="K6" s="71" t="s">
        <v>2</v>
      </c>
      <c r="L6" s="70"/>
      <c r="M6" s="70"/>
      <c r="N6" s="70"/>
      <c r="O6" s="72"/>
      <c r="P6" s="72" t="s">
        <v>114</v>
      </c>
      <c r="Q6" s="72" t="s">
        <v>114</v>
      </c>
      <c r="R6" s="71" t="s">
        <v>2</v>
      </c>
      <c r="S6" s="71" t="s">
        <v>2</v>
      </c>
      <c r="T6" s="70"/>
      <c r="U6" s="70"/>
      <c r="V6" s="70" t="s">
        <v>20</v>
      </c>
      <c r="W6" s="72"/>
      <c r="X6" s="72"/>
      <c r="Y6" s="72"/>
      <c r="Z6" s="71" t="s">
        <v>2</v>
      </c>
      <c r="AA6" s="71" t="s">
        <v>2</v>
      </c>
      <c r="AB6" s="70"/>
      <c r="AC6" s="70"/>
      <c r="AD6" s="70"/>
      <c r="AE6" s="72"/>
      <c r="AF6" s="72"/>
      <c r="AH6" s="16">
        <f t="shared" si="0"/>
        <v>2</v>
      </c>
      <c r="AI6" s="16">
        <f t="shared" si="1"/>
        <v>1</v>
      </c>
    </row>
    <row r="7" spans="1:35" ht="20.100000000000001" customHeight="1">
      <c r="A7" s="18" t="str">
        <f>ÖSSZES!$A$29</f>
        <v>Holba Imre</v>
      </c>
      <c r="B7" s="71" t="s">
        <v>2</v>
      </c>
      <c r="C7" s="71" t="s">
        <v>2</v>
      </c>
      <c r="D7" s="70" t="s">
        <v>20</v>
      </c>
      <c r="E7" s="70"/>
      <c r="F7" s="70"/>
      <c r="G7" s="72"/>
      <c r="H7" s="72"/>
      <c r="I7" s="72"/>
      <c r="J7" s="71" t="s">
        <v>2</v>
      </c>
      <c r="K7" s="71" t="s">
        <v>2</v>
      </c>
      <c r="L7" s="70"/>
      <c r="M7" s="70"/>
      <c r="N7" s="70"/>
      <c r="O7" s="72"/>
      <c r="P7" s="72"/>
      <c r="Q7" s="72" t="s">
        <v>114</v>
      </c>
      <c r="R7" s="71" t="s">
        <v>2</v>
      </c>
      <c r="S7" s="71" t="s">
        <v>2</v>
      </c>
      <c r="T7" s="70"/>
      <c r="U7" s="70"/>
      <c r="V7" s="70"/>
      <c r="W7" s="72"/>
      <c r="X7" s="72"/>
      <c r="Y7" s="72"/>
      <c r="Z7" s="71" t="s">
        <v>2</v>
      </c>
      <c r="AA7" s="71" t="s">
        <v>2</v>
      </c>
      <c r="AB7" s="70"/>
      <c r="AC7" s="70"/>
      <c r="AD7" s="70"/>
      <c r="AE7" s="72"/>
      <c r="AF7" s="72"/>
      <c r="AH7" s="16">
        <f t="shared" si="0"/>
        <v>1</v>
      </c>
      <c r="AI7" s="16">
        <f t="shared" si="1"/>
        <v>1</v>
      </c>
    </row>
    <row r="8" spans="1:35" ht="20.100000000000001" customHeight="1">
      <c r="A8" s="18" t="str">
        <f>ÖSSZES!$A$30</f>
        <v>Keresztes Gyula</v>
      </c>
      <c r="B8" s="71" t="s">
        <v>2</v>
      </c>
      <c r="C8" s="71" t="s">
        <v>2</v>
      </c>
      <c r="D8" s="70"/>
      <c r="E8" s="70" t="s">
        <v>20</v>
      </c>
      <c r="F8" s="70" t="s">
        <v>20</v>
      </c>
      <c r="G8" s="72"/>
      <c r="H8" s="72"/>
      <c r="I8" s="72"/>
      <c r="J8" s="71" t="s">
        <v>2</v>
      </c>
      <c r="K8" s="71" t="s">
        <v>2</v>
      </c>
      <c r="L8" s="70"/>
      <c r="M8" s="70"/>
      <c r="N8" s="70"/>
      <c r="O8" s="72"/>
      <c r="P8" s="72"/>
      <c r="Q8" s="72"/>
      <c r="R8" s="71" t="s">
        <v>2</v>
      </c>
      <c r="S8" s="71" t="s">
        <v>2</v>
      </c>
      <c r="T8" s="70"/>
      <c r="U8" s="70"/>
      <c r="V8" s="70"/>
      <c r="W8" s="72"/>
      <c r="X8" s="72"/>
      <c r="Y8" s="72"/>
      <c r="Z8" s="71" t="s">
        <v>2</v>
      </c>
      <c r="AA8" s="71" t="s">
        <v>2</v>
      </c>
      <c r="AB8" s="70"/>
      <c r="AC8" s="70"/>
      <c r="AD8" s="70"/>
      <c r="AE8" s="72"/>
      <c r="AF8" s="72"/>
      <c r="AH8" s="16">
        <f t="shared" si="0"/>
        <v>0</v>
      </c>
      <c r="AI8" s="16">
        <f t="shared" si="1"/>
        <v>2</v>
      </c>
    </row>
    <row r="9" spans="1:35" ht="20.100000000000001" customHeight="1">
      <c r="A9" s="18" t="str">
        <f>ÖSSZES!$A$31</f>
        <v>Király Bálint Donát</v>
      </c>
      <c r="B9" s="71" t="s">
        <v>2</v>
      </c>
      <c r="C9" s="71" t="s">
        <v>2</v>
      </c>
      <c r="D9" s="70" t="s">
        <v>114</v>
      </c>
      <c r="E9" s="70" t="s">
        <v>114</v>
      </c>
      <c r="F9" s="70" t="s">
        <v>20</v>
      </c>
      <c r="G9" s="72" t="s">
        <v>20</v>
      </c>
      <c r="H9" s="72" t="s">
        <v>20</v>
      </c>
      <c r="I9" s="72" t="s">
        <v>20</v>
      </c>
      <c r="J9" s="71" t="s">
        <v>2</v>
      </c>
      <c r="K9" s="71" t="s">
        <v>2</v>
      </c>
      <c r="L9" s="70"/>
      <c r="M9" s="70"/>
      <c r="N9" s="70"/>
      <c r="O9" s="72"/>
      <c r="P9" s="72"/>
      <c r="Q9" s="72"/>
      <c r="R9" s="71" t="s">
        <v>2</v>
      </c>
      <c r="S9" s="71" t="s">
        <v>2</v>
      </c>
      <c r="T9" s="70"/>
      <c r="U9" s="70"/>
      <c r="V9" s="70"/>
      <c r="W9" s="72"/>
      <c r="X9" s="72"/>
      <c r="Y9" s="72"/>
      <c r="Z9" s="71" t="s">
        <v>2</v>
      </c>
      <c r="AA9" s="71" t="s">
        <v>2</v>
      </c>
      <c r="AB9" s="70" t="s">
        <v>20</v>
      </c>
      <c r="AC9" s="70"/>
      <c r="AD9" s="70"/>
      <c r="AE9" s="72"/>
      <c r="AF9" s="72"/>
      <c r="AH9" s="16">
        <f t="shared" si="0"/>
        <v>2</v>
      </c>
      <c r="AI9" s="16">
        <f t="shared" si="1"/>
        <v>5</v>
      </c>
    </row>
    <row r="10" spans="1:35" ht="20.100000000000001" customHeight="1">
      <c r="A10" s="18" t="str">
        <f>ÖSSZES!$A$32</f>
        <v>Mezei Lajos</v>
      </c>
      <c r="B10" s="71" t="s">
        <v>2</v>
      </c>
      <c r="C10" s="71" t="s">
        <v>2</v>
      </c>
      <c r="D10" s="70"/>
      <c r="E10" s="70"/>
      <c r="F10" s="70"/>
      <c r="G10" s="72"/>
      <c r="H10" s="72"/>
      <c r="I10" s="72"/>
      <c r="J10" s="71" t="s">
        <v>2</v>
      </c>
      <c r="K10" s="71" t="s">
        <v>2</v>
      </c>
      <c r="L10" s="70"/>
      <c r="M10" s="70"/>
      <c r="N10" s="70"/>
      <c r="O10" s="72"/>
      <c r="P10" s="72"/>
      <c r="Q10" s="72"/>
      <c r="R10" s="71" t="s">
        <v>2</v>
      </c>
      <c r="S10" s="71" t="s">
        <v>2</v>
      </c>
      <c r="T10" s="70"/>
      <c r="U10" s="70"/>
      <c r="V10" s="70"/>
      <c r="W10" s="72"/>
      <c r="X10" s="72"/>
      <c r="Y10" s="72"/>
      <c r="Z10" s="71" t="s">
        <v>2</v>
      </c>
      <c r="AA10" s="71" t="s">
        <v>2</v>
      </c>
      <c r="AB10" s="70"/>
      <c r="AC10" s="70"/>
      <c r="AD10" s="70"/>
      <c r="AE10" s="72"/>
      <c r="AF10" s="72"/>
      <c r="AH10" s="16">
        <f t="shared" si="0"/>
        <v>0</v>
      </c>
      <c r="AI10" s="16">
        <f t="shared" si="1"/>
        <v>0</v>
      </c>
    </row>
    <row r="11" spans="1:35" ht="20.100000000000001" hidden="1" customHeight="1">
      <c r="A11" s="18" t="str">
        <f>ÖSSZES!$A$33</f>
        <v>Fényi László</v>
      </c>
      <c r="B11" s="58" t="s">
        <v>2</v>
      </c>
      <c r="C11" s="58" t="s">
        <v>2</v>
      </c>
      <c r="D11" s="14"/>
      <c r="E11" s="14"/>
      <c r="F11" s="14"/>
      <c r="G11" s="33"/>
      <c r="H11" s="33"/>
      <c r="I11" s="33"/>
      <c r="J11" s="58" t="s">
        <v>2</v>
      </c>
      <c r="K11" s="58" t="s">
        <v>2</v>
      </c>
      <c r="L11" s="14"/>
      <c r="M11" s="14"/>
      <c r="N11" s="14"/>
      <c r="O11" s="33"/>
      <c r="P11" s="33"/>
      <c r="Q11" s="33"/>
      <c r="R11" s="58" t="s">
        <v>2</v>
      </c>
      <c r="S11" s="58" t="s">
        <v>2</v>
      </c>
      <c r="T11" s="14"/>
      <c r="U11" s="14"/>
      <c r="V11" s="14"/>
      <c r="W11" s="33"/>
      <c r="X11" s="33"/>
      <c r="Y11" s="33"/>
      <c r="Z11" s="58" t="s">
        <v>2</v>
      </c>
      <c r="AA11" s="58" t="s">
        <v>2</v>
      </c>
      <c r="AB11" s="14"/>
      <c r="AC11" s="14"/>
      <c r="AD11" s="14"/>
      <c r="AE11" s="33"/>
      <c r="AF11" s="33"/>
      <c r="AH11" s="16">
        <f t="shared" si="0"/>
        <v>0</v>
      </c>
      <c r="AI11" s="16">
        <f t="shared" si="1"/>
        <v>0</v>
      </c>
    </row>
    <row r="12" spans="1:35" ht="20.100000000000001" hidden="1" customHeight="1">
      <c r="A12" s="18" t="str">
        <f>ÖSSZES!$A$34</f>
        <v>Név9</v>
      </c>
      <c r="B12" s="58" t="s">
        <v>2</v>
      </c>
      <c r="C12" s="58" t="s">
        <v>2</v>
      </c>
      <c r="D12" s="14"/>
      <c r="E12" s="14"/>
      <c r="F12" s="14"/>
      <c r="G12" s="33"/>
      <c r="H12" s="33"/>
      <c r="I12" s="33"/>
      <c r="J12" s="58" t="s">
        <v>2</v>
      </c>
      <c r="K12" s="58" t="s">
        <v>2</v>
      </c>
      <c r="L12" s="14"/>
      <c r="M12" s="14"/>
      <c r="N12" s="14"/>
      <c r="O12" s="33"/>
      <c r="P12" s="33"/>
      <c r="Q12" s="33"/>
      <c r="R12" s="58" t="s">
        <v>2</v>
      </c>
      <c r="S12" s="58" t="s">
        <v>2</v>
      </c>
      <c r="T12" s="14"/>
      <c r="U12" s="14"/>
      <c r="V12" s="14"/>
      <c r="W12" s="33"/>
      <c r="X12" s="33"/>
      <c r="Y12" s="33"/>
      <c r="Z12" s="58" t="s">
        <v>2</v>
      </c>
      <c r="AA12" s="58" t="s">
        <v>2</v>
      </c>
      <c r="AB12" s="14"/>
      <c r="AC12" s="14"/>
      <c r="AD12" s="14"/>
      <c r="AE12" s="33"/>
      <c r="AF12" s="33"/>
      <c r="AH12" s="16">
        <f t="shared" si="0"/>
        <v>0</v>
      </c>
      <c r="AI12" s="16">
        <f t="shared" si="1"/>
        <v>0</v>
      </c>
    </row>
    <row r="13" spans="1:35" ht="20.100000000000001" hidden="1" customHeight="1">
      <c r="A13" s="18" t="str">
        <f>ÖSSZES!$A$35</f>
        <v>Név10</v>
      </c>
      <c r="B13" s="58" t="s">
        <v>2</v>
      </c>
      <c r="C13" s="58" t="s">
        <v>2</v>
      </c>
      <c r="D13" s="14"/>
      <c r="E13" s="14"/>
      <c r="F13" s="14"/>
      <c r="G13" s="33"/>
      <c r="H13" s="33"/>
      <c r="I13" s="33"/>
      <c r="J13" s="58" t="s">
        <v>2</v>
      </c>
      <c r="K13" s="58" t="s">
        <v>2</v>
      </c>
      <c r="L13" s="14"/>
      <c r="M13" s="14"/>
      <c r="N13" s="14"/>
      <c r="O13" s="33"/>
      <c r="P13" s="33"/>
      <c r="Q13" s="33"/>
      <c r="R13" s="58" t="s">
        <v>2</v>
      </c>
      <c r="S13" s="58" t="s">
        <v>2</v>
      </c>
      <c r="T13" s="14"/>
      <c r="U13" s="14"/>
      <c r="V13" s="14"/>
      <c r="W13" s="33"/>
      <c r="X13" s="33"/>
      <c r="Y13" s="33"/>
      <c r="Z13" s="58" t="s">
        <v>2</v>
      </c>
      <c r="AA13" s="58" t="s">
        <v>2</v>
      </c>
      <c r="AB13" s="14"/>
      <c r="AC13" s="14"/>
      <c r="AD13" s="14"/>
      <c r="AE13" s="33"/>
      <c r="AF13" s="33"/>
      <c r="AH13" s="16">
        <f t="shared" si="0"/>
        <v>0</v>
      </c>
      <c r="AI13" s="16">
        <f t="shared" si="1"/>
        <v>0</v>
      </c>
    </row>
    <row r="14" spans="1:35" ht="20.100000000000001" hidden="1" customHeight="1">
      <c r="A14" s="18" t="str">
        <f>ÖSSZES!$A$36</f>
        <v>Név11</v>
      </c>
      <c r="B14" s="58" t="s">
        <v>2</v>
      </c>
      <c r="C14" s="58" t="s">
        <v>2</v>
      </c>
      <c r="D14" s="14"/>
      <c r="E14" s="14"/>
      <c r="F14" s="14"/>
      <c r="G14" s="33"/>
      <c r="H14" s="33"/>
      <c r="I14" s="33"/>
      <c r="J14" s="58" t="s">
        <v>2</v>
      </c>
      <c r="K14" s="58" t="s">
        <v>2</v>
      </c>
      <c r="L14" s="14"/>
      <c r="M14" s="14"/>
      <c r="N14" s="14"/>
      <c r="O14" s="33"/>
      <c r="P14" s="33"/>
      <c r="Q14" s="33"/>
      <c r="R14" s="58" t="s">
        <v>2</v>
      </c>
      <c r="S14" s="58" t="s">
        <v>2</v>
      </c>
      <c r="T14" s="14"/>
      <c r="U14" s="14"/>
      <c r="V14" s="14"/>
      <c r="W14" s="33"/>
      <c r="X14" s="33"/>
      <c r="Y14" s="33"/>
      <c r="Z14" s="58" t="s">
        <v>2</v>
      </c>
      <c r="AA14" s="58" t="s">
        <v>2</v>
      </c>
      <c r="AB14" s="14"/>
      <c r="AC14" s="14"/>
      <c r="AD14" s="14"/>
      <c r="AE14" s="33"/>
      <c r="AF14" s="33"/>
      <c r="AH14" s="16">
        <f t="shared" si="0"/>
        <v>0</v>
      </c>
      <c r="AI14" s="16">
        <f t="shared" si="1"/>
        <v>0</v>
      </c>
    </row>
    <row r="15" spans="1:35" ht="20.100000000000001" hidden="1" customHeight="1">
      <c r="A15" s="18" t="str">
        <f>ÖSSZES!$A$37</f>
        <v>Név12</v>
      </c>
      <c r="B15" s="58" t="s">
        <v>2</v>
      </c>
      <c r="C15" s="58" t="s">
        <v>2</v>
      </c>
      <c r="D15" s="14"/>
      <c r="E15" s="14"/>
      <c r="F15" s="14"/>
      <c r="G15" s="33"/>
      <c r="H15" s="33"/>
      <c r="I15" s="33"/>
      <c r="J15" s="58" t="s">
        <v>2</v>
      </c>
      <c r="K15" s="58" t="s">
        <v>2</v>
      </c>
      <c r="L15" s="14"/>
      <c r="M15" s="14"/>
      <c r="N15" s="14"/>
      <c r="O15" s="33"/>
      <c r="P15" s="33"/>
      <c r="Q15" s="33"/>
      <c r="R15" s="58" t="s">
        <v>2</v>
      </c>
      <c r="S15" s="58" t="s">
        <v>2</v>
      </c>
      <c r="T15" s="14"/>
      <c r="U15" s="14"/>
      <c r="V15" s="14"/>
      <c r="W15" s="33"/>
      <c r="X15" s="33"/>
      <c r="Y15" s="33"/>
      <c r="Z15" s="58" t="s">
        <v>2</v>
      </c>
      <c r="AA15" s="58" t="s">
        <v>2</v>
      </c>
      <c r="AB15" s="14"/>
      <c r="AC15" s="14"/>
      <c r="AD15" s="14"/>
      <c r="AE15" s="33"/>
      <c r="AF15" s="33"/>
      <c r="AH15" s="16">
        <f t="shared" si="0"/>
        <v>0</v>
      </c>
      <c r="AI15" s="16">
        <f t="shared" si="1"/>
        <v>0</v>
      </c>
    </row>
    <row r="16" spans="1:35" ht="20.100000000000001" hidden="1" customHeight="1">
      <c r="A16" s="18" t="str">
        <f>ÖSSZES!$A$38</f>
        <v>Név13</v>
      </c>
      <c r="B16" s="58" t="s">
        <v>2</v>
      </c>
      <c r="C16" s="58" t="s">
        <v>2</v>
      </c>
      <c r="D16" s="14"/>
      <c r="E16" s="14"/>
      <c r="F16" s="14"/>
      <c r="G16" s="33"/>
      <c r="H16" s="33"/>
      <c r="I16" s="33"/>
      <c r="J16" s="58" t="s">
        <v>2</v>
      </c>
      <c r="K16" s="58" t="s">
        <v>2</v>
      </c>
      <c r="L16" s="14"/>
      <c r="M16" s="14"/>
      <c r="N16" s="14"/>
      <c r="O16" s="33"/>
      <c r="P16" s="33"/>
      <c r="Q16" s="33"/>
      <c r="R16" s="58" t="s">
        <v>2</v>
      </c>
      <c r="S16" s="58" t="s">
        <v>2</v>
      </c>
      <c r="T16" s="14"/>
      <c r="U16" s="14"/>
      <c r="V16" s="14"/>
      <c r="W16" s="33"/>
      <c r="X16" s="33"/>
      <c r="Y16" s="33"/>
      <c r="Z16" s="58" t="s">
        <v>2</v>
      </c>
      <c r="AA16" s="58" t="s">
        <v>2</v>
      </c>
      <c r="AB16" s="14"/>
      <c r="AC16" s="14"/>
      <c r="AD16" s="14"/>
      <c r="AE16" s="33"/>
      <c r="AF16" s="33"/>
      <c r="AH16" s="16">
        <f t="shared" si="0"/>
        <v>0</v>
      </c>
      <c r="AI16" s="16">
        <f t="shared" si="1"/>
        <v>0</v>
      </c>
    </row>
    <row r="17" spans="1:35" ht="20.100000000000001" hidden="1" customHeight="1">
      <c r="A17" s="18" t="str">
        <f>ÖSSZES!$A$39</f>
        <v>Név14</v>
      </c>
      <c r="B17" s="58" t="s">
        <v>2</v>
      </c>
      <c r="C17" s="58" t="s">
        <v>2</v>
      </c>
      <c r="D17" s="14"/>
      <c r="E17" s="14"/>
      <c r="F17" s="14"/>
      <c r="G17" s="33"/>
      <c r="H17" s="33"/>
      <c r="I17" s="33"/>
      <c r="J17" s="58" t="s">
        <v>2</v>
      </c>
      <c r="K17" s="58" t="s">
        <v>2</v>
      </c>
      <c r="L17" s="14"/>
      <c r="M17" s="14"/>
      <c r="N17" s="14"/>
      <c r="O17" s="33"/>
      <c r="P17" s="33"/>
      <c r="Q17" s="33"/>
      <c r="R17" s="58" t="s">
        <v>2</v>
      </c>
      <c r="S17" s="58" t="s">
        <v>2</v>
      </c>
      <c r="T17" s="14"/>
      <c r="U17" s="14"/>
      <c r="V17" s="14"/>
      <c r="W17" s="33"/>
      <c r="X17" s="33"/>
      <c r="Y17" s="33"/>
      <c r="Z17" s="58" t="s">
        <v>2</v>
      </c>
      <c r="AA17" s="58" t="s">
        <v>2</v>
      </c>
      <c r="AB17" s="14"/>
      <c r="AC17" s="14"/>
      <c r="AD17" s="14"/>
      <c r="AE17" s="33"/>
      <c r="AF17" s="33"/>
      <c r="AH17" s="16">
        <f t="shared" si="0"/>
        <v>0</v>
      </c>
      <c r="AI17" s="16">
        <f t="shared" si="1"/>
        <v>0</v>
      </c>
    </row>
    <row r="18" spans="1:35" ht="20.100000000000001" hidden="1" customHeight="1">
      <c r="A18" s="18" t="str">
        <f>ÖSSZES!$A$40</f>
        <v>Név15</v>
      </c>
      <c r="B18" s="58" t="s">
        <v>2</v>
      </c>
      <c r="C18" s="58" t="s">
        <v>2</v>
      </c>
      <c r="D18" s="14"/>
      <c r="E18" s="14"/>
      <c r="F18" s="14"/>
      <c r="G18" s="33"/>
      <c r="H18" s="33"/>
      <c r="I18" s="33"/>
      <c r="J18" s="58" t="s">
        <v>2</v>
      </c>
      <c r="K18" s="58" t="s">
        <v>2</v>
      </c>
      <c r="L18" s="14"/>
      <c r="M18" s="14"/>
      <c r="N18" s="14"/>
      <c r="O18" s="33"/>
      <c r="P18" s="33"/>
      <c r="Q18" s="33"/>
      <c r="R18" s="58" t="s">
        <v>2</v>
      </c>
      <c r="S18" s="58" t="s">
        <v>2</v>
      </c>
      <c r="T18" s="14"/>
      <c r="U18" s="14"/>
      <c r="V18" s="14"/>
      <c r="W18" s="33"/>
      <c r="X18" s="33"/>
      <c r="Y18" s="33"/>
      <c r="Z18" s="58" t="s">
        <v>2</v>
      </c>
      <c r="AA18" s="58" t="s">
        <v>2</v>
      </c>
      <c r="AB18" s="14"/>
      <c r="AC18" s="14"/>
      <c r="AD18" s="14"/>
      <c r="AE18" s="33"/>
      <c r="AF18" s="33"/>
      <c r="AH18" s="16">
        <f t="shared" si="0"/>
        <v>0</v>
      </c>
      <c r="AI18" s="16">
        <f t="shared" si="1"/>
        <v>0</v>
      </c>
    </row>
    <row r="19" spans="1:35" ht="20.100000000000001" hidden="1" customHeight="1">
      <c r="A19" s="18" t="str">
        <f>ÖSSZES!$A$41</f>
        <v>Név16</v>
      </c>
      <c r="B19" s="58" t="s">
        <v>2</v>
      </c>
      <c r="C19" s="58" t="s">
        <v>2</v>
      </c>
      <c r="D19" s="14"/>
      <c r="E19" s="14"/>
      <c r="F19" s="14"/>
      <c r="G19" s="33"/>
      <c r="H19" s="33"/>
      <c r="I19" s="33"/>
      <c r="J19" s="58" t="s">
        <v>2</v>
      </c>
      <c r="K19" s="58" t="s">
        <v>2</v>
      </c>
      <c r="L19" s="14"/>
      <c r="M19" s="14"/>
      <c r="N19" s="14"/>
      <c r="O19" s="33"/>
      <c r="P19" s="33"/>
      <c r="Q19" s="33"/>
      <c r="R19" s="58" t="s">
        <v>2</v>
      </c>
      <c r="S19" s="58" t="s">
        <v>2</v>
      </c>
      <c r="T19" s="14"/>
      <c r="U19" s="14"/>
      <c r="V19" s="14"/>
      <c r="W19" s="33"/>
      <c r="X19" s="33"/>
      <c r="Y19" s="33"/>
      <c r="Z19" s="58" t="s">
        <v>2</v>
      </c>
      <c r="AA19" s="58" t="s">
        <v>2</v>
      </c>
      <c r="AB19" s="14"/>
      <c r="AC19" s="14"/>
      <c r="AD19" s="14"/>
      <c r="AE19" s="33"/>
      <c r="AF19" s="33"/>
      <c r="AH19" s="16">
        <f t="shared" si="0"/>
        <v>0</v>
      </c>
      <c r="AI19" s="16">
        <f t="shared" si="1"/>
        <v>0</v>
      </c>
    </row>
    <row r="20" spans="1:35" ht="20.100000000000001" hidden="1" customHeight="1">
      <c r="A20" s="18" t="str">
        <f>ÖSSZES!$A$42</f>
        <v>Név17</v>
      </c>
      <c r="B20" s="58" t="s">
        <v>2</v>
      </c>
      <c r="C20" s="58" t="s">
        <v>2</v>
      </c>
      <c r="D20" s="14"/>
      <c r="E20" s="14"/>
      <c r="F20" s="14"/>
      <c r="G20" s="33"/>
      <c r="H20" s="33"/>
      <c r="I20" s="33"/>
      <c r="J20" s="58" t="s">
        <v>2</v>
      </c>
      <c r="K20" s="58" t="s">
        <v>2</v>
      </c>
      <c r="L20" s="14"/>
      <c r="M20" s="14"/>
      <c r="N20" s="14"/>
      <c r="O20" s="33"/>
      <c r="P20" s="33"/>
      <c r="Q20" s="33"/>
      <c r="R20" s="58" t="s">
        <v>2</v>
      </c>
      <c r="S20" s="58" t="s">
        <v>2</v>
      </c>
      <c r="T20" s="14"/>
      <c r="U20" s="14"/>
      <c r="V20" s="14"/>
      <c r="W20" s="33"/>
      <c r="X20" s="33"/>
      <c r="Y20" s="33"/>
      <c r="Z20" s="58" t="s">
        <v>2</v>
      </c>
      <c r="AA20" s="58" t="s">
        <v>2</v>
      </c>
      <c r="AB20" s="14"/>
      <c r="AC20" s="14"/>
      <c r="AD20" s="14"/>
      <c r="AE20" s="33"/>
      <c r="AF20" s="33"/>
      <c r="AH20" s="16">
        <f t="shared" si="0"/>
        <v>0</v>
      </c>
      <c r="AI20" s="16">
        <f t="shared" si="1"/>
        <v>0</v>
      </c>
    </row>
    <row r="21" spans="1:35" ht="20.100000000000001" hidden="1" customHeight="1">
      <c r="A21" s="18" t="str">
        <f>ÖSSZES!$A$43</f>
        <v>Név18</v>
      </c>
      <c r="B21" s="58" t="s">
        <v>2</v>
      </c>
      <c r="C21" s="58" t="s">
        <v>2</v>
      </c>
      <c r="D21" s="14"/>
      <c r="E21" s="14"/>
      <c r="F21" s="14"/>
      <c r="G21" s="33"/>
      <c r="H21" s="33"/>
      <c r="I21" s="33"/>
      <c r="J21" s="58" t="s">
        <v>2</v>
      </c>
      <c r="K21" s="58" t="s">
        <v>2</v>
      </c>
      <c r="L21" s="14"/>
      <c r="M21" s="14"/>
      <c r="N21" s="14"/>
      <c r="O21" s="33"/>
      <c r="P21" s="33"/>
      <c r="Q21" s="33"/>
      <c r="R21" s="58" t="s">
        <v>2</v>
      </c>
      <c r="S21" s="58" t="s">
        <v>2</v>
      </c>
      <c r="T21" s="14"/>
      <c r="U21" s="14"/>
      <c r="V21" s="14"/>
      <c r="W21" s="33"/>
      <c r="X21" s="33"/>
      <c r="Y21" s="33"/>
      <c r="Z21" s="58" t="s">
        <v>2</v>
      </c>
      <c r="AA21" s="58" t="s">
        <v>2</v>
      </c>
      <c r="AB21" s="14"/>
      <c r="AC21" s="14"/>
      <c r="AD21" s="14"/>
      <c r="AE21" s="33"/>
      <c r="AF21" s="33"/>
      <c r="AH21" s="16">
        <f t="shared" si="0"/>
        <v>0</v>
      </c>
      <c r="AI21" s="16">
        <f t="shared" si="1"/>
        <v>0</v>
      </c>
    </row>
    <row r="22" spans="1:35" ht="20.100000000000001" hidden="1" customHeight="1">
      <c r="A22" s="18" t="str">
        <f>ÖSSZES!$A$44</f>
        <v>Név19</v>
      </c>
      <c r="B22" s="58" t="s">
        <v>2</v>
      </c>
      <c r="C22" s="58" t="s">
        <v>2</v>
      </c>
      <c r="D22" s="14"/>
      <c r="E22" s="14"/>
      <c r="F22" s="14"/>
      <c r="G22" s="33"/>
      <c r="H22" s="33"/>
      <c r="I22" s="33"/>
      <c r="J22" s="58" t="s">
        <v>2</v>
      </c>
      <c r="K22" s="58" t="s">
        <v>2</v>
      </c>
      <c r="L22" s="14"/>
      <c r="M22" s="14"/>
      <c r="N22" s="14"/>
      <c r="O22" s="33"/>
      <c r="P22" s="33"/>
      <c r="Q22" s="33"/>
      <c r="R22" s="58" t="s">
        <v>2</v>
      </c>
      <c r="S22" s="58" t="s">
        <v>2</v>
      </c>
      <c r="T22" s="14"/>
      <c r="U22" s="14"/>
      <c r="V22" s="14"/>
      <c r="W22" s="33"/>
      <c r="X22" s="33"/>
      <c r="Y22" s="33"/>
      <c r="Z22" s="58" t="s">
        <v>2</v>
      </c>
      <c r="AA22" s="58" t="s">
        <v>2</v>
      </c>
      <c r="AB22" s="14"/>
      <c r="AC22" s="14"/>
      <c r="AD22" s="14"/>
      <c r="AE22" s="33"/>
      <c r="AF22" s="33"/>
      <c r="AH22" s="16">
        <f t="shared" si="0"/>
        <v>0</v>
      </c>
      <c r="AI22" s="16">
        <f t="shared" si="1"/>
        <v>0</v>
      </c>
    </row>
    <row r="23" spans="1:35" ht="20.100000000000001" hidden="1" customHeight="1">
      <c r="A23" s="18" t="str">
        <f>ÖSSZES!$A$45</f>
        <v>Név20</v>
      </c>
      <c r="B23" s="58" t="s">
        <v>2</v>
      </c>
      <c r="C23" s="58" t="s">
        <v>2</v>
      </c>
      <c r="D23" s="14"/>
      <c r="E23" s="14"/>
      <c r="F23" s="14"/>
      <c r="G23" s="33"/>
      <c r="H23" s="33"/>
      <c r="I23" s="33"/>
      <c r="J23" s="58" t="s">
        <v>2</v>
      </c>
      <c r="K23" s="58" t="s">
        <v>2</v>
      </c>
      <c r="L23" s="14"/>
      <c r="M23" s="14"/>
      <c r="N23" s="14"/>
      <c r="O23" s="33"/>
      <c r="P23" s="33"/>
      <c r="Q23" s="33"/>
      <c r="R23" s="58" t="s">
        <v>2</v>
      </c>
      <c r="S23" s="58" t="s">
        <v>2</v>
      </c>
      <c r="T23" s="14"/>
      <c r="U23" s="14"/>
      <c r="V23" s="14"/>
      <c r="W23" s="33"/>
      <c r="X23" s="33"/>
      <c r="Y23" s="33"/>
      <c r="Z23" s="58" t="s">
        <v>2</v>
      </c>
      <c r="AA23" s="58" t="s">
        <v>2</v>
      </c>
      <c r="AB23" s="14"/>
      <c r="AC23" s="14"/>
      <c r="AD23" s="14"/>
      <c r="AE23" s="33"/>
      <c r="AF23" s="33"/>
      <c r="AH23" s="16">
        <f t="shared" si="0"/>
        <v>0</v>
      </c>
      <c r="AI23" s="16">
        <f t="shared" si="1"/>
        <v>0</v>
      </c>
    </row>
    <row r="24" spans="1:35" ht="20.100000000000001" customHeight="1"/>
    <row r="25" spans="1:35" s="6" customFormat="1" ht="20.100000000000001" customHeight="1">
      <c r="A25" s="88" t="s">
        <v>6</v>
      </c>
      <c r="B25" s="67">
        <v>1</v>
      </c>
      <c r="C25" s="67">
        <v>2</v>
      </c>
      <c r="D25" s="67">
        <v>3</v>
      </c>
      <c r="E25" s="67">
        <v>4</v>
      </c>
      <c r="F25" s="67">
        <v>5</v>
      </c>
      <c r="G25" s="67">
        <v>6</v>
      </c>
      <c r="H25" s="67">
        <v>7</v>
      </c>
      <c r="I25" s="67">
        <v>8</v>
      </c>
      <c r="J25" s="67">
        <v>9</v>
      </c>
      <c r="K25" s="67">
        <v>10</v>
      </c>
      <c r="L25" s="67">
        <v>11</v>
      </c>
      <c r="M25" s="67">
        <v>12</v>
      </c>
      <c r="N25" s="67">
        <v>13</v>
      </c>
      <c r="O25" s="67">
        <v>14</v>
      </c>
      <c r="P25" s="67">
        <v>15</v>
      </c>
      <c r="Q25" s="67">
        <v>16</v>
      </c>
      <c r="R25" s="67">
        <v>17</v>
      </c>
      <c r="S25" s="67">
        <v>18</v>
      </c>
      <c r="T25" s="67">
        <v>19</v>
      </c>
      <c r="U25" s="67">
        <v>20</v>
      </c>
      <c r="V25" s="67">
        <v>21</v>
      </c>
      <c r="W25" s="67">
        <v>22</v>
      </c>
      <c r="X25" s="67">
        <v>23</v>
      </c>
      <c r="Y25" s="67">
        <v>24</v>
      </c>
      <c r="Z25" s="67">
        <v>25</v>
      </c>
      <c r="AA25" s="67">
        <v>26</v>
      </c>
      <c r="AB25" s="67">
        <v>27</v>
      </c>
      <c r="AC25" s="67">
        <v>28</v>
      </c>
      <c r="AD25" s="67">
        <v>29</v>
      </c>
      <c r="AH25" s="93" t="s">
        <v>18</v>
      </c>
      <c r="AI25" s="93" t="s">
        <v>19</v>
      </c>
    </row>
    <row r="26" spans="1:35" ht="20.100000000000001" customHeight="1">
      <c r="A26" s="90"/>
      <c r="B26" s="68" t="str">
        <f>'2020'!B12</f>
        <v>Szo</v>
      </c>
      <c r="C26" s="68" t="str">
        <f>'2020'!C12</f>
        <v>V</v>
      </c>
      <c r="D26" s="68" t="str">
        <f>'2020'!D12</f>
        <v>H</v>
      </c>
      <c r="E26" s="68" t="str">
        <f>'2020'!E12</f>
        <v>K</v>
      </c>
      <c r="F26" s="68" t="str">
        <f>'2020'!F12</f>
        <v>Sze</v>
      </c>
      <c r="G26" s="68" t="str">
        <f>'2020'!G12</f>
        <v>Cs</v>
      </c>
      <c r="H26" s="68" t="str">
        <f>'2020'!H12</f>
        <v>P</v>
      </c>
      <c r="I26" s="68" t="str">
        <f>'2020'!I12</f>
        <v>Szo</v>
      </c>
      <c r="J26" s="68" t="str">
        <f>'2020'!J12</f>
        <v>V</v>
      </c>
      <c r="K26" s="68" t="str">
        <f>'2020'!K12</f>
        <v>H</v>
      </c>
      <c r="L26" s="68" t="str">
        <f>'2020'!L12</f>
        <v>K</v>
      </c>
      <c r="M26" s="68" t="str">
        <f>'2020'!M12</f>
        <v>Sze</v>
      </c>
      <c r="N26" s="68" t="str">
        <f>'2020'!N12</f>
        <v>Cs</v>
      </c>
      <c r="O26" s="68" t="str">
        <f>'2020'!O12</f>
        <v>P</v>
      </c>
      <c r="P26" s="68" t="str">
        <f>'2020'!P12</f>
        <v>Szo</v>
      </c>
      <c r="Q26" s="68" t="str">
        <f>'2020'!Q12</f>
        <v>V</v>
      </c>
      <c r="R26" s="68" t="str">
        <f>'2020'!R12</f>
        <v>H</v>
      </c>
      <c r="S26" s="68" t="str">
        <f>'2020'!S12</f>
        <v>K</v>
      </c>
      <c r="T26" s="68" t="str">
        <f>'2020'!T12</f>
        <v>Sze</v>
      </c>
      <c r="U26" s="68" t="str">
        <f>'2020'!U12</f>
        <v>Cs</v>
      </c>
      <c r="V26" s="68" t="str">
        <f>'2020'!V12</f>
        <v>P</v>
      </c>
      <c r="W26" s="68" t="str">
        <f>'2020'!W12</f>
        <v>Szo</v>
      </c>
      <c r="X26" s="68" t="str">
        <f>'2020'!X12</f>
        <v>V</v>
      </c>
      <c r="Y26" s="68" t="str">
        <f>'2020'!Y12</f>
        <v>H</v>
      </c>
      <c r="Z26" s="68" t="str">
        <f>'2020'!Z12</f>
        <v>K</v>
      </c>
      <c r="AA26" s="68" t="str">
        <f>'2020'!AA12</f>
        <v>Sze</v>
      </c>
      <c r="AB26" s="68" t="str">
        <f>'2020'!AB12</f>
        <v>Cs</v>
      </c>
      <c r="AC26" s="68" t="str">
        <f>'2020'!AC12</f>
        <v>P</v>
      </c>
      <c r="AD26" s="68" t="str">
        <f>'2020'!AD12</f>
        <v>Szo</v>
      </c>
      <c r="AE26" s="1"/>
      <c r="AF26" s="1"/>
      <c r="AH26" s="94"/>
      <c r="AI26" s="94"/>
    </row>
    <row r="27" spans="1:35" ht="20.100000000000001" customHeight="1">
      <c r="A27" s="90"/>
      <c r="B27" s="68">
        <f>'2020'!B14</f>
        <v>3</v>
      </c>
      <c r="C27" s="68" t="str">
        <f>'2020'!C14</f>
        <v>X</v>
      </c>
      <c r="D27" s="68" t="str">
        <f>'2020'!D14</f>
        <v>X</v>
      </c>
      <c r="E27" s="68">
        <f>'2020'!E14</f>
        <v>2</v>
      </c>
      <c r="F27" s="68">
        <f>'2020'!F14</f>
        <v>2</v>
      </c>
      <c r="G27" s="68">
        <f>'2020'!G14</f>
        <v>2</v>
      </c>
      <c r="H27" s="68">
        <f>'2020'!H14</f>
        <v>2</v>
      </c>
      <c r="I27" s="68">
        <f>'2020'!I14</f>
        <v>2</v>
      </c>
      <c r="J27" s="68">
        <f>'2020'!J14</f>
        <v>2</v>
      </c>
      <c r="K27" s="68" t="str">
        <f>'2020'!K14</f>
        <v>X</v>
      </c>
      <c r="L27" s="68" t="str">
        <f>'2020'!L14</f>
        <v>X</v>
      </c>
      <c r="M27" s="68">
        <f>'2020'!M14</f>
        <v>1</v>
      </c>
      <c r="N27" s="68">
        <f>'2020'!N14</f>
        <v>1</v>
      </c>
      <c r="O27" s="68">
        <f>'2020'!O14</f>
        <v>1</v>
      </c>
      <c r="P27" s="68">
        <f>'2020'!P14</f>
        <v>1</v>
      </c>
      <c r="Q27" s="68">
        <f>'2020'!Q14</f>
        <v>1</v>
      </c>
      <c r="R27" s="68">
        <f>'2020'!R14</f>
        <v>1</v>
      </c>
      <c r="S27" s="68" t="str">
        <f>'2020'!S14</f>
        <v>X</v>
      </c>
      <c r="T27" s="68" t="str">
        <f>'2020'!T14</f>
        <v>X</v>
      </c>
      <c r="U27" s="68">
        <f>'2020'!U14</f>
        <v>3</v>
      </c>
      <c r="V27" s="68">
        <f>'2020'!V14</f>
        <v>3</v>
      </c>
      <c r="W27" s="68">
        <f>'2020'!W14</f>
        <v>3</v>
      </c>
      <c r="X27" s="68">
        <f>'2020'!X14</f>
        <v>3</v>
      </c>
      <c r="Y27" s="68">
        <f>'2020'!Y14</f>
        <v>3</v>
      </c>
      <c r="Z27" s="68">
        <f>'2020'!Z14</f>
        <v>3</v>
      </c>
      <c r="AA27" s="68" t="str">
        <f>'2020'!AA14</f>
        <v>X</v>
      </c>
      <c r="AB27" s="68" t="str">
        <f>'2020'!AB14</f>
        <v>X</v>
      </c>
      <c r="AC27" s="68">
        <f>'2020'!AC14</f>
        <v>2</v>
      </c>
      <c r="AD27" s="68">
        <f>'2020'!AD14</f>
        <v>2</v>
      </c>
      <c r="AE27" s="1"/>
      <c r="AF27" s="1"/>
      <c r="AH27" s="94"/>
      <c r="AI27" s="94"/>
    </row>
    <row r="28" spans="1:35" ht="20.100000000000001" customHeight="1">
      <c r="A28" s="18" t="str">
        <f>ÖSSZES!$A$26</f>
        <v>Katona László</v>
      </c>
      <c r="B28" s="72"/>
      <c r="C28" s="71" t="s">
        <v>2</v>
      </c>
      <c r="D28" s="71" t="s">
        <v>2</v>
      </c>
      <c r="E28" s="72" t="s">
        <v>114</v>
      </c>
      <c r="F28" s="72" t="s">
        <v>114</v>
      </c>
      <c r="G28" s="79"/>
      <c r="H28" s="72"/>
      <c r="I28" s="72"/>
      <c r="J28" s="72"/>
      <c r="K28" s="71" t="s">
        <v>2</v>
      </c>
      <c r="L28" s="71" t="s">
        <v>2</v>
      </c>
      <c r="M28" s="79"/>
      <c r="N28" s="79"/>
      <c r="O28" s="79"/>
      <c r="P28" s="72"/>
      <c r="Q28" s="72"/>
      <c r="R28" s="72"/>
      <c r="S28" s="71" t="s">
        <v>2</v>
      </c>
      <c r="T28" s="71" t="s">
        <v>2</v>
      </c>
      <c r="U28" s="79"/>
      <c r="V28" s="79"/>
      <c r="W28" s="79"/>
      <c r="X28" s="72"/>
      <c r="Y28" s="72"/>
      <c r="Z28" s="72"/>
      <c r="AA28" s="71" t="s">
        <v>2</v>
      </c>
      <c r="AB28" s="71" t="s">
        <v>2</v>
      </c>
      <c r="AC28" s="79"/>
      <c r="AD28" s="79"/>
      <c r="AE28" s="1"/>
      <c r="AF28" s="1"/>
      <c r="AH28" s="16">
        <f>1*COUNTIF(A28:AF28,"+")</f>
        <v>2</v>
      </c>
      <c r="AI28" s="16">
        <f t="shared" ref="AI28" si="2">1*COUNTIF(B28:AF28,"szf")</f>
        <v>0</v>
      </c>
    </row>
    <row r="29" spans="1:35" ht="20.100000000000001" customHeight="1">
      <c r="A29" s="18" t="str">
        <f>ÖSSZES!$A$27</f>
        <v>Kiss János Tamás</v>
      </c>
      <c r="B29" s="72" t="s">
        <v>114</v>
      </c>
      <c r="C29" s="72"/>
      <c r="D29" s="72"/>
      <c r="E29" s="71" t="s">
        <v>2</v>
      </c>
      <c r="F29" s="71" t="s">
        <v>2</v>
      </c>
      <c r="G29" s="79"/>
      <c r="H29" s="72"/>
      <c r="I29" s="72" t="s">
        <v>20</v>
      </c>
      <c r="J29" s="72"/>
      <c r="K29" s="71" t="s">
        <v>2</v>
      </c>
      <c r="L29" s="71" t="s">
        <v>2</v>
      </c>
      <c r="M29" s="72"/>
      <c r="N29" s="79"/>
      <c r="O29" s="79"/>
      <c r="P29" s="72"/>
      <c r="Q29" s="72"/>
      <c r="R29" s="72"/>
      <c r="S29" s="71" t="s">
        <v>2</v>
      </c>
      <c r="T29" s="71" t="s">
        <v>2</v>
      </c>
      <c r="U29" s="79"/>
      <c r="V29" s="79"/>
      <c r="W29" s="79"/>
      <c r="X29" s="72"/>
      <c r="Y29" s="72"/>
      <c r="Z29" s="72"/>
      <c r="AA29" s="71" t="s">
        <v>2</v>
      </c>
      <c r="AB29" s="71" t="s">
        <v>2</v>
      </c>
      <c r="AC29" s="79"/>
      <c r="AD29" s="79"/>
      <c r="AE29" s="1"/>
      <c r="AF29" s="1"/>
      <c r="AH29" s="16">
        <f t="shared" ref="AH29:AH47" si="3">1*COUNTIF(A29:AF29,"+")</f>
        <v>1</v>
      </c>
      <c r="AI29" s="16">
        <f t="shared" ref="AI29:AI47" si="4">1*COUNTIF(B29:AF29,"szf")</f>
        <v>1</v>
      </c>
    </row>
    <row r="30" spans="1:35" ht="20.100000000000001" customHeight="1">
      <c r="A30" s="18" t="str">
        <f>ÖSSZES!$A$28</f>
        <v>Habara Gábor</v>
      </c>
      <c r="B30" s="72"/>
      <c r="C30" s="71" t="s">
        <v>2</v>
      </c>
      <c r="D30" s="71" t="s">
        <v>2</v>
      </c>
      <c r="E30" s="79"/>
      <c r="F30" s="79"/>
      <c r="G30" s="79"/>
      <c r="H30" s="72"/>
      <c r="I30" s="72"/>
      <c r="J30" s="72"/>
      <c r="K30" s="71" t="s">
        <v>2</v>
      </c>
      <c r="L30" s="71" t="s">
        <v>2</v>
      </c>
      <c r="M30" s="72"/>
      <c r="N30" s="79"/>
      <c r="O30" s="79"/>
      <c r="P30" s="72"/>
      <c r="Q30" s="72"/>
      <c r="R30" s="72"/>
      <c r="S30" s="71" t="s">
        <v>2</v>
      </c>
      <c r="T30" s="71" t="s">
        <v>2</v>
      </c>
      <c r="U30" s="79"/>
      <c r="V30" s="79"/>
      <c r="W30" s="79"/>
      <c r="X30" s="72"/>
      <c r="Y30" s="72"/>
      <c r="Z30" s="72"/>
      <c r="AA30" s="71" t="s">
        <v>2</v>
      </c>
      <c r="AB30" s="71" t="s">
        <v>2</v>
      </c>
      <c r="AC30" s="72" t="s">
        <v>114</v>
      </c>
      <c r="AD30" s="72" t="s">
        <v>39</v>
      </c>
      <c r="AE30" s="1"/>
      <c r="AF30" s="1"/>
      <c r="AH30" s="16">
        <f t="shared" si="3"/>
        <v>1</v>
      </c>
      <c r="AI30" s="16">
        <f t="shared" si="4"/>
        <v>1</v>
      </c>
    </row>
    <row r="31" spans="1:35" ht="20.100000000000001" customHeight="1">
      <c r="A31" s="18" t="str">
        <f>ÖSSZES!$A$29</f>
        <v>Holba Imre</v>
      </c>
      <c r="B31" s="72"/>
      <c r="C31" s="71" t="s">
        <v>2</v>
      </c>
      <c r="D31" s="71" t="s">
        <v>2</v>
      </c>
      <c r="E31" s="72" t="s">
        <v>114</v>
      </c>
      <c r="F31" s="79"/>
      <c r="G31" s="79"/>
      <c r="H31" s="72"/>
      <c r="I31" s="72"/>
      <c r="J31" s="72"/>
      <c r="K31" s="71" t="s">
        <v>2</v>
      </c>
      <c r="L31" s="71" t="s">
        <v>2</v>
      </c>
      <c r="M31" s="79"/>
      <c r="N31" s="79"/>
      <c r="O31" s="79"/>
      <c r="P31" s="72"/>
      <c r="Q31" s="72"/>
      <c r="R31" s="72"/>
      <c r="S31" s="71" t="s">
        <v>2</v>
      </c>
      <c r="T31" s="71" t="s">
        <v>2</v>
      </c>
      <c r="U31" s="79"/>
      <c r="V31" s="79"/>
      <c r="W31" s="79"/>
      <c r="X31" s="72"/>
      <c r="Y31" s="72"/>
      <c r="Z31" s="72"/>
      <c r="AA31" s="71" t="s">
        <v>2</v>
      </c>
      <c r="AB31" s="71" t="s">
        <v>2</v>
      </c>
      <c r="AC31" s="79"/>
      <c r="AD31" s="72" t="s">
        <v>114</v>
      </c>
      <c r="AE31" s="1"/>
      <c r="AF31" s="1"/>
      <c r="AH31" s="16">
        <f t="shared" si="3"/>
        <v>2</v>
      </c>
      <c r="AI31" s="16">
        <f t="shared" si="4"/>
        <v>0</v>
      </c>
    </row>
    <row r="32" spans="1:35" ht="20.100000000000001" customHeight="1">
      <c r="A32" s="18" t="str">
        <f>ÖSSZES!$A$30</f>
        <v>Keresztes Gyula</v>
      </c>
      <c r="B32" s="72"/>
      <c r="C32" s="71" t="s">
        <v>2</v>
      </c>
      <c r="D32" s="71" t="s">
        <v>2</v>
      </c>
      <c r="E32" s="79"/>
      <c r="F32" s="79"/>
      <c r="G32" s="79"/>
      <c r="H32" s="72"/>
      <c r="I32" s="72"/>
      <c r="J32" s="72"/>
      <c r="K32" s="71" t="s">
        <v>2</v>
      </c>
      <c r="L32" s="71" t="s">
        <v>2</v>
      </c>
      <c r="M32" s="79"/>
      <c r="N32" s="79"/>
      <c r="O32" s="79"/>
      <c r="P32" s="72"/>
      <c r="Q32" s="72"/>
      <c r="R32" s="72"/>
      <c r="S32" s="71" t="s">
        <v>2</v>
      </c>
      <c r="T32" s="71" t="s">
        <v>2</v>
      </c>
      <c r="U32" s="79"/>
      <c r="V32" s="79"/>
      <c r="W32" s="79"/>
      <c r="X32" s="72"/>
      <c r="Y32" s="72"/>
      <c r="Z32" s="72"/>
      <c r="AA32" s="71" t="s">
        <v>2</v>
      </c>
      <c r="AB32" s="71" t="s">
        <v>2</v>
      </c>
      <c r="AC32" s="79"/>
      <c r="AD32" s="79"/>
      <c r="AE32" s="1"/>
      <c r="AF32" s="1"/>
      <c r="AH32" s="16">
        <f t="shared" si="3"/>
        <v>0</v>
      </c>
      <c r="AI32" s="16">
        <f t="shared" si="4"/>
        <v>0</v>
      </c>
    </row>
    <row r="33" spans="1:35" ht="20.100000000000001" customHeight="1">
      <c r="A33" s="18" t="str">
        <f>ÖSSZES!$A$31</f>
        <v>Király Bálint Donát</v>
      </c>
      <c r="B33" s="72"/>
      <c r="C33" s="71" t="s">
        <v>2</v>
      </c>
      <c r="D33" s="71" t="s">
        <v>2</v>
      </c>
      <c r="E33" s="79"/>
      <c r="F33" s="79"/>
      <c r="G33" s="79"/>
      <c r="H33" s="72"/>
      <c r="I33" s="72"/>
      <c r="J33" s="72"/>
      <c r="K33" s="71" t="s">
        <v>2</v>
      </c>
      <c r="L33" s="71" t="s">
        <v>2</v>
      </c>
      <c r="M33" s="79"/>
      <c r="N33" s="79"/>
      <c r="O33" s="79"/>
      <c r="P33" s="72" t="s">
        <v>114</v>
      </c>
      <c r="Q33" s="72" t="s">
        <v>20</v>
      </c>
      <c r="R33" s="72" t="s">
        <v>20</v>
      </c>
      <c r="S33" s="71" t="s">
        <v>2</v>
      </c>
      <c r="T33" s="71" t="s">
        <v>2</v>
      </c>
      <c r="U33" s="79"/>
      <c r="V33" s="79"/>
      <c r="W33" s="79"/>
      <c r="X33" s="72"/>
      <c r="Y33" s="72"/>
      <c r="Z33" s="72"/>
      <c r="AA33" s="71" t="s">
        <v>2</v>
      </c>
      <c r="AB33" s="71" t="s">
        <v>2</v>
      </c>
      <c r="AC33" s="79"/>
      <c r="AD33" s="79"/>
      <c r="AE33" s="1"/>
      <c r="AF33" s="1"/>
      <c r="AH33" s="16">
        <f t="shared" si="3"/>
        <v>1</v>
      </c>
      <c r="AI33" s="16">
        <f t="shared" si="4"/>
        <v>2</v>
      </c>
    </row>
    <row r="34" spans="1:35" ht="20.100000000000001" customHeight="1">
      <c r="A34" s="18" t="str">
        <f>ÖSSZES!$A$32</f>
        <v>Mezei Lajos</v>
      </c>
      <c r="B34" s="72" t="s">
        <v>114</v>
      </c>
      <c r="C34" s="71" t="s">
        <v>2</v>
      </c>
      <c r="D34" s="71" t="s">
        <v>2</v>
      </c>
      <c r="E34" s="79"/>
      <c r="F34" s="79"/>
      <c r="G34" s="79"/>
      <c r="H34" s="72"/>
      <c r="I34" s="72"/>
      <c r="J34" s="72"/>
      <c r="K34" s="71" t="s">
        <v>2</v>
      </c>
      <c r="L34" s="71" t="s">
        <v>2</v>
      </c>
      <c r="M34" s="79"/>
      <c r="N34" s="79"/>
      <c r="O34" s="79"/>
      <c r="P34" s="72"/>
      <c r="Q34" s="72"/>
      <c r="R34" s="72"/>
      <c r="S34" s="71" t="s">
        <v>2</v>
      </c>
      <c r="T34" s="71" t="s">
        <v>2</v>
      </c>
      <c r="U34" s="79"/>
      <c r="V34" s="79"/>
      <c r="W34" s="79"/>
      <c r="X34" s="72"/>
      <c r="Y34" s="72"/>
      <c r="Z34" s="72"/>
      <c r="AA34" s="71" t="s">
        <v>2</v>
      </c>
      <c r="AB34" s="71" t="s">
        <v>2</v>
      </c>
      <c r="AC34" s="72" t="s">
        <v>114</v>
      </c>
      <c r="AD34" s="79"/>
      <c r="AE34" s="1"/>
      <c r="AF34" s="1"/>
      <c r="AH34" s="16">
        <f t="shared" si="3"/>
        <v>2</v>
      </c>
      <c r="AI34" s="16">
        <f t="shared" si="4"/>
        <v>0</v>
      </c>
    </row>
    <row r="35" spans="1:35" ht="20.100000000000001" hidden="1" customHeight="1">
      <c r="A35" s="18" t="str">
        <f>ÖSSZES!$A$33</f>
        <v>Fényi László</v>
      </c>
      <c r="B35" s="33"/>
      <c r="C35" s="58" t="s">
        <v>2</v>
      </c>
      <c r="D35" s="58" t="s">
        <v>2</v>
      </c>
      <c r="E35" s="31"/>
      <c r="F35" s="31"/>
      <c r="G35" s="31"/>
      <c r="H35" s="33"/>
      <c r="I35" s="33"/>
      <c r="J35" s="33"/>
      <c r="K35" s="58" t="s">
        <v>2</v>
      </c>
      <c r="L35" s="58" t="s">
        <v>2</v>
      </c>
      <c r="M35" s="31"/>
      <c r="N35" s="31"/>
      <c r="O35" s="31"/>
      <c r="P35" s="33"/>
      <c r="Q35" s="33"/>
      <c r="R35" s="33"/>
      <c r="S35" s="58" t="s">
        <v>2</v>
      </c>
      <c r="T35" s="58" t="s">
        <v>2</v>
      </c>
      <c r="U35" s="31"/>
      <c r="V35" s="31"/>
      <c r="W35" s="31"/>
      <c r="X35" s="33"/>
      <c r="Y35" s="33"/>
      <c r="Z35" s="33"/>
      <c r="AA35" s="58" t="s">
        <v>2</v>
      </c>
      <c r="AB35" s="58" t="s">
        <v>2</v>
      </c>
      <c r="AC35" s="31"/>
      <c r="AD35" s="31"/>
      <c r="AE35" s="1"/>
      <c r="AF35" s="1"/>
      <c r="AH35" s="16">
        <f t="shared" si="3"/>
        <v>0</v>
      </c>
      <c r="AI35" s="16">
        <f t="shared" si="4"/>
        <v>0</v>
      </c>
    </row>
    <row r="36" spans="1:35" ht="20.100000000000001" hidden="1" customHeight="1">
      <c r="A36" s="18" t="str">
        <f>ÖSSZES!$A$34</f>
        <v>Név9</v>
      </c>
      <c r="B36" s="33"/>
      <c r="C36" s="58" t="s">
        <v>2</v>
      </c>
      <c r="D36" s="58" t="s">
        <v>2</v>
      </c>
      <c r="E36" s="31"/>
      <c r="F36" s="31"/>
      <c r="G36" s="31"/>
      <c r="H36" s="33"/>
      <c r="I36" s="33"/>
      <c r="J36" s="33"/>
      <c r="K36" s="58" t="s">
        <v>2</v>
      </c>
      <c r="L36" s="58" t="s">
        <v>2</v>
      </c>
      <c r="M36" s="31"/>
      <c r="N36" s="31"/>
      <c r="O36" s="31"/>
      <c r="P36" s="33"/>
      <c r="Q36" s="33"/>
      <c r="R36" s="33"/>
      <c r="S36" s="58" t="s">
        <v>2</v>
      </c>
      <c r="T36" s="58" t="s">
        <v>2</v>
      </c>
      <c r="U36" s="31"/>
      <c r="V36" s="31"/>
      <c r="W36" s="31"/>
      <c r="X36" s="33"/>
      <c r="Y36" s="33"/>
      <c r="Z36" s="33"/>
      <c r="AA36" s="58" t="s">
        <v>2</v>
      </c>
      <c r="AB36" s="58" t="s">
        <v>2</v>
      </c>
      <c r="AC36" s="31"/>
      <c r="AD36" s="31"/>
      <c r="AE36" s="1"/>
      <c r="AF36" s="1"/>
      <c r="AH36" s="16">
        <f t="shared" si="3"/>
        <v>0</v>
      </c>
      <c r="AI36" s="16">
        <f t="shared" si="4"/>
        <v>0</v>
      </c>
    </row>
    <row r="37" spans="1:35" ht="20.100000000000001" hidden="1" customHeight="1">
      <c r="A37" s="18" t="str">
        <f>ÖSSZES!$A$35</f>
        <v>Név10</v>
      </c>
      <c r="B37" s="33"/>
      <c r="C37" s="58" t="s">
        <v>2</v>
      </c>
      <c r="D37" s="58" t="s">
        <v>2</v>
      </c>
      <c r="E37" s="31"/>
      <c r="F37" s="31"/>
      <c r="G37" s="31"/>
      <c r="H37" s="33"/>
      <c r="I37" s="33"/>
      <c r="J37" s="33"/>
      <c r="K37" s="58" t="s">
        <v>2</v>
      </c>
      <c r="L37" s="58" t="s">
        <v>2</v>
      </c>
      <c r="M37" s="31"/>
      <c r="N37" s="31"/>
      <c r="O37" s="31"/>
      <c r="P37" s="33"/>
      <c r="Q37" s="33"/>
      <c r="R37" s="33"/>
      <c r="S37" s="58" t="s">
        <v>2</v>
      </c>
      <c r="T37" s="58" t="s">
        <v>2</v>
      </c>
      <c r="U37" s="31"/>
      <c r="V37" s="31"/>
      <c r="W37" s="31"/>
      <c r="X37" s="33"/>
      <c r="Y37" s="33"/>
      <c r="Z37" s="33"/>
      <c r="AA37" s="58" t="s">
        <v>2</v>
      </c>
      <c r="AB37" s="58" t="s">
        <v>2</v>
      </c>
      <c r="AC37" s="31"/>
      <c r="AD37" s="31"/>
      <c r="AE37" s="1"/>
      <c r="AF37" s="1"/>
      <c r="AH37" s="16">
        <f t="shared" si="3"/>
        <v>0</v>
      </c>
      <c r="AI37" s="16">
        <f t="shared" si="4"/>
        <v>0</v>
      </c>
    </row>
    <row r="38" spans="1:35" ht="20.100000000000001" hidden="1" customHeight="1">
      <c r="A38" s="18" t="str">
        <f>ÖSSZES!$A$36</f>
        <v>Név11</v>
      </c>
      <c r="B38" s="33"/>
      <c r="C38" s="58" t="s">
        <v>2</v>
      </c>
      <c r="D38" s="58" t="s">
        <v>2</v>
      </c>
      <c r="E38" s="31"/>
      <c r="F38" s="31"/>
      <c r="G38" s="31"/>
      <c r="H38" s="33"/>
      <c r="I38" s="33"/>
      <c r="J38" s="33"/>
      <c r="K38" s="58" t="s">
        <v>2</v>
      </c>
      <c r="L38" s="58" t="s">
        <v>2</v>
      </c>
      <c r="M38" s="31"/>
      <c r="N38" s="31"/>
      <c r="O38" s="31"/>
      <c r="P38" s="33"/>
      <c r="Q38" s="33"/>
      <c r="R38" s="33"/>
      <c r="S38" s="58" t="s">
        <v>2</v>
      </c>
      <c r="T38" s="58" t="s">
        <v>2</v>
      </c>
      <c r="U38" s="31"/>
      <c r="V38" s="31"/>
      <c r="W38" s="31"/>
      <c r="X38" s="33"/>
      <c r="Y38" s="33"/>
      <c r="Z38" s="33"/>
      <c r="AA38" s="58" t="s">
        <v>2</v>
      </c>
      <c r="AB38" s="58" t="s">
        <v>2</v>
      </c>
      <c r="AC38" s="31"/>
      <c r="AD38" s="31"/>
      <c r="AE38" s="1"/>
      <c r="AF38" s="1"/>
      <c r="AH38" s="16">
        <f t="shared" si="3"/>
        <v>0</v>
      </c>
      <c r="AI38" s="16">
        <f t="shared" si="4"/>
        <v>0</v>
      </c>
    </row>
    <row r="39" spans="1:35" ht="20.100000000000001" hidden="1" customHeight="1">
      <c r="A39" s="18" t="str">
        <f>ÖSSZES!$A$37</f>
        <v>Név12</v>
      </c>
      <c r="B39" s="33"/>
      <c r="C39" s="58" t="s">
        <v>2</v>
      </c>
      <c r="D39" s="58" t="s">
        <v>2</v>
      </c>
      <c r="E39" s="31"/>
      <c r="F39" s="31"/>
      <c r="G39" s="31"/>
      <c r="H39" s="33"/>
      <c r="I39" s="33"/>
      <c r="J39" s="33"/>
      <c r="K39" s="58" t="s">
        <v>2</v>
      </c>
      <c r="L39" s="58" t="s">
        <v>2</v>
      </c>
      <c r="M39" s="31"/>
      <c r="N39" s="31"/>
      <c r="O39" s="31"/>
      <c r="P39" s="33"/>
      <c r="Q39" s="33"/>
      <c r="R39" s="33"/>
      <c r="S39" s="58" t="s">
        <v>2</v>
      </c>
      <c r="T39" s="58" t="s">
        <v>2</v>
      </c>
      <c r="U39" s="31"/>
      <c r="V39" s="31"/>
      <c r="W39" s="31"/>
      <c r="X39" s="33"/>
      <c r="Y39" s="33"/>
      <c r="Z39" s="33"/>
      <c r="AA39" s="58" t="s">
        <v>2</v>
      </c>
      <c r="AB39" s="58" t="s">
        <v>2</v>
      </c>
      <c r="AC39" s="31"/>
      <c r="AD39" s="31"/>
      <c r="AE39" s="1"/>
      <c r="AF39" s="1"/>
      <c r="AH39" s="16">
        <f t="shared" si="3"/>
        <v>0</v>
      </c>
      <c r="AI39" s="16">
        <f t="shared" si="4"/>
        <v>0</v>
      </c>
    </row>
    <row r="40" spans="1:35" ht="20.100000000000001" hidden="1" customHeight="1">
      <c r="A40" s="18" t="str">
        <f>ÖSSZES!$A$38</f>
        <v>Név13</v>
      </c>
      <c r="B40" s="33"/>
      <c r="C40" s="58" t="s">
        <v>2</v>
      </c>
      <c r="D40" s="58" t="s">
        <v>2</v>
      </c>
      <c r="E40" s="31"/>
      <c r="F40" s="31"/>
      <c r="G40" s="31"/>
      <c r="H40" s="33"/>
      <c r="I40" s="33"/>
      <c r="J40" s="33"/>
      <c r="K40" s="58" t="s">
        <v>2</v>
      </c>
      <c r="L40" s="58" t="s">
        <v>2</v>
      </c>
      <c r="M40" s="31"/>
      <c r="N40" s="31"/>
      <c r="O40" s="31"/>
      <c r="P40" s="33"/>
      <c r="Q40" s="33"/>
      <c r="R40" s="33"/>
      <c r="S40" s="58" t="s">
        <v>2</v>
      </c>
      <c r="T40" s="58" t="s">
        <v>2</v>
      </c>
      <c r="U40" s="31"/>
      <c r="V40" s="31"/>
      <c r="W40" s="31"/>
      <c r="X40" s="33"/>
      <c r="Y40" s="33"/>
      <c r="Z40" s="33"/>
      <c r="AA40" s="58" t="s">
        <v>2</v>
      </c>
      <c r="AB40" s="58" t="s">
        <v>2</v>
      </c>
      <c r="AC40" s="31"/>
      <c r="AD40" s="31"/>
      <c r="AE40" s="1"/>
      <c r="AF40" s="1"/>
      <c r="AH40" s="16">
        <f t="shared" si="3"/>
        <v>0</v>
      </c>
      <c r="AI40" s="16">
        <f t="shared" si="4"/>
        <v>0</v>
      </c>
    </row>
    <row r="41" spans="1:35" ht="20.100000000000001" hidden="1" customHeight="1">
      <c r="A41" s="18" t="str">
        <f>ÖSSZES!$A$39</f>
        <v>Név14</v>
      </c>
      <c r="B41" s="33"/>
      <c r="C41" s="58" t="s">
        <v>2</v>
      </c>
      <c r="D41" s="58" t="s">
        <v>2</v>
      </c>
      <c r="E41" s="31"/>
      <c r="F41" s="31"/>
      <c r="G41" s="31"/>
      <c r="H41" s="33"/>
      <c r="I41" s="33"/>
      <c r="J41" s="33"/>
      <c r="K41" s="58" t="s">
        <v>2</v>
      </c>
      <c r="L41" s="58" t="s">
        <v>2</v>
      </c>
      <c r="M41" s="31"/>
      <c r="N41" s="31"/>
      <c r="O41" s="31"/>
      <c r="P41" s="33"/>
      <c r="Q41" s="33"/>
      <c r="R41" s="33"/>
      <c r="S41" s="58" t="s">
        <v>2</v>
      </c>
      <c r="T41" s="58" t="s">
        <v>2</v>
      </c>
      <c r="U41" s="31"/>
      <c r="V41" s="31"/>
      <c r="W41" s="31"/>
      <c r="X41" s="33"/>
      <c r="Y41" s="33"/>
      <c r="Z41" s="33"/>
      <c r="AA41" s="58" t="s">
        <v>2</v>
      </c>
      <c r="AB41" s="58" t="s">
        <v>2</v>
      </c>
      <c r="AC41" s="31"/>
      <c r="AD41" s="31"/>
      <c r="AE41" s="1"/>
      <c r="AF41" s="1"/>
      <c r="AH41" s="16">
        <f t="shared" si="3"/>
        <v>0</v>
      </c>
      <c r="AI41" s="16">
        <f t="shared" si="4"/>
        <v>0</v>
      </c>
    </row>
    <row r="42" spans="1:35" ht="20.100000000000001" hidden="1" customHeight="1">
      <c r="A42" s="18" t="str">
        <f>ÖSSZES!$A$40</f>
        <v>Név15</v>
      </c>
      <c r="B42" s="33"/>
      <c r="C42" s="58" t="s">
        <v>2</v>
      </c>
      <c r="D42" s="58" t="s">
        <v>2</v>
      </c>
      <c r="E42" s="31"/>
      <c r="F42" s="31"/>
      <c r="G42" s="31"/>
      <c r="H42" s="33"/>
      <c r="I42" s="33"/>
      <c r="J42" s="33"/>
      <c r="K42" s="58" t="s">
        <v>2</v>
      </c>
      <c r="L42" s="58" t="s">
        <v>2</v>
      </c>
      <c r="M42" s="31"/>
      <c r="N42" s="31"/>
      <c r="O42" s="31"/>
      <c r="P42" s="33"/>
      <c r="Q42" s="33"/>
      <c r="R42" s="33"/>
      <c r="S42" s="58" t="s">
        <v>2</v>
      </c>
      <c r="T42" s="58" t="s">
        <v>2</v>
      </c>
      <c r="U42" s="31"/>
      <c r="V42" s="31"/>
      <c r="W42" s="31"/>
      <c r="X42" s="33"/>
      <c r="Y42" s="33"/>
      <c r="Z42" s="33"/>
      <c r="AA42" s="58" t="s">
        <v>2</v>
      </c>
      <c r="AB42" s="58" t="s">
        <v>2</v>
      </c>
      <c r="AC42" s="31"/>
      <c r="AD42" s="31"/>
      <c r="AE42" s="1"/>
      <c r="AF42" s="1"/>
      <c r="AH42" s="16">
        <f t="shared" si="3"/>
        <v>0</v>
      </c>
      <c r="AI42" s="16">
        <f t="shared" si="4"/>
        <v>0</v>
      </c>
    </row>
    <row r="43" spans="1:35" ht="20.100000000000001" hidden="1" customHeight="1">
      <c r="A43" s="18" t="str">
        <f>ÖSSZES!$A$41</f>
        <v>Név16</v>
      </c>
      <c r="B43" s="33"/>
      <c r="C43" s="58" t="s">
        <v>2</v>
      </c>
      <c r="D43" s="58" t="s">
        <v>2</v>
      </c>
      <c r="E43" s="31"/>
      <c r="F43" s="31"/>
      <c r="G43" s="31"/>
      <c r="H43" s="33"/>
      <c r="I43" s="33"/>
      <c r="J43" s="33"/>
      <c r="K43" s="58" t="s">
        <v>2</v>
      </c>
      <c r="L43" s="58" t="s">
        <v>2</v>
      </c>
      <c r="M43" s="31"/>
      <c r="N43" s="31"/>
      <c r="O43" s="31"/>
      <c r="P43" s="33"/>
      <c r="Q43" s="33"/>
      <c r="R43" s="33"/>
      <c r="S43" s="58" t="s">
        <v>2</v>
      </c>
      <c r="T43" s="58" t="s">
        <v>2</v>
      </c>
      <c r="U43" s="31"/>
      <c r="V43" s="31"/>
      <c r="W43" s="31"/>
      <c r="X43" s="33"/>
      <c r="Y43" s="33"/>
      <c r="Z43" s="33"/>
      <c r="AA43" s="58" t="s">
        <v>2</v>
      </c>
      <c r="AB43" s="58" t="s">
        <v>2</v>
      </c>
      <c r="AC43" s="31"/>
      <c r="AD43" s="31"/>
      <c r="AE43" s="1"/>
      <c r="AF43" s="1"/>
      <c r="AH43" s="16">
        <f t="shared" si="3"/>
        <v>0</v>
      </c>
      <c r="AI43" s="16">
        <f t="shared" si="4"/>
        <v>0</v>
      </c>
    </row>
    <row r="44" spans="1:35" ht="20.100000000000001" hidden="1" customHeight="1">
      <c r="A44" s="18" t="str">
        <f>ÖSSZES!$A$42</f>
        <v>Név17</v>
      </c>
      <c r="B44" s="33"/>
      <c r="C44" s="58" t="s">
        <v>2</v>
      </c>
      <c r="D44" s="58" t="s">
        <v>2</v>
      </c>
      <c r="E44" s="31"/>
      <c r="F44" s="31"/>
      <c r="G44" s="31"/>
      <c r="H44" s="33"/>
      <c r="I44" s="33"/>
      <c r="J44" s="33"/>
      <c r="K44" s="58" t="s">
        <v>2</v>
      </c>
      <c r="L44" s="58" t="s">
        <v>2</v>
      </c>
      <c r="M44" s="31"/>
      <c r="N44" s="31"/>
      <c r="O44" s="31"/>
      <c r="P44" s="33"/>
      <c r="Q44" s="33"/>
      <c r="R44" s="33"/>
      <c r="S44" s="58" t="s">
        <v>2</v>
      </c>
      <c r="T44" s="58" t="s">
        <v>2</v>
      </c>
      <c r="U44" s="31"/>
      <c r="V44" s="31"/>
      <c r="W44" s="31"/>
      <c r="X44" s="33"/>
      <c r="Y44" s="33"/>
      <c r="Z44" s="33"/>
      <c r="AA44" s="58" t="s">
        <v>2</v>
      </c>
      <c r="AB44" s="58" t="s">
        <v>2</v>
      </c>
      <c r="AC44" s="31"/>
      <c r="AD44" s="31"/>
      <c r="AE44" s="1"/>
      <c r="AF44" s="1"/>
      <c r="AH44" s="16">
        <f t="shared" si="3"/>
        <v>0</v>
      </c>
      <c r="AI44" s="16">
        <f t="shared" si="4"/>
        <v>0</v>
      </c>
    </row>
    <row r="45" spans="1:35" ht="20.100000000000001" hidden="1" customHeight="1">
      <c r="A45" s="18" t="str">
        <f>ÖSSZES!$A$43</f>
        <v>Név18</v>
      </c>
      <c r="B45" s="33"/>
      <c r="C45" s="58" t="s">
        <v>2</v>
      </c>
      <c r="D45" s="58" t="s">
        <v>2</v>
      </c>
      <c r="E45" s="31"/>
      <c r="F45" s="31"/>
      <c r="G45" s="31"/>
      <c r="H45" s="33"/>
      <c r="I45" s="33"/>
      <c r="J45" s="33"/>
      <c r="K45" s="58" t="s">
        <v>2</v>
      </c>
      <c r="L45" s="58" t="s">
        <v>2</v>
      </c>
      <c r="M45" s="31"/>
      <c r="N45" s="31"/>
      <c r="O45" s="31"/>
      <c r="P45" s="33"/>
      <c r="Q45" s="33"/>
      <c r="R45" s="33"/>
      <c r="S45" s="58" t="s">
        <v>2</v>
      </c>
      <c r="T45" s="58" t="s">
        <v>2</v>
      </c>
      <c r="U45" s="31"/>
      <c r="V45" s="31"/>
      <c r="W45" s="31"/>
      <c r="X45" s="33"/>
      <c r="Y45" s="33"/>
      <c r="Z45" s="33"/>
      <c r="AA45" s="58" t="s">
        <v>2</v>
      </c>
      <c r="AB45" s="58" t="s">
        <v>2</v>
      </c>
      <c r="AC45" s="31"/>
      <c r="AD45" s="31"/>
      <c r="AE45" s="1"/>
      <c r="AF45" s="1"/>
      <c r="AH45" s="16">
        <f t="shared" si="3"/>
        <v>0</v>
      </c>
      <c r="AI45" s="16">
        <f t="shared" si="4"/>
        <v>0</v>
      </c>
    </row>
    <row r="46" spans="1:35" ht="20.100000000000001" hidden="1" customHeight="1">
      <c r="A46" s="18" t="str">
        <f>ÖSSZES!$A$44</f>
        <v>Név19</v>
      </c>
      <c r="B46" s="33"/>
      <c r="C46" s="58" t="s">
        <v>2</v>
      </c>
      <c r="D46" s="58" t="s">
        <v>2</v>
      </c>
      <c r="E46" s="31"/>
      <c r="F46" s="31"/>
      <c r="G46" s="31"/>
      <c r="H46" s="33"/>
      <c r="I46" s="33"/>
      <c r="J46" s="33"/>
      <c r="K46" s="58" t="s">
        <v>2</v>
      </c>
      <c r="L46" s="58" t="s">
        <v>2</v>
      </c>
      <c r="M46" s="31"/>
      <c r="N46" s="31"/>
      <c r="O46" s="31"/>
      <c r="P46" s="33"/>
      <c r="Q46" s="33"/>
      <c r="R46" s="33"/>
      <c r="S46" s="58" t="s">
        <v>2</v>
      </c>
      <c r="T46" s="58" t="s">
        <v>2</v>
      </c>
      <c r="U46" s="31"/>
      <c r="V46" s="31"/>
      <c r="W46" s="31"/>
      <c r="X46" s="33"/>
      <c r="Y46" s="33"/>
      <c r="Z46" s="33"/>
      <c r="AA46" s="58" t="s">
        <v>2</v>
      </c>
      <c r="AB46" s="58" t="s">
        <v>2</v>
      </c>
      <c r="AC46" s="31"/>
      <c r="AD46" s="31"/>
      <c r="AE46" s="1"/>
      <c r="AF46" s="1"/>
      <c r="AH46" s="16">
        <f t="shared" si="3"/>
        <v>0</v>
      </c>
      <c r="AI46" s="16">
        <f t="shared" si="4"/>
        <v>0</v>
      </c>
    </row>
    <row r="47" spans="1:35" ht="20.100000000000001" hidden="1" customHeight="1">
      <c r="A47" s="18" t="str">
        <f>ÖSSZES!$A$45</f>
        <v>Név20</v>
      </c>
      <c r="B47" s="33"/>
      <c r="C47" s="58" t="s">
        <v>2</v>
      </c>
      <c r="D47" s="58" t="s">
        <v>2</v>
      </c>
      <c r="E47" s="31"/>
      <c r="F47" s="31"/>
      <c r="G47" s="31"/>
      <c r="H47" s="33"/>
      <c r="I47" s="33"/>
      <c r="J47" s="33"/>
      <c r="K47" s="58" t="s">
        <v>2</v>
      </c>
      <c r="L47" s="58" t="s">
        <v>2</v>
      </c>
      <c r="M47" s="31"/>
      <c r="N47" s="31"/>
      <c r="O47" s="31"/>
      <c r="P47" s="33"/>
      <c r="Q47" s="33"/>
      <c r="R47" s="33"/>
      <c r="S47" s="58" t="s">
        <v>2</v>
      </c>
      <c r="T47" s="58" t="s">
        <v>2</v>
      </c>
      <c r="U47" s="31"/>
      <c r="V47" s="31"/>
      <c r="W47" s="31"/>
      <c r="X47" s="33"/>
      <c r="Y47" s="33"/>
      <c r="Z47" s="33"/>
      <c r="AA47" s="58" t="s">
        <v>2</v>
      </c>
      <c r="AB47" s="58" t="s">
        <v>2</v>
      </c>
      <c r="AC47" s="31"/>
      <c r="AD47" s="31"/>
      <c r="AE47" s="1"/>
      <c r="AF47" s="1"/>
      <c r="AH47" s="16">
        <f t="shared" si="3"/>
        <v>0</v>
      </c>
      <c r="AI47" s="16">
        <f t="shared" si="4"/>
        <v>0</v>
      </c>
    </row>
    <row r="48" spans="1:35" ht="20.100000000000001" customHeight="1"/>
    <row r="49" spans="1:35" s="6" customFormat="1" ht="20.100000000000001" customHeight="1">
      <c r="A49" s="91" t="s">
        <v>7</v>
      </c>
      <c r="B49" s="17">
        <v>1</v>
      </c>
      <c r="C49" s="17">
        <v>2</v>
      </c>
      <c r="D49" s="17">
        <v>3</v>
      </c>
      <c r="E49" s="17">
        <v>4</v>
      </c>
      <c r="F49" s="17">
        <v>5</v>
      </c>
      <c r="G49" s="17">
        <v>6</v>
      </c>
      <c r="H49" s="17">
        <v>7</v>
      </c>
      <c r="I49" s="17">
        <v>8</v>
      </c>
      <c r="J49" s="17">
        <v>9</v>
      </c>
      <c r="K49" s="17">
        <v>10</v>
      </c>
      <c r="L49" s="17">
        <v>11</v>
      </c>
      <c r="M49" s="17">
        <v>12</v>
      </c>
      <c r="N49" s="17">
        <v>13</v>
      </c>
      <c r="O49" s="17">
        <v>14</v>
      </c>
      <c r="P49" s="32">
        <v>15</v>
      </c>
      <c r="Q49" s="17">
        <v>16</v>
      </c>
      <c r="R49" s="17">
        <v>17</v>
      </c>
      <c r="S49" s="17">
        <v>18</v>
      </c>
      <c r="T49" s="17">
        <v>19</v>
      </c>
      <c r="U49" s="17">
        <v>20</v>
      </c>
      <c r="V49" s="17">
        <v>21</v>
      </c>
      <c r="W49" s="17">
        <v>22</v>
      </c>
      <c r="X49" s="17">
        <v>23</v>
      </c>
      <c r="Y49" s="17">
        <v>24</v>
      </c>
      <c r="Z49" s="17">
        <v>25</v>
      </c>
      <c r="AA49" s="17">
        <v>26</v>
      </c>
      <c r="AB49" s="17">
        <v>27</v>
      </c>
      <c r="AC49" s="17">
        <v>28</v>
      </c>
      <c r="AD49" s="17">
        <v>29</v>
      </c>
      <c r="AE49" s="17">
        <v>30</v>
      </c>
      <c r="AF49" s="17">
        <v>31</v>
      </c>
      <c r="AH49" s="93" t="s">
        <v>18</v>
      </c>
      <c r="AI49" s="93" t="s">
        <v>19</v>
      </c>
    </row>
    <row r="50" spans="1:35" ht="20.100000000000001" customHeight="1">
      <c r="A50" s="92"/>
      <c r="B50" s="10" t="str">
        <f>'2020'!B20</f>
        <v>V</v>
      </c>
      <c r="C50" s="10" t="str">
        <f>'2020'!C20</f>
        <v>H</v>
      </c>
      <c r="D50" s="10" t="str">
        <f>'2020'!D20</f>
        <v>K</v>
      </c>
      <c r="E50" s="10" t="str">
        <f>'2020'!E20</f>
        <v>Sze</v>
      </c>
      <c r="F50" s="10" t="str">
        <f>'2020'!F20</f>
        <v>Cs</v>
      </c>
      <c r="G50" s="10" t="str">
        <f>'2020'!G20</f>
        <v>P</v>
      </c>
      <c r="H50" s="10" t="str">
        <f>'2020'!H20</f>
        <v>Szo</v>
      </c>
      <c r="I50" s="10" t="str">
        <f>'2020'!I20</f>
        <v>V</v>
      </c>
      <c r="J50" s="10" t="str">
        <f>'2020'!J20</f>
        <v>H</v>
      </c>
      <c r="K50" s="10" t="str">
        <f>'2020'!K20</f>
        <v>K</v>
      </c>
      <c r="L50" s="10" t="str">
        <f>'2020'!L20</f>
        <v>Sze</v>
      </c>
      <c r="M50" s="10" t="str">
        <f>'2020'!M20</f>
        <v>Cs</v>
      </c>
      <c r="N50" s="10" t="str">
        <f>'2020'!N20</f>
        <v>P</v>
      </c>
      <c r="O50" s="10" t="str">
        <f>'2020'!O20</f>
        <v>Szo</v>
      </c>
      <c r="P50" s="10" t="str">
        <f>'2020'!P20</f>
        <v>V</v>
      </c>
      <c r="Q50" s="10" t="str">
        <f>'2020'!Q20</f>
        <v>H</v>
      </c>
      <c r="R50" s="10" t="str">
        <f>'2020'!R20</f>
        <v>K</v>
      </c>
      <c r="S50" s="10" t="str">
        <f>'2020'!S20</f>
        <v>Sze</v>
      </c>
      <c r="T50" s="10" t="str">
        <f>'2020'!T20</f>
        <v>Cs</v>
      </c>
      <c r="U50" s="10" t="str">
        <f>'2020'!U20</f>
        <v>P</v>
      </c>
      <c r="V50" s="10" t="str">
        <f>'2020'!V20</f>
        <v>Szo</v>
      </c>
      <c r="W50" s="10" t="str">
        <f>'2020'!W20</f>
        <v>V</v>
      </c>
      <c r="X50" s="10" t="str">
        <f>'2020'!X20</f>
        <v>H</v>
      </c>
      <c r="Y50" s="10" t="str">
        <f>'2020'!Y20</f>
        <v>K</v>
      </c>
      <c r="Z50" s="10" t="str">
        <f>'2020'!Z20</f>
        <v>Sze</v>
      </c>
      <c r="AA50" s="10" t="str">
        <f>'2020'!AA20</f>
        <v>Cs</v>
      </c>
      <c r="AB50" s="10" t="str">
        <f>'2020'!AB20</f>
        <v>P</v>
      </c>
      <c r="AC50" s="10" t="str">
        <f>'2020'!AC20</f>
        <v>Szo</v>
      </c>
      <c r="AD50" s="10" t="str">
        <f>'2020'!AD20</f>
        <v>V</v>
      </c>
      <c r="AE50" s="10" t="str">
        <f>'2020'!AE20</f>
        <v>H</v>
      </c>
      <c r="AF50" s="10" t="str">
        <f>'2020'!AF20</f>
        <v>K</v>
      </c>
      <c r="AH50" s="94"/>
      <c r="AI50" s="94"/>
    </row>
    <row r="51" spans="1:35" ht="20.100000000000001" customHeight="1">
      <c r="A51" s="92"/>
      <c r="B51" s="10">
        <f>'2020'!B22</f>
        <v>2</v>
      </c>
      <c r="C51" s="10">
        <f>'2020'!C22</f>
        <v>2</v>
      </c>
      <c r="D51" s="10">
        <f>'2020'!D22</f>
        <v>2</v>
      </c>
      <c r="E51" s="10">
        <f>'2020'!E22</f>
        <v>2</v>
      </c>
      <c r="F51" s="10" t="str">
        <f>'2020'!F22</f>
        <v>X</v>
      </c>
      <c r="G51" s="10" t="str">
        <f>'2020'!G22</f>
        <v>X</v>
      </c>
      <c r="H51" s="10">
        <f>'2020'!H22</f>
        <v>1</v>
      </c>
      <c r="I51" s="10">
        <f>'2020'!I22</f>
        <v>1</v>
      </c>
      <c r="J51" s="10">
        <f>'2020'!J22</f>
        <v>1</v>
      </c>
      <c r="K51" s="10">
        <f>'2020'!K22</f>
        <v>1</v>
      </c>
      <c r="L51" s="10">
        <f>'2020'!L22</f>
        <v>1</v>
      </c>
      <c r="M51" s="10">
        <f>'2020'!M22</f>
        <v>1</v>
      </c>
      <c r="N51" s="10" t="str">
        <f>'2020'!N22</f>
        <v>X</v>
      </c>
      <c r="O51" s="10" t="str">
        <f>'2020'!O22</f>
        <v>X</v>
      </c>
      <c r="P51" s="10">
        <f>'2020'!P22</f>
        <v>3</v>
      </c>
      <c r="Q51" s="10">
        <f>'2020'!Q22</f>
        <v>3</v>
      </c>
      <c r="R51" s="10">
        <f>'2020'!R22</f>
        <v>3</v>
      </c>
      <c r="S51" s="10">
        <f>'2020'!S22</f>
        <v>3</v>
      </c>
      <c r="T51" s="10">
        <f>'2020'!T22</f>
        <v>3</v>
      </c>
      <c r="U51" s="10">
        <f>'2020'!U22</f>
        <v>3</v>
      </c>
      <c r="V51" s="10" t="str">
        <f>'2020'!V22</f>
        <v>X</v>
      </c>
      <c r="W51" s="10" t="str">
        <f>'2020'!W22</f>
        <v>X</v>
      </c>
      <c r="X51" s="10">
        <f>'2020'!X22</f>
        <v>2</v>
      </c>
      <c r="Y51" s="10">
        <f>'2020'!Y22</f>
        <v>2</v>
      </c>
      <c r="Z51" s="10">
        <f>'2020'!Z22</f>
        <v>2</v>
      </c>
      <c r="AA51" s="10">
        <f>'2020'!AA22</f>
        <v>2</v>
      </c>
      <c r="AB51" s="10">
        <f>'2020'!AB22</f>
        <v>2</v>
      </c>
      <c r="AC51" s="10">
        <f>'2020'!AC22</f>
        <v>2</v>
      </c>
      <c r="AD51" s="10" t="str">
        <f>'2020'!AD22</f>
        <v>X</v>
      </c>
      <c r="AE51" s="10" t="str">
        <f>'2020'!AE22</f>
        <v>X</v>
      </c>
      <c r="AF51" s="10">
        <f>'2020'!AF22</f>
        <v>1</v>
      </c>
      <c r="AH51" s="94"/>
      <c r="AI51" s="94"/>
    </row>
    <row r="52" spans="1:35" ht="20.100000000000001" customHeight="1">
      <c r="A52" s="18" t="str">
        <f>ÖSSZES!$A$26</f>
        <v>Katona László</v>
      </c>
      <c r="B52" s="33"/>
      <c r="C52" s="33"/>
      <c r="D52" s="33"/>
      <c r="E52" s="33"/>
      <c r="F52" s="58" t="s">
        <v>2</v>
      </c>
      <c r="G52" s="58" t="s">
        <v>2</v>
      </c>
      <c r="H52" s="33" t="s">
        <v>114</v>
      </c>
      <c r="I52" s="33" t="s">
        <v>20</v>
      </c>
      <c r="J52" s="33"/>
      <c r="K52" s="33"/>
      <c r="L52" s="33"/>
      <c r="M52" s="33"/>
      <c r="N52" s="58" t="s">
        <v>2</v>
      </c>
      <c r="O52" s="58" t="s">
        <v>2</v>
      </c>
      <c r="P52" s="59"/>
      <c r="Q52" s="33"/>
      <c r="R52" s="33"/>
      <c r="S52" s="33"/>
      <c r="T52" s="33"/>
      <c r="U52" s="33"/>
      <c r="V52" s="58" t="s">
        <v>2</v>
      </c>
      <c r="W52" s="58" t="s">
        <v>2</v>
      </c>
      <c r="X52" s="33"/>
      <c r="Y52" s="33"/>
      <c r="Z52" s="33"/>
      <c r="AA52" s="33"/>
      <c r="AB52" s="33"/>
      <c r="AC52" s="33"/>
      <c r="AD52" s="58" t="s">
        <v>2</v>
      </c>
      <c r="AE52" s="58" t="s">
        <v>2</v>
      </c>
      <c r="AF52" s="33"/>
      <c r="AH52" s="16">
        <f>1*COUNTIF(A52:AF52,"+")</f>
        <v>1</v>
      </c>
      <c r="AI52" s="16">
        <f t="shared" ref="AI52" si="5">1*COUNTIF(B52:AF52,"szf")</f>
        <v>1</v>
      </c>
    </row>
    <row r="53" spans="1:35" ht="20.100000000000001" customHeight="1">
      <c r="A53" s="18" t="str">
        <f>ÖSSZES!$A$27</f>
        <v>Kiss János Tamás</v>
      </c>
      <c r="B53" s="33"/>
      <c r="C53" s="33"/>
      <c r="D53" s="33"/>
      <c r="E53" s="33"/>
      <c r="F53" s="58" t="s">
        <v>2</v>
      </c>
      <c r="G53" s="58" t="s">
        <v>2</v>
      </c>
      <c r="H53" s="33"/>
      <c r="I53" s="33"/>
      <c r="J53" s="33"/>
      <c r="K53" s="33"/>
      <c r="L53" s="33"/>
      <c r="M53" s="33"/>
      <c r="N53" s="58" t="s">
        <v>2</v>
      </c>
      <c r="O53" s="58" t="s">
        <v>2</v>
      </c>
      <c r="P53" s="59"/>
      <c r="Q53" s="33"/>
      <c r="R53" s="33"/>
      <c r="S53" s="33"/>
      <c r="T53" s="33"/>
      <c r="U53" s="33" t="s">
        <v>114</v>
      </c>
      <c r="V53" s="58" t="s">
        <v>2</v>
      </c>
      <c r="W53" s="58" t="s">
        <v>2</v>
      </c>
      <c r="X53" s="33"/>
      <c r="Y53" s="33"/>
      <c r="Z53" s="33"/>
      <c r="AA53" s="33" t="s">
        <v>20</v>
      </c>
      <c r="AB53" s="33" t="s">
        <v>20</v>
      </c>
      <c r="AC53" s="33" t="s">
        <v>20</v>
      </c>
      <c r="AD53" s="58" t="s">
        <v>2</v>
      </c>
      <c r="AE53" s="58" t="s">
        <v>2</v>
      </c>
      <c r="AF53" s="33"/>
      <c r="AH53" s="16">
        <f t="shared" ref="AH53:AH71" si="6">1*COUNTIF(A53:AF53,"+")</f>
        <v>1</v>
      </c>
      <c r="AI53" s="16">
        <f t="shared" ref="AI53:AI71" si="7">1*COUNTIF(B53:AF53,"szf")</f>
        <v>3</v>
      </c>
    </row>
    <row r="54" spans="1:35" ht="20.100000000000001" customHeight="1">
      <c r="A54" s="18" t="str">
        <f>ÖSSZES!$A$28</f>
        <v>Habara Gábor</v>
      </c>
      <c r="B54" s="33" t="s">
        <v>114</v>
      </c>
      <c r="C54" s="33"/>
      <c r="D54" s="33"/>
      <c r="E54" s="33"/>
      <c r="F54" s="58" t="s">
        <v>2</v>
      </c>
      <c r="G54" s="58" t="s">
        <v>2</v>
      </c>
      <c r="H54" s="33"/>
      <c r="I54" s="33"/>
      <c r="J54" s="33"/>
      <c r="K54" s="33"/>
      <c r="L54" s="33"/>
      <c r="M54" s="33"/>
      <c r="N54" s="58" t="s">
        <v>2</v>
      </c>
      <c r="O54" s="58" t="s">
        <v>2</v>
      </c>
      <c r="P54" s="59"/>
      <c r="Q54" s="33"/>
      <c r="R54" s="33"/>
      <c r="S54" s="33"/>
      <c r="T54" s="33"/>
      <c r="U54" s="33"/>
      <c r="V54" s="58" t="s">
        <v>2</v>
      </c>
      <c r="W54" s="58" t="s">
        <v>2</v>
      </c>
      <c r="X54" s="33"/>
      <c r="Y54" s="33"/>
      <c r="Z54" s="33"/>
      <c r="AA54" s="33"/>
      <c r="AB54" s="33"/>
      <c r="AC54" s="33"/>
      <c r="AD54" s="58" t="s">
        <v>2</v>
      </c>
      <c r="AE54" s="58" t="s">
        <v>2</v>
      </c>
      <c r="AF54" s="33"/>
      <c r="AH54" s="16">
        <f t="shared" si="6"/>
        <v>1</v>
      </c>
      <c r="AI54" s="16">
        <f t="shared" si="7"/>
        <v>0</v>
      </c>
    </row>
    <row r="55" spans="1:35" ht="20.100000000000001" customHeight="1">
      <c r="A55" s="18" t="str">
        <f>ÖSSZES!$A$29</f>
        <v>Holba Imre</v>
      </c>
      <c r="B55" s="33"/>
      <c r="C55" s="33"/>
      <c r="D55" s="33"/>
      <c r="E55" s="33"/>
      <c r="F55" s="58" t="s">
        <v>2</v>
      </c>
      <c r="G55" s="58" t="s">
        <v>2</v>
      </c>
      <c r="H55" s="33" t="s">
        <v>20</v>
      </c>
      <c r="I55" s="33"/>
      <c r="J55" s="33" t="s">
        <v>20</v>
      </c>
      <c r="K55" s="33"/>
      <c r="L55" s="33"/>
      <c r="M55" s="33"/>
      <c r="N55" s="58" t="s">
        <v>2</v>
      </c>
      <c r="O55" s="58" t="s">
        <v>2</v>
      </c>
      <c r="P55" s="59" t="s">
        <v>20</v>
      </c>
      <c r="Q55" s="33"/>
      <c r="R55" s="33"/>
      <c r="S55" s="33"/>
      <c r="T55" s="33"/>
      <c r="U55" s="33" t="s">
        <v>116</v>
      </c>
      <c r="V55" s="58" t="s">
        <v>2</v>
      </c>
      <c r="W55" s="58" t="s">
        <v>2</v>
      </c>
      <c r="X55" s="33" t="s">
        <v>116</v>
      </c>
      <c r="Y55" s="33" t="s">
        <v>116</v>
      </c>
      <c r="Z55" s="33" t="s">
        <v>116</v>
      </c>
      <c r="AA55" s="33" t="s">
        <v>116</v>
      </c>
      <c r="AB55" s="33" t="s">
        <v>116</v>
      </c>
      <c r="AC55" s="33" t="s">
        <v>116</v>
      </c>
      <c r="AD55" s="58" t="s">
        <v>2</v>
      </c>
      <c r="AE55" s="58" t="s">
        <v>2</v>
      </c>
      <c r="AF55" s="33" t="s">
        <v>116</v>
      </c>
      <c r="AH55" s="16">
        <f t="shared" si="6"/>
        <v>0</v>
      </c>
      <c r="AI55" s="16">
        <f t="shared" si="7"/>
        <v>3</v>
      </c>
    </row>
    <row r="56" spans="1:35" ht="20.100000000000001" customHeight="1">
      <c r="A56" s="18" t="str">
        <f>ÖSSZES!$A$30</f>
        <v>Keresztes Gyula</v>
      </c>
      <c r="B56" s="33"/>
      <c r="C56" s="33"/>
      <c r="D56" s="33"/>
      <c r="E56" s="33"/>
      <c r="F56" s="58" t="s">
        <v>2</v>
      </c>
      <c r="G56" s="58" t="s">
        <v>2</v>
      </c>
      <c r="H56" s="33"/>
      <c r="I56" s="33"/>
      <c r="J56" s="33"/>
      <c r="K56" s="33"/>
      <c r="L56" s="33"/>
      <c r="M56" s="33"/>
      <c r="N56" s="58" t="s">
        <v>2</v>
      </c>
      <c r="O56" s="58" t="s">
        <v>2</v>
      </c>
      <c r="P56" s="59"/>
      <c r="Q56" s="33"/>
      <c r="R56" s="33"/>
      <c r="S56" s="33"/>
      <c r="T56" s="33"/>
      <c r="U56" s="33"/>
      <c r="V56" s="58" t="s">
        <v>2</v>
      </c>
      <c r="W56" s="58" t="s">
        <v>2</v>
      </c>
      <c r="X56" s="33" t="s">
        <v>116</v>
      </c>
      <c r="Y56" s="33" t="s">
        <v>116</v>
      </c>
      <c r="Z56" s="33" t="s">
        <v>116</v>
      </c>
      <c r="AA56" s="33" t="s">
        <v>116</v>
      </c>
      <c r="AB56" s="33" t="s">
        <v>116</v>
      </c>
      <c r="AC56" s="33" t="s">
        <v>116</v>
      </c>
      <c r="AD56" s="58" t="s">
        <v>2</v>
      </c>
      <c r="AE56" s="58" t="s">
        <v>2</v>
      </c>
      <c r="AF56" s="33" t="s">
        <v>116</v>
      </c>
      <c r="AH56" s="16">
        <f t="shared" si="6"/>
        <v>0</v>
      </c>
      <c r="AI56" s="16">
        <f t="shared" si="7"/>
        <v>0</v>
      </c>
    </row>
    <row r="57" spans="1:35" ht="20.100000000000001" customHeight="1">
      <c r="A57" s="18" t="str">
        <f>ÖSSZES!$A$31</f>
        <v>Király Bálint Donát</v>
      </c>
      <c r="B57" s="33"/>
      <c r="C57" s="33"/>
      <c r="D57" s="33"/>
      <c r="E57" s="33"/>
      <c r="F57" s="58" t="s">
        <v>2</v>
      </c>
      <c r="G57" s="58" t="s">
        <v>2</v>
      </c>
      <c r="H57" s="33"/>
      <c r="I57" s="33"/>
      <c r="J57" s="33"/>
      <c r="K57" s="33"/>
      <c r="L57" s="33" t="s">
        <v>114</v>
      </c>
      <c r="M57" s="33" t="s">
        <v>20</v>
      </c>
      <c r="N57" s="58" t="s">
        <v>2</v>
      </c>
      <c r="O57" s="58" t="s">
        <v>2</v>
      </c>
      <c r="P57" s="59" t="s">
        <v>20</v>
      </c>
      <c r="Q57" s="33"/>
      <c r="R57" s="33"/>
      <c r="S57" s="33"/>
      <c r="T57" s="33"/>
      <c r="U57" s="33"/>
      <c r="V57" s="58" t="s">
        <v>2</v>
      </c>
      <c r="W57" s="58" t="s">
        <v>2</v>
      </c>
      <c r="X57" s="33"/>
      <c r="Y57" s="33"/>
      <c r="Z57" s="33"/>
      <c r="AA57" s="33"/>
      <c r="AB57" s="33"/>
      <c r="AC57" s="33"/>
      <c r="AD57" s="58" t="s">
        <v>2</v>
      </c>
      <c r="AE57" s="58" t="s">
        <v>2</v>
      </c>
      <c r="AF57" s="33"/>
      <c r="AH57" s="16">
        <f t="shared" si="6"/>
        <v>1</v>
      </c>
      <c r="AI57" s="16">
        <f t="shared" si="7"/>
        <v>2</v>
      </c>
    </row>
    <row r="58" spans="1:35" ht="20.100000000000001" customHeight="1">
      <c r="A58" s="18" t="str">
        <f>ÖSSZES!$A$32</f>
        <v>Mezei Lajos</v>
      </c>
      <c r="B58" s="33"/>
      <c r="C58" s="33"/>
      <c r="D58" s="33"/>
      <c r="E58" s="33"/>
      <c r="F58" s="58" t="s">
        <v>2</v>
      </c>
      <c r="G58" s="58" t="s">
        <v>2</v>
      </c>
      <c r="H58" s="33"/>
      <c r="I58" s="33"/>
      <c r="J58" s="33"/>
      <c r="K58" s="33"/>
      <c r="L58" s="33"/>
      <c r="M58" s="33"/>
      <c r="N58" s="58" t="s">
        <v>2</v>
      </c>
      <c r="O58" s="58" t="s">
        <v>2</v>
      </c>
      <c r="P58" s="59"/>
      <c r="Q58" s="33"/>
      <c r="R58" s="33"/>
      <c r="S58" s="33"/>
      <c r="T58" s="33"/>
      <c r="U58" s="33"/>
      <c r="V58" s="58" t="s">
        <v>2</v>
      </c>
      <c r="W58" s="58" t="s">
        <v>2</v>
      </c>
      <c r="X58" s="33"/>
      <c r="Y58" s="33"/>
      <c r="Z58" s="33"/>
      <c r="AA58" s="33"/>
      <c r="AB58" s="33"/>
      <c r="AC58" s="33"/>
      <c r="AD58" s="58" t="s">
        <v>2</v>
      </c>
      <c r="AE58" s="58" t="s">
        <v>2</v>
      </c>
      <c r="AF58" s="33"/>
      <c r="AH58" s="16">
        <f t="shared" si="6"/>
        <v>0</v>
      </c>
      <c r="AI58" s="16">
        <f t="shared" si="7"/>
        <v>0</v>
      </c>
    </row>
    <row r="59" spans="1:35" ht="20.100000000000001" hidden="1" customHeight="1">
      <c r="A59" s="18" t="str">
        <f>ÖSSZES!$A$33</f>
        <v>Fényi László</v>
      </c>
      <c r="B59" s="33"/>
      <c r="C59" s="33"/>
      <c r="D59" s="33"/>
      <c r="E59" s="33"/>
      <c r="F59" s="58" t="s">
        <v>2</v>
      </c>
      <c r="G59" s="58" t="s">
        <v>2</v>
      </c>
      <c r="H59" s="33"/>
      <c r="I59" s="33"/>
      <c r="J59" s="33"/>
      <c r="K59" s="33"/>
      <c r="L59" s="33"/>
      <c r="M59" s="33"/>
      <c r="N59" s="58" t="s">
        <v>2</v>
      </c>
      <c r="O59" s="58" t="s">
        <v>2</v>
      </c>
      <c r="P59" s="59"/>
      <c r="Q59" s="33"/>
      <c r="R59" s="33"/>
      <c r="S59" s="33"/>
      <c r="T59" s="33"/>
      <c r="U59" s="33"/>
      <c r="V59" s="58" t="s">
        <v>2</v>
      </c>
      <c r="W59" s="58" t="s">
        <v>2</v>
      </c>
      <c r="X59" s="33"/>
      <c r="Y59" s="33"/>
      <c r="Z59" s="33"/>
      <c r="AA59" s="33"/>
      <c r="AB59" s="33"/>
      <c r="AC59" s="33"/>
      <c r="AD59" s="58" t="s">
        <v>2</v>
      </c>
      <c r="AE59" s="58" t="s">
        <v>2</v>
      </c>
      <c r="AF59" s="33"/>
      <c r="AH59" s="16">
        <f t="shared" si="6"/>
        <v>0</v>
      </c>
      <c r="AI59" s="16">
        <f t="shared" si="7"/>
        <v>0</v>
      </c>
    </row>
    <row r="60" spans="1:35" ht="20.100000000000001" hidden="1" customHeight="1">
      <c r="A60" s="18" t="str">
        <f>ÖSSZES!$A$34</f>
        <v>Név9</v>
      </c>
      <c r="B60" s="33"/>
      <c r="C60" s="33"/>
      <c r="D60" s="33"/>
      <c r="E60" s="33"/>
      <c r="F60" s="58" t="s">
        <v>2</v>
      </c>
      <c r="G60" s="58" t="s">
        <v>2</v>
      </c>
      <c r="H60" s="33"/>
      <c r="I60" s="33"/>
      <c r="J60" s="33"/>
      <c r="K60" s="33"/>
      <c r="L60" s="33"/>
      <c r="M60" s="33"/>
      <c r="N60" s="58" t="s">
        <v>2</v>
      </c>
      <c r="O60" s="58" t="s">
        <v>2</v>
      </c>
      <c r="P60" s="59"/>
      <c r="Q60" s="33"/>
      <c r="R60" s="33"/>
      <c r="S60" s="33"/>
      <c r="T60" s="33"/>
      <c r="U60" s="33"/>
      <c r="V60" s="58" t="s">
        <v>2</v>
      </c>
      <c r="W60" s="58" t="s">
        <v>2</v>
      </c>
      <c r="X60" s="33"/>
      <c r="Y60" s="33"/>
      <c r="Z60" s="33"/>
      <c r="AA60" s="33"/>
      <c r="AB60" s="33"/>
      <c r="AC60" s="33"/>
      <c r="AD60" s="58" t="s">
        <v>2</v>
      </c>
      <c r="AE60" s="58" t="s">
        <v>2</v>
      </c>
      <c r="AF60" s="33"/>
      <c r="AH60" s="16">
        <f t="shared" si="6"/>
        <v>0</v>
      </c>
      <c r="AI60" s="16">
        <f t="shared" si="7"/>
        <v>0</v>
      </c>
    </row>
    <row r="61" spans="1:35" ht="20.100000000000001" hidden="1" customHeight="1">
      <c r="A61" s="18" t="str">
        <f>ÖSSZES!$A$35</f>
        <v>Név10</v>
      </c>
      <c r="B61" s="33"/>
      <c r="C61" s="33"/>
      <c r="D61" s="33"/>
      <c r="E61" s="33"/>
      <c r="F61" s="58" t="s">
        <v>2</v>
      </c>
      <c r="G61" s="58" t="s">
        <v>2</v>
      </c>
      <c r="H61" s="33"/>
      <c r="I61" s="33"/>
      <c r="J61" s="33"/>
      <c r="K61" s="33"/>
      <c r="L61" s="33"/>
      <c r="M61" s="33"/>
      <c r="N61" s="58" t="s">
        <v>2</v>
      </c>
      <c r="O61" s="58" t="s">
        <v>2</v>
      </c>
      <c r="P61" s="59"/>
      <c r="Q61" s="33"/>
      <c r="R61" s="33"/>
      <c r="S61" s="33"/>
      <c r="T61" s="33"/>
      <c r="U61" s="33"/>
      <c r="V61" s="58" t="s">
        <v>2</v>
      </c>
      <c r="W61" s="58" t="s">
        <v>2</v>
      </c>
      <c r="X61" s="33"/>
      <c r="Y61" s="33"/>
      <c r="Z61" s="33"/>
      <c r="AA61" s="33"/>
      <c r="AB61" s="33"/>
      <c r="AC61" s="33"/>
      <c r="AD61" s="58" t="s">
        <v>2</v>
      </c>
      <c r="AE61" s="58" t="s">
        <v>2</v>
      </c>
      <c r="AF61" s="33"/>
      <c r="AH61" s="16">
        <f t="shared" si="6"/>
        <v>0</v>
      </c>
      <c r="AI61" s="16">
        <f t="shared" si="7"/>
        <v>0</v>
      </c>
    </row>
    <row r="62" spans="1:35" ht="20.100000000000001" hidden="1" customHeight="1">
      <c r="A62" s="18" t="str">
        <f>ÖSSZES!$A$36</f>
        <v>Név11</v>
      </c>
      <c r="B62" s="33"/>
      <c r="C62" s="33"/>
      <c r="D62" s="33"/>
      <c r="E62" s="33"/>
      <c r="F62" s="58" t="s">
        <v>2</v>
      </c>
      <c r="G62" s="58" t="s">
        <v>2</v>
      </c>
      <c r="H62" s="33"/>
      <c r="I62" s="33"/>
      <c r="J62" s="33"/>
      <c r="K62" s="33"/>
      <c r="L62" s="33"/>
      <c r="M62" s="33"/>
      <c r="N62" s="58" t="s">
        <v>2</v>
      </c>
      <c r="O62" s="58" t="s">
        <v>2</v>
      </c>
      <c r="P62" s="59"/>
      <c r="Q62" s="33"/>
      <c r="R62" s="33"/>
      <c r="S62" s="33"/>
      <c r="T62" s="33"/>
      <c r="U62" s="33"/>
      <c r="V62" s="58" t="s">
        <v>2</v>
      </c>
      <c r="W62" s="58" t="s">
        <v>2</v>
      </c>
      <c r="X62" s="33"/>
      <c r="Y62" s="33"/>
      <c r="Z62" s="33"/>
      <c r="AA62" s="33"/>
      <c r="AB62" s="33"/>
      <c r="AC62" s="33"/>
      <c r="AD62" s="58" t="s">
        <v>2</v>
      </c>
      <c r="AE62" s="58" t="s">
        <v>2</v>
      </c>
      <c r="AF62" s="33"/>
      <c r="AH62" s="16">
        <f t="shared" si="6"/>
        <v>0</v>
      </c>
      <c r="AI62" s="16">
        <f t="shared" si="7"/>
        <v>0</v>
      </c>
    </row>
    <row r="63" spans="1:35" ht="20.100000000000001" hidden="1" customHeight="1">
      <c r="A63" s="18" t="str">
        <f>ÖSSZES!$A$37</f>
        <v>Név12</v>
      </c>
      <c r="B63" s="33"/>
      <c r="C63" s="33"/>
      <c r="D63" s="33"/>
      <c r="E63" s="33"/>
      <c r="F63" s="58" t="s">
        <v>2</v>
      </c>
      <c r="G63" s="58" t="s">
        <v>2</v>
      </c>
      <c r="H63" s="33"/>
      <c r="I63" s="33"/>
      <c r="J63" s="33"/>
      <c r="K63" s="33"/>
      <c r="L63" s="33"/>
      <c r="M63" s="33"/>
      <c r="N63" s="58" t="s">
        <v>2</v>
      </c>
      <c r="O63" s="58" t="s">
        <v>2</v>
      </c>
      <c r="P63" s="59"/>
      <c r="Q63" s="33"/>
      <c r="R63" s="33"/>
      <c r="S63" s="33"/>
      <c r="T63" s="33"/>
      <c r="U63" s="33"/>
      <c r="V63" s="58" t="s">
        <v>2</v>
      </c>
      <c r="W63" s="58" t="s">
        <v>2</v>
      </c>
      <c r="X63" s="33"/>
      <c r="Y63" s="33"/>
      <c r="Z63" s="33"/>
      <c r="AA63" s="33"/>
      <c r="AB63" s="33"/>
      <c r="AC63" s="33"/>
      <c r="AD63" s="58" t="s">
        <v>2</v>
      </c>
      <c r="AE63" s="58" t="s">
        <v>2</v>
      </c>
      <c r="AF63" s="33"/>
      <c r="AH63" s="16">
        <f t="shared" si="6"/>
        <v>0</v>
      </c>
      <c r="AI63" s="16">
        <f t="shared" si="7"/>
        <v>0</v>
      </c>
    </row>
    <row r="64" spans="1:35" ht="20.100000000000001" hidden="1" customHeight="1">
      <c r="A64" s="18" t="str">
        <f>ÖSSZES!$A$38</f>
        <v>Név13</v>
      </c>
      <c r="B64" s="33"/>
      <c r="C64" s="33"/>
      <c r="D64" s="33"/>
      <c r="E64" s="33"/>
      <c r="F64" s="58" t="s">
        <v>2</v>
      </c>
      <c r="G64" s="58" t="s">
        <v>2</v>
      </c>
      <c r="H64" s="33"/>
      <c r="I64" s="33"/>
      <c r="J64" s="33"/>
      <c r="K64" s="33"/>
      <c r="L64" s="33"/>
      <c r="M64" s="33"/>
      <c r="N64" s="58" t="s">
        <v>2</v>
      </c>
      <c r="O64" s="58" t="s">
        <v>2</v>
      </c>
      <c r="P64" s="59"/>
      <c r="Q64" s="33"/>
      <c r="R64" s="33"/>
      <c r="S64" s="33"/>
      <c r="T64" s="33"/>
      <c r="U64" s="33"/>
      <c r="V64" s="58" t="s">
        <v>2</v>
      </c>
      <c r="W64" s="58" t="s">
        <v>2</v>
      </c>
      <c r="X64" s="33"/>
      <c r="Y64" s="33"/>
      <c r="Z64" s="33"/>
      <c r="AA64" s="33"/>
      <c r="AB64" s="33"/>
      <c r="AC64" s="33"/>
      <c r="AD64" s="58" t="s">
        <v>2</v>
      </c>
      <c r="AE64" s="58" t="s">
        <v>2</v>
      </c>
      <c r="AF64" s="33"/>
      <c r="AH64" s="16">
        <f t="shared" si="6"/>
        <v>0</v>
      </c>
      <c r="AI64" s="16">
        <f t="shared" si="7"/>
        <v>0</v>
      </c>
    </row>
    <row r="65" spans="1:35" ht="20.100000000000001" hidden="1" customHeight="1">
      <c r="A65" s="18" t="str">
        <f>ÖSSZES!$A$39</f>
        <v>Név14</v>
      </c>
      <c r="B65" s="33"/>
      <c r="C65" s="33"/>
      <c r="D65" s="33"/>
      <c r="E65" s="33"/>
      <c r="F65" s="58" t="s">
        <v>2</v>
      </c>
      <c r="G65" s="58" t="s">
        <v>2</v>
      </c>
      <c r="H65" s="33"/>
      <c r="I65" s="33"/>
      <c r="J65" s="33"/>
      <c r="K65" s="33"/>
      <c r="L65" s="33"/>
      <c r="M65" s="33"/>
      <c r="N65" s="58" t="s">
        <v>2</v>
      </c>
      <c r="O65" s="58" t="s">
        <v>2</v>
      </c>
      <c r="P65" s="59"/>
      <c r="Q65" s="33"/>
      <c r="R65" s="33"/>
      <c r="S65" s="33"/>
      <c r="T65" s="33"/>
      <c r="U65" s="33"/>
      <c r="V65" s="58" t="s">
        <v>2</v>
      </c>
      <c r="W65" s="58" t="s">
        <v>2</v>
      </c>
      <c r="X65" s="33"/>
      <c r="Y65" s="33"/>
      <c r="Z65" s="33"/>
      <c r="AA65" s="33"/>
      <c r="AB65" s="33"/>
      <c r="AC65" s="33"/>
      <c r="AD65" s="58" t="s">
        <v>2</v>
      </c>
      <c r="AE65" s="58" t="s">
        <v>2</v>
      </c>
      <c r="AF65" s="33"/>
      <c r="AH65" s="16">
        <f t="shared" si="6"/>
        <v>0</v>
      </c>
      <c r="AI65" s="16">
        <f t="shared" si="7"/>
        <v>0</v>
      </c>
    </row>
    <row r="66" spans="1:35" ht="20.100000000000001" hidden="1" customHeight="1">
      <c r="A66" s="18" t="str">
        <f>ÖSSZES!$A$40</f>
        <v>Név15</v>
      </c>
      <c r="B66" s="33"/>
      <c r="C66" s="33"/>
      <c r="D66" s="33"/>
      <c r="E66" s="33"/>
      <c r="F66" s="58" t="s">
        <v>2</v>
      </c>
      <c r="G66" s="58" t="s">
        <v>2</v>
      </c>
      <c r="H66" s="33"/>
      <c r="I66" s="33"/>
      <c r="J66" s="33"/>
      <c r="K66" s="33"/>
      <c r="L66" s="33"/>
      <c r="M66" s="33"/>
      <c r="N66" s="58" t="s">
        <v>2</v>
      </c>
      <c r="O66" s="58" t="s">
        <v>2</v>
      </c>
      <c r="P66" s="59"/>
      <c r="Q66" s="33"/>
      <c r="R66" s="33"/>
      <c r="S66" s="33"/>
      <c r="T66" s="33"/>
      <c r="U66" s="33"/>
      <c r="V66" s="58" t="s">
        <v>2</v>
      </c>
      <c r="W66" s="58" t="s">
        <v>2</v>
      </c>
      <c r="X66" s="33"/>
      <c r="Y66" s="33"/>
      <c r="Z66" s="33"/>
      <c r="AA66" s="33"/>
      <c r="AB66" s="33"/>
      <c r="AC66" s="33"/>
      <c r="AD66" s="58" t="s">
        <v>2</v>
      </c>
      <c r="AE66" s="58" t="s">
        <v>2</v>
      </c>
      <c r="AF66" s="33"/>
      <c r="AH66" s="16">
        <f t="shared" si="6"/>
        <v>0</v>
      </c>
      <c r="AI66" s="16">
        <f t="shared" si="7"/>
        <v>0</v>
      </c>
    </row>
    <row r="67" spans="1:35" ht="20.100000000000001" hidden="1" customHeight="1">
      <c r="A67" s="18" t="str">
        <f>ÖSSZES!$A$41</f>
        <v>Név16</v>
      </c>
      <c r="B67" s="33"/>
      <c r="C67" s="33"/>
      <c r="D67" s="33"/>
      <c r="E67" s="33"/>
      <c r="F67" s="58" t="s">
        <v>2</v>
      </c>
      <c r="G67" s="58" t="s">
        <v>2</v>
      </c>
      <c r="H67" s="33"/>
      <c r="I67" s="33"/>
      <c r="J67" s="33"/>
      <c r="K67" s="33"/>
      <c r="L67" s="33"/>
      <c r="M67" s="33"/>
      <c r="N67" s="58" t="s">
        <v>2</v>
      </c>
      <c r="O67" s="58" t="s">
        <v>2</v>
      </c>
      <c r="P67" s="59"/>
      <c r="Q67" s="33"/>
      <c r="R67" s="33"/>
      <c r="S67" s="33"/>
      <c r="T67" s="33"/>
      <c r="U67" s="33"/>
      <c r="V67" s="58" t="s">
        <v>2</v>
      </c>
      <c r="W67" s="58" t="s">
        <v>2</v>
      </c>
      <c r="X67" s="33"/>
      <c r="Y67" s="33"/>
      <c r="Z67" s="33"/>
      <c r="AA67" s="33"/>
      <c r="AB67" s="33"/>
      <c r="AC67" s="33"/>
      <c r="AD67" s="58" t="s">
        <v>2</v>
      </c>
      <c r="AE67" s="58" t="s">
        <v>2</v>
      </c>
      <c r="AF67" s="33"/>
      <c r="AH67" s="16">
        <f t="shared" si="6"/>
        <v>0</v>
      </c>
      <c r="AI67" s="16">
        <f t="shared" si="7"/>
        <v>0</v>
      </c>
    </row>
    <row r="68" spans="1:35" ht="20.100000000000001" hidden="1" customHeight="1">
      <c r="A68" s="18" t="str">
        <f>ÖSSZES!$A$42</f>
        <v>Név17</v>
      </c>
      <c r="B68" s="33"/>
      <c r="C68" s="33"/>
      <c r="D68" s="33"/>
      <c r="E68" s="33"/>
      <c r="F68" s="58" t="s">
        <v>2</v>
      </c>
      <c r="G68" s="58" t="s">
        <v>2</v>
      </c>
      <c r="H68" s="33"/>
      <c r="I68" s="33"/>
      <c r="J68" s="33"/>
      <c r="K68" s="33"/>
      <c r="L68" s="33"/>
      <c r="M68" s="33"/>
      <c r="N68" s="58" t="s">
        <v>2</v>
      </c>
      <c r="O68" s="58" t="s">
        <v>2</v>
      </c>
      <c r="P68" s="59"/>
      <c r="Q68" s="33"/>
      <c r="R68" s="33"/>
      <c r="S68" s="33"/>
      <c r="T68" s="33"/>
      <c r="U68" s="33"/>
      <c r="V68" s="58" t="s">
        <v>2</v>
      </c>
      <c r="W68" s="58" t="s">
        <v>2</v>
      </c>
      <c r="X68" s="33"/>
      <c r="Y68" s="33"/>
      <c r="Z68" s="33"/>
      <c r="AA68" s="33"/>
      <c r="AB68" s="33"/>
      <c r="AC68" s="33"/>
      <c r="AD68" s="58" t="s">
        <v>2</v>
      </c>
      <c r="AE68" s="58" t="s">
        <v>2</v>
      </c>
      <c r="AF68" s="33"/>
      <c r="AH68" s="16">
        <f t="shared" si="6"/>
        <v>0</v>
      </c>
      <c r="AI68" s="16">
        <f t="shared" si="7"/>
        <v>0</v>
      </c>
    </row>
    <row r="69" spans="1:35" ht="20.100000000000001" hidden="1" customHeight="1">
      <c r="A69" s="18" t="str">
        <f>ÖSSZES!$A$43</f>
        <v>Név18</v>
      </c>
      <c r="B69" s="33"/>
      <c r="C69" s="33"/>
      <c r="D69" s="33"/>
      <c r="E69" s="33"/>
      <c r="F69" s="58" t="s">
        <v>2</v>
      </c>
      <c r="G69" s="58" t="s">
        <v>2</v>
      </c>
      <c r="H69" s="33"/>
      <c r="I69" s="33"/>
      <c r="J69" s="33"/>
      <c r="K69" s="33"/>
      <c r="L69" s="33"/>
      <c r="M69" s="33"/>
      <c r="N69" s="58" t="s">
        <v>2</v>
      </c>
      <c r="O69" s="58" t="s">
        <v>2</v>
      </c>
      <c r="P69" s="59"/>
      <c r="Q69" s="33"/>
      <c r="R69" s="33"/>
      <c r="S69" s="33"/>
      <c r="T69" s="33"/>
      <c r="U69" s="33"/>
      <c r="V69" s="58" t="s">
        <v>2</v>
      </c>
      <c r="W69" s="58" t="s">
        <v>2</v>
      </c>
      <c r="X69" s="33"/>
      <c r="Y69" s="33"/>
      <c r="Z69" s="33"/>
      <c r="AA69" s="33"/>
      <c r="AB69" s="33"/>
      <c r="AC69" s="33"/>
      <c r="AD69" s="58" t="s">
        <v>2</v>
      </c>
      <c r="AE69" s="58" t="s">
        <v>2</v>
      </c>
      <c r="AF69" s="33"/>
      <c r="AH69" s="16">
        <f t="shared" si="6"/>
        <v>0</v>
      </c>
      <c r="AI69" s="16">
        <f t="shared" si="7"/>
        <v>0</v>
      </c>
    </row>
    <row r="70" spans="1:35" ht="20.100000000000001" hidden="1" customHeight="1">
      <c r="A70" s="18" t="str">
        <f>ÖSSZES!$A$44</f>
        <v>Név19</v>
      </c>
      <c r="B70" s="33"/>
      <c r="C70" s="33"/>
      <c r="D70" s="33"/>
      <c r="E70" s="33"/>
      <c r="F70" s="58" t="s">
        <v>2</v>
      </c>
      <c r="G70" s="58" t="s">
        <v>2</v>
      </c>
      <c r="H70" s="33"/>
      <c r="I70" s="33"/>
      <c r="J70" s="33"/>
      <c r="K70" s="33"/>
      <c r="L70" s="33"/>
      <c r="M70" s="33"/>
      <c r="N70" s="58" t="s">
        <v>2</v>
      </c>
      <c r="O70" s="58" t="s">
        <v>2</v>
      </c>
      <c r="P70" s="59"/>
      <c r="Q70" s="33"/>
      <c r="R70" s="33"/>
      <c r="S70" s="33"/>
      <c r="T70" s="33"/>
      <c r="U70" s="33"/>
      <c r="V70" s="58" t="s">
        <v>2</v>
      </c>
      <c r="W70" s="58" t="s">
        <v>2</v>
      </c>
      <c r="X70" s="33"/>
      <c r="Y70" s="33"/>
      <c r="Z70" s="33"/>
      <c r="AA70" s="33"/>
      <c r="AB70" s="33"/>
      <c r="AC70" s="33"/>
      <c r="AD70" s="58" t="s">
        <v>2</v>
      </c>
      <c r="AE70" s="58" t="s">
        <v>2</v>
      </c>
      <c r="AF70" s="33"/>
      <c r="AH70" s="16">
        <f t="shared" si="6"/>
        <v>0</v>
      </c>
      <c r="AI70" s="16">
        <f t="shared" si="7"/>
        <v>0</v>
      </c>
    </row>
    <row r="71" spans="1:35" ht="20.100000000000001" hidden="1" customHeight="1">
      <c r="A71" s="18" t="str">
        <f>ÖSSZES!$A$45</f>
        <v>Név20</v>
      </c>
      <c r="B71" s="33"/>
      <c r="C71" s="33"/>
      <c r="D71" s="33"/>
      <c r="E71" s="33"/>
      <c r="F71" s="58" t="s">
        <v>2</v>
      </c>
      <c r="G71" s="58" t="s">
        <v>2</v>
      </c>
      <c r="H71" s="33"/>
      <c r="I71" s="33"/>
      <c r="J71" s="33"/>
      <c r="K71" s="33"/>
      <c r="L71" s="33"/>
      <c r="M71" s="33"/>
      <c r="N71" s="58" t="s">
        <v>2</v>
      </c>
      <c r="O71" s="58" t="s">
        <v>2</v>
      </c>
      <c r="P71" s="59"/>
      <c r="Q71" s="33"/>
      <c r="R71" s="33"/>
      <c r="S71" s="33"/>
      <c r="T71" s="33"/>
      <c r="U71" s="33"/>
      <c r="V71" s="58" t="s">
        <v>2</v>
      </c>
      <c r="W71" s="58" t="s">
        <v>2</v>
      </c>
      <c r="X71" s="33"/>
      <c r="Y71" s="33"/>
      <c r="Z71" s="33"/>
      <c r="AA71" s="33"/>
      <c r="AB71" s="33"/>
      <c r="AC71" s="33"/>
      <c r="AD71" s="58" t="s">
        <v>2</v>
      </c>
      <c r="AE71" s="58" t="s">
        <v>2</v>
      </c>
      <c r="AF71" s="33"/>
      <c r="AH71" s="16">
        <f t="shared" si="6"/>
        <v>0</v>
      </c>
      <c r="AI71" s="16">
        <f t="shared" si="7"/>
        <v>0</v>
      </c>
    </row>
    <row r="72" spans="1:35" ht="20.100000000000001" customHeight="1"/>
    <row r="73" spans="1:35" s="6" customFormat="1" ht="20.100000000000001" customHeight="1">
      <c r="A73" s="88" t="s">
        <v>17</v>
      </c>
      <c r="B73" s="17">
        <v>1</v>
      </c>
      <c r="C73" s="17">
        <v>2</v>
      </c>
      <c r="D73" s="17">
        <v>3</v>
      </c>
      <c r="E73" s="17">
        <v>4</v>
      </c>
      <c r="F73" s="17">
        <v>5</v>
      </c>
      <c r="G73" s="17">
        <v>6</v>
      </c>
      <c r="H73" s="17">
        <v>7</v>
      </c>
      <c r="I73" s="17">
        <v>8</v>
      </c>
      <c r="J73" s="17">
        <v>9</v>
      </c>
      <c r="K73" s="32">
        <v>10</v>
      </c>
      <c r="L73" s="17">
        <v>11</v>
      </c>
      <c r="M73" s="32">
        <v>12</v>
      </c>
      <c r="N73" s="32">
        <v>13</v>
      </c>
      <c r="O73" s="17">
        <v>14</v>
      </c>
      <c r="P73" s="17">
        <v>15</v>
      </c>
      <c r="Q73" s="17">
        <v>16</v>
      </c>
      <c r="R73" s="17">
        <v>17</v>
      </c>
      <c r="S73" s="17">
        <v>18</v>
      </c>
      <c r="T73" s="17">
        <v>19</v>
      </c>
      <c r="U73" s="17">
        <v>20</v>
      </c>
      <c r="V73" s="17">
        <v>21</v>
      </c>
      <c r="W73" s="17">
        <v>22</v>
      </c>
      <c r="X73" s="17">
        <v>23</v>
      </c>
      <c r="Y73" s="17">
        <v>24</v>
      </c>
      <c r="Z73" s="17">
        <v>25</v>
      </c>
      <c r="AA73" s="17">
        <v>26</v>
      </c>
      <c r="AB73" s="17">
        <v>27</v>
      </c>
      <c r="AC73" s="17">
        <v>28</v>
      </c>
      <c r="AD73" s="17">
        <v>29</v>
      </c>
      <c r="AE73" s="17">
        <v>30</v>
      </c>
      <c r="AH73" s="93" t="s">
        <v>18</v>
      </c>
      <c r="AI73" s="93" t="s">
        <v>19</v>
      </c>
    </row>
    <row r="74" spans="1:35" ht="20.100000000000001" customHeight="1">
      <c r="A74" s="90"/>
      <c r="B74" s="10" t="str">
        <f>'2020'!B28</f>
        <v>Sze</v>
      </c>
      <c r="C74" s="10" t="str">
        <f>'2020'!C28</f>
        <v>Cs</v>
      </c>
      <c r="D74" s="10" t="str">
        <f>'2020'!D28</f>
        <v>P</v>
      </c>
      <c r="E74" s="10" t="str">
        <f>'2020'!E28</f>
        <v>Szo</v>
      </c>
      <c r="F74" s="10" t="str">
        <f>'2020'!F28</f>
        <v>V</v>
      </c>
      <c r="G74" s="10" t="str">
        <f>'2020'!G28</f>
        <v>H</v>
      </c>
      <c r="H74" s="10" t="str">
        <f>'2020'!H28</f>
        <v>K</v>
      </c>
      <c r="I74" s="10" t="str">
        <f>'2020'!I28</f>
        <v>Sze</v>
      </c>
      <c r="J74" s="10" t="str">
        <f>'2020'!J28</f>
        <v>Cs</v>
      </c>
      <c r="K74" s="10" t="str">
        <f>'2020'!K28</f>
        <v>P</v>
      </c>
      <c r="L74" s="10" t="str">
        <f>'2020'!L28</f>
        <v>Szo</v>
      </c>
      <c r="M74" s="10" t="str">
        <f>'2020'!M28</f>
        <v>V</v>
      </c>
      <c r="N74" s="10" t="str">
        <f>'2020'!N28</f>
        <v>H</v>
      </c>
      <c r="O74" s="10" t="str">
        <f>'2020'!O28</f>
        <v>K</v>
      </c>
      <c r="P74" s="10" t="str">
        <f>'2020'!P28</f>
        <v>Sze</v>
      </c>
      <c r="Q74" s="10" t="str">
        <f>'2020'!Q28</f>
        <v>Cs</v>
      </c>
      <c r="R74" s="10" t="str">
        <f>'2020'!R28</f>
        <v>P</v>
      </c>
      <c r="S74" s="10" t="str">
        <f>'2020'!S28</f>
        <v>Szo</v>
      </c>
      <c r="T74" s="10" t="str">
        <f>'2020'!T28</f>
        <v>V</v>
      </c>
      <c r="U74" s="10" t="str">
        <f>'2020'!U28</f>
        <v>H</v>
      </c>
      <c r="V74" s="10" t="str">
        <f>'2020'!V28</f>
        <v>K</v>
      </c>
      <c r="W74" s="10" t="str">
        <f>'2020'!W28</f>
        <v>Sze</v>
      </c>
      <c r="X74" s="10" t="str">
        <f>'2020'!X28</f>
        <v>Cs</v>
      </c>
      <c r="Y74" s="10" t="str">
        <f>'2020'!Y28</f>
        <v>P</v>
      </c>
      <c r="Z74" s="10" t="str">
        <f>'2020'!Z28</f>
        <v>Szo</v>
      </c>
      <c r="AA74" s="10" t="str">
        <f>'2020'!AA28</f>
        <v>V</v>
      </c>
      <c r="AB74" s="10" t="str">
        <f>'2020'!AB28</f>
        <v>H</v>
      </c>
      <c r="AC74" s="10" t="str">
        <f>'2020'!AC28</f>
        <v>K</v>
      </c>
      <c r="AD74" s="10" t="str">
        <f>'2020'!AD28</f>
        <v>Sze</v>
      </c>
      <c r="AE74" s="10" t="str">
        <f>'2020'!AE28</f>
        <v>Cs</v>
      </c>
      <c r="AF74" s="1"/>
      <c r="AH74" s="94"/>
      <c r="AI74" s="94"/>
    </row>
    <row r="75" spans="1:35" ht="20.100000000000001" customHeight="1">
      <c r="A75" s="90"/>
      <c r="B75" s="10">
        <f>'2020'!B30</f>
        <v>1</v>
      </c>
      <c r="C75" s="10">
        <f>'2020'!C30</f>
        <v>1</v>
      </c>
      <c r="D75" s="10">
        <f>'2020'!D30</f>
        <v>1</v>
      </c>
      <c r="E75" s="10">
        <f>'2020'!E30</f>
        <v>1</v>
      </c>
      <c r="F75" s="10">
        <f>'2020'!F30</f>
        <v>1</v>
      </c>
      <c r="G75" s="10" t="str">
        <f>'2020'!G30</f>
        <v>X</v>
      </c>
      <c r="H75" s="10" t="str">
        <f>'2020'!H30</f>
        <v>X</v>
      </c>
      <c r="I75" s="10">
        <f>'2020'!I30</f>
        <v>3</v>
      </c>
      <c r="J75" s="10">
        <f>'2020'!J30</f>
        <v>3</v>
      </c>
      <c r="K75" s="10">
        <f>'2020'!K30</f>
        <v>3</v>
      </c>
      <c r="L75" s="10">
        <f>'2020'!L30</f>
        <v>3</v>
      </c>
      <c r="M75" s="10">
        <f>'2020'!M30</f>
        <v>3</v>
      </c>
      <c r="N75" s="10">
        <f>'2020'!N30</f>
        <v>3</v>
      </c>
      <c r="O75" s="10" t="str">
        <f>'2020'!O30</f>
        <v>X</v>
      </c>
      <c r="P75" s="10" t="str">
        <f>'2020'!P30</f>
        <v>X</v>
      </c>
      <c r="Q75" s="10">
        <f>'2020'!Q30</f>
        <v>2</v>
      </c>
      <c r="R75" s="10">
        <f>'2020'!R30</f>
        <v>2</v>
      </c>
      <c r="S75" s="10">
        <f>'2020'!S30</f>
        <v>2</v>
      </c>
      <c r="T75" s="10">
        <f>'2020'!T30</f>
        <v>2</v>
      </c>
      <c r="U75" s="10">
        <f>'2020'!U30</f>
        <v>2</v>
      </c>
      <c r="V75" s="10">
        <f>'2020'!V30</f>
        <v>2</v>
      </c>
      <c r="W75" s="10" t="str">
        <f>'2020'!W30</f>
        <v>X</v>
      </c>
      <c r="X75" s="10" t="str">
        <f>'2020'!X30</f>
        <v>X</v>
      </c>
      <c r="Y75" s="10">
        <f>'2020'!Y30</f>
        <v>1</v>
      </c>
      <c r="Z75" s="10">
        <f>'2020'!Z30</f>
        <v>1</v>
      </c>
      <c r="AA75" s="10">
        <f>'2020'!AA30</f>
        <v>1</v>
      </c>
      <c r="AB75" s="10">
        <f>'2020'!AB30</f>
        <v>1</v>
      </c>
      <c r="AC75" s="10">
        <f>'2020'!AC30</f>
        <v>1</v>
      </c>
      <c r="AD75" s="10">
        <f>'2020'!AD30</f>
        <v>1</v>
      </c>
      <c r="AE75" s="10" t="str">
        <f>'2020'!AE30</f>
        <v>X</v>
      </c>
      <c r="AF75" s="1"/>
      <c r="AH75" s="94"/>
      <c r="AI75" s="94"/>
    </row>
    <row r="76" spans="1:35" ht="20.100000000000001" customHeight="1">
      <c r="A76" s="18" t="str">
        <f>ÖSSZES!$A$26</f>
        <v>Katona László</v>
      </c>
      <c r="B76" s="33" t="s">
        <v>114</v>
      </c>
      <c r="C76" s="33" t="s">
        <v>20</v>
      </c>
      <c r="D76" s="33" t="s">
        <v>20</v>
      </c>
      <c r="E76" s="33" t="s">
        <v>20</v>
      </c>
      <c r="F76" s="33" t="s">
        <v>20</v>
      </c>
      <c r="G76" s="58" t="s">
        <v>2</v>
      </c>
      <c r="H76" s="58" t="s">
        <v>2</v>
      </c>
      <c r="I76" s="33"/>
      <c r="J76" s="33"/>
      <c r="K76" s="59"/>
      <c r="L76" s="33"/>
      <c r="M76" s="59"/>
      <c r="N76" s="59"/>
      <c r="O76" s="58" t="s">
        <v>2</v>
      </c>
      <c r="P76" s="58" t="s">
        <v>2</v>
      </c>
      <c r="Q76" s="33"/>
      <c r="R76" s="33"/>
      <c r="S76" s="33"/>
      <c r="T76" s="33"/>
      <c r="U76" s="33"/>
      <c r="V76" s="33"/>
      <c r="W76" s="58" t="s">
        <v>2</v>
      </c>
      <c r="X76" s="58" t="s">
        <v>2</v>
      </c>
      <c r="Y76" s="33"/>
      <c r="Z76" s="33"/>
      <c r="AA76" s="33"/>
      <c r="AB76" s="33"/>
      <c r="AC76" s="33"/>
      <c r="AD76" s="33"/>
      <c r="AE76" s="58" t="s">
        <v>2</v>
      </c>
      <c r="AF76" s="1"/>
      <c r="AH76" s="16">
        <f>1*COUNTIF(A76:AF76,"+")</f>
        <v>1</v>
      </c>
      <c r="AI76" s="16">
        <f t="shared" ref="AI76" si="8">1*COUNTIF(B76:AF76,"szf")</f>
        <v>4</v>
      </c>
    </row>
    <row r="77" spans="1:35" ht="20.100000000000001" customHeight="1">
      <c r="A77" s="18" t="str">
        <f>ÖSSZES!$A$27</f>
        <v>Kiss János Tamás</v>
      </c>
      <c r="B77" s="33"/>
      <c r="C77" s="33"/>
      <c r="D77" s="33"/>
      <c r="E77" s="33"/>
      <c r="F77" s="33"/>
      <c r="G77" s="58" t="s">
        <v>2</v>
      </c>
      <c r="H77" s="58" t="s">
        <v>2</v>
      </c>
      <c r="I77" s="33"/>
      <c r="J77" s="33"/>
      <c r="K77" s="59"/>
      <c r="L77" s="33"/>
      <c r="M77" s="59"/>
      <c r="N77" s="59"/>
      <c r="O77" s="58" t="s">
        <v>2</v>
      </c>
      <c r="P77" s="58" t="s">
        <v>2</v>
      </c>
      <c r="Q77" s="33"/>
      <c r="R77" s="33"/>
      <c r="S77" s="33"/>
      <c r="T77" s="33"/>
      <c r="U77" s="33"/>
      <c r="V77" s="33" t="s">
        <v>114</v>
      </c>
      <c r="W77" s="58" t="s">
        <v>2</v>
      </c>
      <c r="X77" s="58" t="s">
        <v>2</v>
      </c>
      <c r="Y77" s="33" t="s">
        <v>20</v>
      </c>
      <c r="Z77" s="33"/>
      <c r="AA77" s="33"/>
      <c r="AB77" s="33"/>
      <c r="AC77" s="33"/>
      <c r="AD77" s="33"/>
      <c r="AE77" s="58" t="s">
        <v>2</v>
      </c>
      <c r="AF77" s="1"/>
      <c r="AH77" s="16">
        <f t="shared" ref="AH77:AH95" si="9">1*COUNTIF(A77:AF77,"+")</f>
        <v>1</v>
      </c>
      <c r="AI77" s="16">
        <f t="shared" ref="AI77:AI95" si="10">1*COUNTIF(B77:AF77,"szf")</f>
        <v>1</v>
      </c>
    </row>
    <row r="78" spans="1:35" ht="20.100000000000001" customHeight="1">
      <c r="A78" s="18" t="str">
        <f>ÖSSZES!$A$28</f>
        <v>Habara Gábor</v>
      </c>
      <c r="B78" s="33"/>
      <c r="C78" s="33"/>
      <c r="D78" s="33"/>
      <c r="E78" s="33"/>
      <c r="F78" s="33"/>
      <c r="G78" s="58" t="s">
        <v>2</v>
      </c>
      <c r="H78" s="58" t="s">
        <v>2</v>
      </c>
      <c r="I78" s="33"/>
      <c r="J78" s="33"/>
      <c r="K78" s="59"/>
      <c r="L78" s="33"/>
      <c r="M78" s="59"/>
      <c r="N78" s="59"/>
      <c r="O78" s="58" t="s">
        <v>2</v>
      </c>
      <c r="P78" s="58" t="s">
        <v>2</v>
      </c>
      <c r="Q78" s="33"/>
      <c r="R78" s="33"/>
      <c r="S78" s="33"/>
      <c r="T78" s="33"/>
      <c r="U78" s="33"/>
      <c r="V78" s="33" t="s">
        <v>114</v>
      </c>
      <c r="W78" s="58" t="s">
        <v>2</v>
      </c>
      <c r="X78" s="58" t="s">
        <v>2</v>
      </c>
      <c r="Y78" s="33"/>
      <c r="Z78" s="33"/>
      <c r="AA78" s="33"/>
      <c r="AB78" s="33"/>
      <c r="AC78" s="33"/>
      <c r="AD78" s="33"/>
      <c r="AE78" s="58" t="s">
        <v>2</v>
      </c>
      <c r="AF78" s="1"/>
      <c r="AH78" s="16">
        <f t="shared" si="9"/>
        <v>1</v>
      </c>
      <c r="AI78" s="16">
        <f t="shared" si="10"/>
        <v>0</v>
      </c>
    </row>
    <row r="79" spans="1:35" ht="20.100000000000001" customHeight="1">
      <c r="A79" s="18" t="str">
        <f>ÖSSZES!$A$29</f>
        <v>Holba Imre</v>
      </c>
      <c r="B79" s="33" t="s">
        <v>116</v>
      </c>
      <c r="C79" s="33" t="s">
        <v>116</v>
      </c>
      <c r="D79" s="33" t="s">
        <v>116</v>
      </c>
      <c r="E79" s="33" t="s">
        <v>116</v>
      </c>
      <c r="F79" s="33" t="s">
        <v>116</v>
      </c>
      <c r="G79" s="58" t="s">
        <v>2</v>
      </c>
      <c r="H79" s="58" t="s">
        <v>2</v>
      </c>
      <c r="I79" s="33" t="s">
        <v>116</v>
      </c>
      <c r="J79" s="33" t="s">
        <v>116</v>
      </c>
      <c r="K79" s="59" t="s">
        <v>116</v>
      </c>
      <c r="L79" s="33" t="s">
        <v>114</v>
      </c>
      <c r="M79" s="59" t="s">
        <v>20</v>
      </c>
      <c r="N79" s="59" t="s">
        <v>20</v>
      </c>
      <c r="O79" s="58" t="s">
        <v>2</v>
      </c>
      <c r="P79" s="58" t="s">
        <v>2</v>
      </c>
      <c r="Q79" s="33" t="s">
        <v>20</v>
      </c>
      <c r="R79" s="33" t="s">
        <v>20</v>
      </c>
      <c r="S79" s="33" t="s">
        <v>20</v>
      </c>
      <c r="T79" s="33" t="s">
        <v>20</v>
      </c>
      <c r="U79" s="33" t="s">
        <v>20</v>
      </c>
      <c r="V79" s="33" t="s">
        <v>20</v>
      </c>
      <c r="W79" s="58" t="s">
        <v>2</v>
      </c>
      <c r="X79" s="58" t="s">
        <v>2</v>
      </c>
      <c r="Y79" s="33" t="s">
        <v>20</v>
      </c>
      <c r="Z79" s="33" t="s">
        <v>20</v>
      </c>
      <c r="AA79" s="33" t="s">
        <v>20</v>
      </c>
      <c r="AB79" s="33" t="s">
        <v>20</v>
      </c>
      <c r="AC79" s="33" t="s">
        <v>20</v>
      </c>
      <c r="AD79" s="33" t="s">
        <v>20</v>
      </c>
      <c r="AE79" s="58" t="s">
        <v>2</v>
      </c>
      <c r="AF79" s="1"/>
      <c r="AH79" s="16">
        <f t="shared" si="9"/>
        <v>1</v>
      </c>
      <c r="AI79" s="16">
        <f t="shared" si="10"/>
        <v>14</v>
      </c>
    </row>
    <row r="80" spans="1:35" ht="20.100000000000001" customHeight="1">
      <c r="A80" s="18" t="str">
        <f>ÖSSZES!$A$30</f>
        <v>Keresztes Gyula</v>
      </c>
      <c r="B80" s="33" t="s">
        <v>116</v>
      </c>
      <c r="C80" s="33" t="s">
        <v>116</v>
      </c>
      <c r="D80" s="33" t="s">
        <v>116</v>
      </c>
      <c r="E80" s="33" t="s">
        <v>116</v>
      </c>
      <c r="F80" s="33" t="s">
        <v>116</v>
      </c>
      <c r="G80" s="58" t="s">
        <v>2</v>
      </c>
      <c r="H80" s="58" t="s">
        <v>2</v>
      </c>
      <c r="I80" s="33" t="s">
        <v>116</v>
      </c>
      <c r="J80" s="33" t="s">
        <v>116</v>
      </c>
      <c r="K80" s="59" t="s">
        <v>116</v>
      </c>
      <c r="L80" s="33" t="s">
        <v>116</v>
      </c>
      <c r="M80" s="59" t="s">
        <v>116</v>
      </c>
      <c r="N80" s="59" t="s">
        <v>116</v>
      </c>
      <c r="O80" s="58" t="s">
        <v>2</v>
      </c>
      <c r="P80" s="58" t="s">
        <v>2</v>
      </c>
      <c r="Q80" s="33" t="s">
        <v>114</v>
      </c>
      <c r="R80" s="33" t="s">
        <v>114</v>
      </c>
      <c r="S80" s="33" t="s">
        <v>114</v>
      </c>
      <c r="T80" s="33" t="s">
        <v>114</v>
      </c>
      <c r="U80" s="33" t="s">
        <v>20</v>
      </c>
      <c r="V80" s="33" t="s">
        <v>20</v>
      </c>
      <c r="W80" s="58" t="s">
        <v>2</v>
      </c>
      <c r="X80" s="58" t="s">
        <v>2</v>
      </c>
      <c r="Y80" s="33" t="s">
        <v>20</v>
      </c>
      <c r="Z80" s="33" t="s">
        <v>20</v>
      </c>
      <c r="AA80" s="33" t="s">
        <v>20</v>
      </c>
      <c r="AB80" s="33" t="s">
        <v>20</v>
      </c>
      <c r="AC80" s="33" t="s">
        <v>20</v>
      </c>
      <c r="AD80" s="33" t="s">
        <v>20</v>
      </c>
      <c r="AE80" s="58" t="s">
        <v>2</v>
      </c>
      <c r="AF80" s="1"/>
      <c r="AH80" s="16">
        <f t="shared" si="9"/>
        <v>4</v>
      </c>
      <c r="AI80" s="16">
        <f t="shared" si="10"/>
        <v>8</v>
      </c>
    </row>
    <row r="81" spans="1:35" ht="20.100000000000001" customHeight="1">
      <c r="A81" s="18" t="str">
        <f>ÖSSZES!$A$31</f>
        <v>Király Bálint Donát</v>
      </c>
      <c r="B81" s="33"/>
      <c r="C81" s="33"/>
      <c r="D81" s="33"/>
      <c r="E81" s="33"/>
      <c r="F81" s="33"/>
      <c r="G81" s="58" t="s">
        <v>2</v>
      </c>
      <c r="H81" s="58" t="s">
        <v>2</v>
      </c>
      <c r="I81" s="33"/>
      <c r="J81" s="33" t="s">
        <v>114</v>
      </c>
      <c r="K81" s="59"/>
      <c r="L81" s="33"/>
      <c r="M81" s="59"/>
      <c r="N81" s="59"/>
      <c r="O81" s="58" t="s">
        <v>2</v>
      </c>
      <c r="P81" s="58" t="s">
        <v>2</v>
      </c>
      <c r="Q81" s="33"/>
      <c r="R81" s="33"/>
      <c r="S81" s="33"/>
      <c r="T81" s="33" t="s">
        <v>114</v>
      </c>
      <c r="U81" s="33" t="s">
        <v>114</v>
      </c>
      <c r="V81" s="33"/>
      <c r="W81" s="58" t="s">
        <v>2</v>
      </c>
      <c r="X81" s="58" t="s">
        <v>2</v>
      </c>
      <c r="Y81" s="33"/>
      <c r="Z81" s="33" t="s">
        <v>116</v>
      </c>
      <c r="AA81" s="33" t="s">
        <v>116</v>
      </c>
      <c r="AB81" s="33" t="s">
        <v>116</v>
      </c>
      <c r="AC81" s="33" t="s">
        <v>116</v>
      </c>
      <c r="AD81" s="33" t="s">
        <v>116</v>
      </c>
      <c r="AE81" s="58" t="s">
        <v>2</v>
      </c>
      <c r="AF81" s="1"/>
      <c r="AH81" s="16">
        <f t="shared" si="9"/>
        <v>3</v>
      </c>
      <c r="AI81" s="16">
        <f t="shared" si="10"/>
        <v>0</v>
      </c>
    </row>
    <row r="82" spans="1:35" ht="20.100000000000001" customHeight="1">
      <c r="A82" s="18" t="str">
        <f>ÖSSZES!$A$32</f>
        <v>Mezei Lajos</v>
      </c>
      <c r="B82" s="33"/>
      <c r="C82" s="33"/>
      <c r="D82" s="33"/>
      <c r="E82" s="33"/>
      <c r="F82" s="33"/>
      <c r="G82" s="58" t="s">
        <v>2</v>
      </c>
      <c r="H82" s="58" t="s">
        <v>2</v>
      </c>
      <c r="I82" s="33"/>
      <c r="J82" s="33" t="s">
        <v>114</v>
      </c>
      <c r="K82" s="59" t="s">
        <v>114</v>
      </c>
      <c r="L82" s="33" t="s">
        <v>20</v>
      </c>
      <c r="M82" s="59" t="s">
        <v>20</v>
      </c>
      <c r="N82" s="59" t="s">
        <v>20</v>
      </c>
      <c r="O82" s="58" t="s">
        <v>2</v>
      </c>
      <c r="P82" s="58" t="s">
        <v>2</v>
      </c>
      <c r="Q82" s="33"/>
      <c r="R82" s="33"/>
      <c r="S82" s="33"/>
      <c r="T82" s="33"/>
      <c r="U82" s="33"/>
      <c r="V82" s="33"/>
      <c r="W82" s="58" t="s">
        <v>2</v>
      </c>
      <c r="X82" s="58" t="s">
        <v>2</v>
      </c>
      <c r="Y82" s="33"/>
      <c r="Z82" s="33"/>
      <c r="AA82" s="33"/>
      <c r="AB82" s="33"/>
      <c r="AC82" s="33"/>
      <c r="AD82" s="33"/>
      <c r="AE82" s="58" t="s">
        <v>2</v>
      </c>
      <c r="AF82" s="1"/>
      <c r="AH82" s="16">
        <f t="shared" si="9"/>
        <v>2</v>
      </c>
      <c r="AI82" s="16">
        <f t="shared" si="10"/>
        <v>3</v>
      </c>
    </row>
    <row r="83" spans="1:35" ht="20.100000000000001" customHeight="1">
      <c r="A83" s="18" t="str">
        <f>ÖSSZES!$A$33</f>
        <v>Fényi László</v>
      </c>
      <c r="B83" s="33"/>
      <c r="C83" s="33"/>
      <c r="D83" s="33"/>
      <c r="E83" s="33"/>
      <c r="F83" s="33"/>
      <c r="G83" s="58" t="s">
        <v>2</v>
      </c>
      <c r="H83" s="58" t="s">
        <v>2</v>
      </c>
      <c r="I83" s="33"/>
      <c r="J83" s="33"/>
      <c r="K83" s="59"/>
      <c r="L83" s="33"/>
      <c r="M83" s="59"/>
      <c r="N83" s="59"/>
      <c r="O83" s="58" t="s">
        <v>2</v>
      </c>
      <c r="P83" s="58" t="s">
        <v>2</v>
      </c>
      <c r="Q83" s="33"/>
      <c r="R83" s="33"/>
      <c r="S83" s="33"/>
      <c r="T83" s="33"/>
      <c r="U83" s="33"/>
      <c r="V83" s="33"/>
      <c r="W83" s="58" t="s">
        <v>2</v>
      </c>
      <c r="X83" s="58" t="s">
        <v>2</v>
      </c>
      <c r="Y83" s="33"/>
      <c r="Z83" s="33"/>
      <c r="AA83" s="33"/>
      <c r="AB83" s="33"/>
      <c r="AC83" s="33"/>
      <c r="AD83" s="33"/>
      <c r="AE83" s="58" t="s">
        <v>2</v>
      </c>
      <c r="AF83" s="1"/>
      <c r="AH83" s="16">
        <f t="shared" si="9"/>
        <v>0</v>
      </c>
      <c r="AI83" s="16">
        <f t="shared" si="10"/>
        <v>0</v>
      </c>
    </row>
    <row r="84" spans="1:35" ht="20.100000000000001" hidden="1" customHeight="1">
      <c r="A84" s="18" t="str">
        <f>ÖSSZES!$A$34</f>
        <v>Név9</v>
      </c>
      <c r="B84" s="33"/>
      <c r="C84" s="33"/>
      <c r="D84" s="33"/>
      <c r="E84" s="33"/>
      <c r="F84" s="33"/>
      <c r="G84" s="58" t="s">
        <v>2</v>
      </c>
      <c r="H84" s="58" t="s">
        <v>2</v>
      </c>
      <c r="I84" s="33"/>
      <c r="J84" s="33"/>
      <c r="K84" s="59"/>
      <c r="L84" s="33"/>
      <c r="M84" s="59"/>
      <c r="N84" s="59"/>
      <c r="O84" s="58" t="s">
        <v>2</v>
      </c>
      <c r="P84" s="58" t="s">
        <v>2</v>
      </c>
      <c r="Q84" s="33"/>
      <c r="R84" s="33"/>
      <c r="S84" s="33"/>
      <c r="T84" s="33"/>
      <c r="U84" s="33"/>
      <c r="V84" s="33"/>
      <c r="W84" s="58" t="s">
        <v>2</v>
      </c>
      <c r="X84" s="58" t="s">
        <v>2</v>
      </c>
      <c r="Y84" s="33"/>
      <c r="Z84" s="33"/>
      <c r="AA84" s="33"/>
      <c r="AB84" s="33"/>
      <c r="AC84" s="33"/>
      <c r="AD84" s="33"/>
      <c r="AE84" s="58" t="s">
        <v>2</v>
      </c>
      <c r="AF84" s="1"/>
      <c r="AH84" s="16">
        <f t="shared" si="9"/>
        <v>0</v>
      </c>
      <c r="AI84" s="16">
        <f t="shared" si="10"/>
        <v>0</v>
      </c>
    </row>
    <row r="85" spans="1:35" ht="20.100000000000001" hidden="1" customHeight="1">
      <c r="A85" s="18" t="str">
        <f>ÖSSZES!$A$35</f>
        <v>Név10</v>
      </c>
      <c r="B85" s="33"/>
      <c r="C85" s="33"/>
      <c r="D85" s="33"/>
      <c r="E85" s="33"/>
      <c r="F85" s="33"/>
      <c r="G85" s="58" t="s">
        <v>2</v>
      </c>
      <c r="H85" s="58" t="s">
        <v>2</v>
      </c>
      <c r="I85" s="33"/>
      <c r="J85" s="33"/>
      <c r="K85" s="59"/>
      <c r="L85" s="33"/>
      <c r="M85" s="59"/>
      <c r="N85" s="59"/>
      <c r="O85" s="58" t="s">
        <v>2</v>
      </c>
      <c r="P85" s="58" t="s">
        <v>2</v>
      </c>
      <c r="Q85" s="33"/>
      <c r="R85" s="33"/>
      <c r="S85" s="33"/>
      <c r="T85" s="33"/>
      <c r="U85" s="33"/>
      <c r="V85" s="33"/>
      <c r="W85" s="58" t="s">
        <v>2</v>
      </c>
      <c r="X85" s="58" t="s">
        <v>2</v>
      </c>
      <c r="Y85" s="33"/>
      <c r="Z85" s="33"/>
      <c r="AA85" s="33"/>
      <c r="AB85" s="33"/>
      <c r="AC85" s="33"/>
      <c r="AD85" s="33"/>
      <c r="AE85" s="58" t="s">
        <v>2</v>
      </c>
      <c r="AF85" s="1"/>
      <c r="AH85" s="16">
        <f t="shared" si="9"/>
        <v>0</v>
      </c>
      <c r="AI85" s="16">
        <f t="shared" si="10"/>
        <v>0</v>
      </c>
    </row>
    <row r="86" spans="1:35" ht="20.100000000000001" hidden="1" customHeight="1">
      <c r="A86" s="18" t="str">
        <f>ÖSSZES!$A$36</f>
        <v>Név11</v>
      </c>
      <c r="B86" s="33"/>
      <c r="C86" s="33"/>
      <c r="D86" s="33"/>
      <c r="E86" s="33"/>
      <c r="F86" s="33"/>
      <c r="G86" s="58" t="s">
        <v>2</v>
      </c>
      <c r="H86" s="58" t="s">
        <v>2</v>
      </c>
      <c r="I86" s="33"/>
      <c r="J86" s="33"/>
      <c r="K86" s="59"/>
      <c r="L86" s="33"/>
      <c r="M86" s="59"/>
      <c r="N86" s="59"/>
      <c r="O86" s="58" t="s">
        <v>2</v>
      </c>
      <c r="P86" s="58" t="s">
        <v>2</v>
      </c>
      <c r="Q86" s="33"/>
      <c r="R86" s="33"/>
      <c r="S86" s="33"/>
      <c r="T86" s="33"/>
      <c r="U86" s="33"/>
      <c r="V86" s="33"/>
      <c r="W86" s="58" t="s">
        <v>2</v>
      </c>
      <c r="X86" s="58" t="s">
        <v>2</v>
      </c>
      <c r="Y86" s="33"/>
      <c r="Z86" s="33"/>
      <c r="AA86" s="33"/>
      <c r="AB86" s="33"/>
      <c r="AC86" s="33"/>
      <c r="AD86" s="33"/>
      <c r="AE86" s="58" t="s">
        <v>2</v>
      </c>
      <c r="AF86" s="1"/>
      <c r="AH86" s="16">
        <f t="shared" si="9"/>
        <v>0</v>
      </c>
      <c r="AI86" s="16">
        <f t="shared" si="10"/>
        <v>0</v>
      </c>
    </row>
    <row r="87" spans="1:35" ht="20.100000000000001" hidden="1" customHeight="1">
      <c r="A87" s="18" t="str">
        <f>ÖSSZES!$A$37</f>
        <v>Név12</v>
      </c>
      <c r="B87" s="33"/>
      <c r="C87" s="33"/>
      <c r="D87" s="33"/>
      <c r="E87" s="33"/>
      <c r="F87" s="33"/>
      <c r="G87" s="58" t="s">
        <v>2</v>
      </c>
      <c r="H87" s="58" t="s">
        <v>2</v>
      </c>
      <c r="I87" s="33"/>
      <c r="J87" s="33"/>
      <c r="K87" s="59"/>
      <c r="L87" s="33"/>
      <c r="M87" s="59"/>
      <c r="N87" s="59"/>
      <c r="O87" s="58" t="s">
        <v>2</v>
      </c>
      <c r="P87" s="58" t="s">
        <v>2</v>
      </c>
      <c r="Q87" s="33"/>
      <c r="R87" s="33"/>
      <c r="S87" s="33"/>
      <c r="T87" s="33"/>
      <c r="U87" s="33"/>
      <c r="V87" s="33"/>
      <c r="W87" s="58" t="s">
        <v>2</v>
      </c>
      <c r="X87" s="58" t="s">
        <v>2</v>
      </c>
      <c r="Y87" s="33"/>
      <c r="Z87" s="33"/>
      <c r="AA87" s="33"/>
      <c r="AB87" s="33"/>
      <c r="AC87" s="33"/>
      <c r="AD87" s="33"/>
      <c r="AE87" s="58" t="s">
        <v>2</v>
      </c>
      <c r="AF87" s="1"/>
      <c r="AH87" s="16">
        <f t="shared" si="9"/>
        <v>0</v>
      </c>
      <c r="AI87" s="16">
        <f t="shared" si="10"/>
        <v>0</v>
      </c>
    </row>
    <row r="88" spans="1:35" ht="20.100000000000001" hidden="1" customHeight="1">
      <c r="A88" s="18" t="str">
        <f>ÖSSZES!$A$38</f>
        <v>Név13</v>
      </c>
      <c r="B88" s="33"/>
      <c r="C88" s="33"/>
      <c r="D88" s="33"/>
      <c r="E88" s="33"/>
      <c r="F88" s="33"/>
      <c r="G88" s="58" t="s">
        <v>2</v>
      </c>
      <c r="H88" s="58" t="s">
        <v>2</v>
      </c>
      <c r="I88" s="33"/>
      <c r="J88" s="33"/>
      <c r="K88" s="59"/>
      <c r="L88" s="33"/>
      <c r="M88" s="59"/>
      <c r="N88" s="59"/>
      <c r="O88" s="58" t="s">
        <v>2</v>
      </c>
      <c r="P88" s="58" t="s">
        <v>2</v>
      </c>
      <c r="Q88" s="33"/>
      <c r="R88" s="33"/>
      <c r="S88" s="33"/>
      <c r="T88" s="33"/>
      <c r="U88" s="33"/>
      <c r="V88" s="33"/>
      <c r="W88" s="58" t="s">
        <v>2</v>
      </c>
      <c r="X88" s="58" t="s">
        <v>2</v>
      </c>
      <c r="Y88" s="33"/>
      <c r="Z88" s="33"/>
      <c r="AA88" s="33"/>
      <c r="AB88" s="33"/>
      <c r="AC88" s="33"/>
      <c r="AD88" s="33"/>
      <c r="AE88" s="58" t="s">
        <v>2</v>
      </c>
      <c r="AF88" s="1"/>
      <c r="AH88" s="16">
        <f t="shared" si="9"/>
        <v>0</v>
      </c>
      <c r="AI88" s="16">
        <f t="shared" si="10"/>
        <v>0</v>
      </c>
    </row>
    <row r="89" spans="1:35" ht="20.100000000000001" hidden="1" customHeight="1">
      <c r="A89" s="18" t="str">
        <f>ÖSSZES!$A$39</f>
        <v>Név14</v>
      </c>
      <c r="B89" s="33"/>
      <c r="C89" s="33"/>
      <c r="D89" s="33"/>
      <c r="E89" s="33"/>
      <c r="F89" s="33"/>
      <c r="G89" s="58" t="s">
        <v>2</v>
      </c>
      <c r="H89" s="58" t="s">
        <v>2</v>
      </c>
      <c r="I89" s="33"/>
      <c r="J89" s="33"/>
      <c r="K89" s="59"/>
      <c r="L89" s="33"/>
      <c r="M89" s="59"/>
      <c r="N89" s="59"/>
      <c r="O89" s="58" t="s">
        <v>2</v>
      </c>
      <c r="P89" s="58" t="s">
        <v>2</v>
      </c>
      <c r="Q89" s="33"/>
      <c r="R89" s="33"/>
      <c r="S89" s="33"/>
      <c r="T89" s="33"/>
      <c r="U89" s="33"/>
      <c r="V89" s="33"/>
      <c r="W89" s="58" t="s">
        <v>2</v>
      </c>
      <c r="X89" s="58" t="s">
        <v>2</v>
      </c>
      <c r="Y89" s="33"/>
      <c r="Z89" s="33"/>
      <c r="AA89" s="33"/>
      <c r="AB89" s="33"/>
      <c r="AC89" s="33"/>
      <c r="AD89" s="33"/>
      <c r="AE89" s="58" t="s">
        <v>2</v>
      </c>
      <c r="AF89" s="1"/>
      <c r="AH89" s="16">
        <f t="shared" si="9"/>
        <v>0</v>
      </c>
      <c r="AI89" s="16">
        <f t="shared" si="10"/>
        <v>0</v>
      </c>
    </row>
    <row r="90" spans="1:35" ht="20.100000000000001" hidden="1" customHeight="1">
      <c r="A90" s="18" t="str">
        <f>ÖSSZES!$A$40</f>
        <v>Név15</v>
      </c>
      <c r="B90" s="33"/>
      <c r="C90" s="33"/>
      <c r="D90" s="33"/>
      <c r="E90" s="33"/>
      <c r="F90" s="33"/>
      <c r="G90" s="58" t="s">
        <v>2</v>
      </c>
      <c r="H90" s="58" t="s">
        <v>2</v>
      </c>
      <c r="I90" s="33"/>
      <c r="J90" s="33"/>
      <c r="K90" s="59"/>
      <c r="L90" s="33"/>
      <c r="M90" s="59"/>
      <c r="N90" s="59"/>
      <c r="O90" s="58" t="s">
        <v>2</v>
      </c>
      <c r="P90" s="58" t="s">
        <v>2</v>
      </c>
      <c r="Q90" s="33"/>
      <c r="R90" s="33"/>
      <c r="S90" s="33"/>
      <c r="T90" s="33"/>
      <c r="U90" s="33"/>
      <c r="V90" s="33"/>
      <c r="W90" s="58" t="s">
        <v>2</v>
      </c>
      <c r="X90" s="58" t="s">
        <v>2</v>
      </c>
      <c r="Y90" s="33"/>
      <c r="Z90" s="33"/>
      <c r="AA90" s="33"/>
      <c r="AB90" s="33"/>
      <c r="AC90" s="33"/>
      <c r="AD90" s="33"/>
      <c r="AE90" s="58" t="s">
        <v>2</v>
      </c>
      <c r="AF90" s="1"/>
      <c r="AH90" s="16">
        <f t="shared" si="9"/>
        <v>0</v>
      </c>
      <c r="AI90" s="16">
        <f t="shared" si="10"/>
        <v>0</v>
      </c>
    </row>
    <row r="91" spans="1:35" ht="20.100000000000001" hidden="1" customHeight="1">
      <c r="A91" s="18" t="str">
        <f>ÖSSZES!$A$41</f>
        <v>Név16</v>
      </c>
      <c r="B91" s="33"/>
      <c r="C91" s="33"/>
      <c r="D91" s="33"/>
      <c r="E91" s="33"/>
      <c r="F91" s="33"/>
      <c r="G91" s="58" t="s">
        <v>2</v>
      </c>
      <c r="H91" s="58" t="s">
        <v>2</v>
      </c>
      <c r="I91" s="33"/>
      <c r="J91" s="33"/>
      <c r="K91" s="59"/>
      <c r="L91" s="33"/>
      <c r="M91" s="59"/>
      <c r="N91" s="59"/>
      <c r="O91" s="58" t="s">
        <v>2</v>
      </c>
      <c r="P91" s="58" t="s">
        <v>2</v>
      </c>
      <c r="Q91" s="33"/>
      <c r="R91" s="33"/>
      <c r="S91" s="33"/>
      <c r="T91" s="33"/>
      <c r="U91" s="33"/>
      <c r="V91" s="33"/>
      <c r="W91" s="58" t="s">
        <v>2</v>
      </c>
      <c r="X91" s="58" t="s">
        <v>2</v>
      </c>
      <c r="Y91" s="33"/>
      <c r="Z91" s="33"/>
      <c r="AA91" s="33"/>
      <c r="AB91" s="33"/>
      <c r="AC91" s="33"/>
      <c r="AD91" s="33"/>
      <c r="AE91" s="58" t="s">
        <v>2</v>
      </c>
      <c r="AF91" s="1"/>
      <c r="AH91" s="16">
        <f t="shared" si="9"/>
        <v>0</v>
      </c>
      <c r="AI91" s="16">
        <f t="shared" si="10"/>
        <v>0</v>
      </c>
    </row>
    <row r="92" spans="1:35" ht="20.100000000000001" hidden="1" customHeight="1">
      <c r="A92" s="18" t="str">
        <f>ÖSSZES!$A$42</f>
        <v>Név17</v>
      </c>
      <c r="B92" s="33"/>
      <c r="C92" s="33"/>
      <c r="D92" s="33"/>
      <c r="E92" s="33"/>
      <c r="F92" s="33"/>
      <c r="G92" s="58" t="s">
        <v>2</v>
      </c>
      <c r="H92" s="58" t="s">
        <v>2</v>
      </c>
      <c r="I92" s="33"/>
      <c r="J92" s="33"/>
      <c r="K92" s="59"/>
      <c r="L92" s="33"/>
      <c r="M92" s="59"/>
      <c r="N92" s="59"/>
      <c r="O92" s="58" t="s">
        <v>2</v>
      </c>
      <c r="P92" s="58" t="s">
        <v>2</v>
      </c>
      <c r="Q92" s="33"/>
      <c r="R92" s="33"/>
      <c r="S92" s="33"/>
      <c r="T92" s="33"/>
      <c r="U92" s="33"/>
      <c r="V92" s="33"/>
      <c r="W92" s="58" t="s">
        <v>2</v>
      </c>
      <c r="X92" s="58" t="s">
        <v>2</v>
      </c>
      <c r="Y92" s="33"/>
      <c r="Z92" s="33"/>
      <c r="AA92" s="33"/>
      <c r="AB92" s="33"/>
      <c r="AC92" s="33"/>
      <c r="AD92" s="33"/>
      <c r="AE92" s="58" t="s">
        <v>2</v>
      </c>
      <c r="AF92" s="1"/>
      <c r="AH92" s="16">
        <f t="shared" si="9"/>
        <v>0</v>
      </c>
      <c r="AI92" s="16">
        <f t="shared" si="10"/>
        <v>0</v>
      </c>
    </row>
    <row r="93" spans="1:35" ht="20.100000000000001" hidden="1" customHeight="1">
      <c r="A93" s="18" t="str">
        <f>ÖSSZES!$A$43</f>
        <v>Név18</v>
      </c>
      <c r="B93" s="33"/>
      <c r="C93" s="33"/>
      <c r="D93" s="33"/>
      <c r="E93" s="33"/>
      <c r="F93" s="33"/>
      <c r="G93" s="58" t="s">
        <v>2</v>
      </c>
      <c r="H93" s="58" t="s">
        <v>2</v>
      </c>
      <c r="I93" s="33"/>
      <c r="J93" s="33"/>
      <c r="K93" s="59"/>
      <c r="L93" s="33"/>
      <c r="M93" s="59"/>
      <c r="N93" s="59"/>
      <c r="O93" s="58" t="s">
        <v>2</v>
      </c>
      <c r="P93" s="58" t="s">
        <v>2</v>
      </c>
      <c r="Q93" s="33"/>
      <c r="R93" s="33"/>
      <c r="S93" s="33"/>
      <c r="T93" s="33"/>
      <c r="U93" s="33"/>
      <c r="V93" s="33"/>
      <c r="W93" s="58" t="s">
        <v>2</v>
      </c>
      <c r="X93" s="58" t="s">
        <v>2</v>
      </c>
      <c r="Y93" s="33"/>
      <c r="Z93" s="33"/>
      <c r="AA93" s="33"/>
      <c r="AB93" s="33"/>
      <c r="AC93" s="33"/>
      <c r="AD93" s="33"/>
      <c r="AE93" s="58" t="s">
        <v>2</v>
      </c>
      <c r="AF93" s="1"/>
      <c r="AH93" s="16">
        <f t="shared" si="9"/>
        <v>0</v>
      </c>
      <c r="AI93" s="16">
        <f t="shared" si="10"/>
        <v>0</v>
      </c>
    </row>
    <row r="94" spans="1:35" ht="20.100000000000001" hidden="1" customHeight="1">
      <c r="A94" s="18" t="str">
        <f>ÖSSZES!$A$44</f>
        <v>Név19</v>
      </c>
      <c r="B94" s="33"/>
      <c r="C94" s="33"/>
      <c r="D94" s="33"/>
      <c r="E94" s="33"/>
      <c r="F94" s="33"/>
      <c r="G94" s="58" t="s">
        <v>2</v>
      </c>
      <c r="H94" s="58" t="s">
        <v>2</v>
      </c>
      <c r="I94" s="33"/>
      <c r="J94" s="33"/>
      <c r="K94" s="59"/>
      <c r="L94" s="33"/>
      <c r="M94" s="59"/>
      <c r="N94" s="59"/>
      <c r="O94" s="58" t="s">
        <v>2</v>
      </c>
      <c r="P94" s="58" t="s">
        <v>2</v>
      </c>
      <c r="Q94" s="33"/>
      <c r="R94" s="33"/>
      <c r="S94" s="33"/>
      <c r="T94" s="33"/>
      <c r="U94" s="33"/>
      <c r="V94" s="33"/>
      <c r="W94" s="58" t="s">
        <v>2</v>
      </c>
      <c r="X94" s="58" t="s">
        <v>2</v>
      </c>
      <c r="Y94" s="33"/>
      <c r="Z94" s="33"/>
      <c r="AA94" s="33"/>
      <c r="AB94" s="33"/>
      <c r="AC94" s="33"/>
      <c r="AD94" s="33"/>
      <c r="AE94" s="58" t="s">
        <v>2</v>
      </c>
      <c r="AF94" s="1"/>
      <c r="AH94" s="16">
        <f t="shared" si="9"/>
        <v>0</v>
      </c>
      <c r="AI94" s="16">
        <f t="shared" si="10"/>
        <v>0</v>
      </c>
    </row>
    <row r="95" spans="1:35" ht="20.100000000000001" hidden="1" customHeight="1">
      <c r="A95" s="18" t="str">
        <f>ÖSSZES!$A$45</f>
        <v>Név20</v>
      </c>
      <c r="B95" s="33"/>
      <c r="C95" s="33"/>
      <c r="D95" s="33"/>
      <c r="E95" s="33"/>
      <c r="F95" s="33"/>
      <c r="G95" s="58" t="s">
        <v>2</v>
      </c>
      <c r="H95" s="58" t="s">
        <v>2</v>
      </c>
      <c r="I95" s="33"/>
      <c r="J95" s="33"/>
      <c r="K95" s="59"/>
      <c r="L95" s="33"/>
      <c r="M95" s="59"/>
      <c r="N95" s="59"/>
      <c r="O95" s="58" t="s">
        <v>2</v>
      </c>
      <c r="P95" s="58" t="s">
        <v>2</v>
      </c>
      <c r="Q95" s="33"/>
      <c r="R95" s="33"/>
      <c r="S95" s="33"/>
      <c r="T95" s="33"/>
      <c r="U95" s="33"/>
      <c r="V95" s="33"/>
      <c r="W95" s="58" t="s">
        <v>2</v>
      </c>
      <c r="X95" s="58" t="s">
        <v>2</v>
      </c>
      <c r="Y95" s="33"/>
      <c r="Z95" s="33"/>
      <c r="AA95" s="33"/>
      <c r="AB95" s="33"/>
      <c r="AC95" s="33"/>
      <c r="AD95" s="33"/>
      <c r="AE95" s="58" t="s">
        <v>2</v>
      </c>
      <c r="AF95" s="1"/>
      <c r="AH95" s="16">
        <f t="shared" si="9"/>
        <v>0</v>
      </c>
      <c r="AI95" s="16">
        <f t="shared" si="10"/>
        <v>0</v>
      </c>
    </row>
    <row r="96" spans="1:35" ht="20.100000000000001" customHeight="1"/>
    <row r="97" spans="1:35" s="6" customFormat="1" ht="20.100000000000001" customHeight="1">
      <c r="A97" s="91" t="s">
        <v>9</v>
      </c>
      <c r="B97" s="19">
        <v>1</v>
      </c>
      <c r="C97" s="17">
        <v>2</v>
      </c>
      <c r="D97" s="17">
        <v>3</v>
      </c>
      <c r="E97" s="17">
        <v>4</v>
      </c>
      <c r="F97" s="17">
        <v>5</v>
      </c>
      <c r="G97" s="17">
        <v>6</v>
      </c>
      <c r="H97" s="17">
        <v>7</v>
      </c>
      <c r="I97" s="17">
        <v>8</v>
      </c>
      <c r="J97" s="17">
        <v>9</v>
      </c>
      <c r="K97" s="17">
        <v>10</v>
      </c>
      <c r="L97" s="17">
        <v>11</v>
      </c>
      <c r="M97" s="17">
        <v>12</v>
      </c>
      <c r="N97" s="17">
        <v>13</v>
      </c>
      <c r="O97" s="17">
        <v>14</v>
      </c>
      <c r="P97" s="17">
        <v>15</v>
      </c>
      <c r="Q97" s="17">
        <v>16</v>
      </c>
      <c r="R97" s="17">
        <v>17</v>
      </c>
      <c r="S97" s="17">
        <v>18</v>
      </c>
      <c r="T97" s="17">
        <v>19</v>
      </c>
      <c r="U97" s="17">
        <v>20</v>
      </c>
      <c r="V97" s="17">
        <v>21</v>
      </c>
      <c r="W97" s="17">
        <v>22</v>
      </c>
      <c r="X97" s="17">
        <v>23</v>
      </c>
      <c r="Y97" s="17">
        <v>24</v>
      </c>
      <c r="Z97" s="17">
        <v>25</v>
      </c>
      <c r="AA97" s="17">
        <v>26</v>
      </c>
      <c r="AB97" s="17">
        <v>27</v>
      </c>
      <c r="AC97" s="17">
        <v>28</v>
      </c>
      <c r="AD97" s="17">
        <v>29</v>
      </c>
      <c r="AE97" s="17">
        <v>30</v>
      </c>
      <c r="AF97" s="32">
        <v>31</v>
      </c>
      <c r="AH97" s="93" t="s">
        <v>18</v>
      </c>
      <c r="AI97" s="93" t="s">
        <v>19</v>
      </c>
    </row>
    <row r="98" spans="1:35" ht="20.100000000000001" customHeight="1">
      <c r="A98" s="92"/>
      <c r="B98" s="11" t="str">
        <f>'2020'!B36</f>
        <v>P</v>
      </c>
      <c r="C98" s="11" t="str">
        <f>'2020'!C36</f>
        <v>Szo</v>
      </c>
      <c r="D98" s="11" t="str">
        <f>'2020'!D36</f>
        <v>V</v>
      </c>
      <c r="E98" s="11" t="str">
        <f>'2020'!E36</f>
        <v>H</v>
      </c>
      <c r="F98" s="11" t="str">
        <f>'2020'!F36</f>
        <v>K</v>
      </c>
      <c r="G98" s="11" t="str">
        <f>'2020'!G36</f>
        <v>Sze</v>
      </c>
      <c r="H98" s="11" t="str">
        <f>'2020'!H36</f>
        <v>Cs</v>
      </c>
      <c r="I98" s="11" t="str">
        <f>'2020'!I36</f>
        <v>P</v>
      </c>
      <c r="J98" s="11" t="str">
        <f>'2020'!J36</f>
        <v>Szo</v>
      </c>
      <c r="K98" s="11" t="str">
        <f>'2020'!K36</f>
        <v>V</v>
      </c>
      <c r="L98" s="11" t="str">
        <f>'2020'!L36</f>
        <v>H</v>
      </c>
      <c r="M98" s="11" t="str">
        <f>'2020'!M36</f>
        <v>K</v>
      </c>
      <c r="N98" s="11" t="str">
        <f>'2020'!N36</f>
        <v>Sze</v>
      </c>
      <c r="O98" s="11" t="str">
        <f>'2020'!O36</f>
        <v>Cs</v>
      </c>
      <c r="P98" s="11" t="str">
        <f>'2020'!P36</f>
        <v>P</v>
      </c>
      <c r="Q98" s="11" t="str">
        <f>'2020'!Q36</f>
        <v>Szo</v>
      </c>
      <c r="R98" s="11" t="str">
        <f>'2020'!R36</f>
        <v>V</v>
      </c>
      <c r="S98" s="11" t="str">
        <f>'2020'!S36</f>
        <v>H</v>
      </c>
      <c r="T98" s="11" t="str">
        <f>'2020'!T36</f>
        <v>K</v>
      </c>
      <c r="U98" s="11" t="str">
        <f>'2020'!U36</f>
        <v>Sze</v>
      </c>
      <c r="V98" s="11" t="str">
        <f>'2020'!V36</f>
        <v>Cs</v>
      </c>
      <c r="W98" s="11" t="str">
        <f>'2020'!W36</f>
        <v>P</v>
      </c>
      <c r="X98" s="11" t="str">
        <f>'2020'!X36</f>
        <v>Szo</v>
      </c>
      <c r="Y98" s="11" t="str">
        <f>'2020'!Y36</f>
        <v>V</v>
      </c>
      <c r="Z98" s="11" t="str">
        <f>'2020'!Z36</f>
        <v>H</v>
      </c>
      <c r="AA98" s="11" t="str">
        <f>'2020'!AA36</f>
        <v>K</v>
      </c>
      <c r="AB98" s="11" t="str">
        <f>'2020'!AB36</f>
        <v>Sze</v>
      </c>
      <c r="AC98" s="11" t="str">
        <f>'2020'!AC36</f>
        <v>Cs</v>
      </c>
      <c r="AD98" s="11" t="str">
        <f>'2020'!AD36</f>
        <v>P</v>
      </c>
      <c r="AE98" s="11" t="str">
        <f>'2020'!AE36</f>
        <v>Szo</v>
      </c>
      <c r="AF98" s="11" t="str">
        <f>'2020'!AF36</f>
        <v>V</v>
      </c>
      <c r="AH98" s="94"/>
      <c r="AI98" s="94"/>
    </row>
    <row r="99" spans="1:35" ht="20.100000000000001" customHeight="1">
      <c r="A99" s="92"/>
      <c r="B99" s="10" t="str">
        <f>'2020'!B38</f>
        <v>X</v>
      </c>
      <c r="C99" s="10">
        <f>'2020'!C38</f>
        <v>3</v>
      </c>
      <c r="D99" s="10">
        <f>'2020'!D38</f>
        <v>3</v>
      </c>
      <c r="E99" s="10">
        <f>'2020'!E38</f>
        <v>3</v>
      </c>
      <c r="F99" s="10">
        <f>'2020'!F38</f>
        <v>3</v>
      </c>
      <c r="G99" s="10">
        <f>'2020'!G38</f>
        <v>3</v>
      </c>
      <c r="H99" s="10">
        <f>'2020'!H38</f>
        <v>3</v>
      </c>
      <c r="I99" s="10" t="str">
        <f>'2020'!I38</f>
        <v>X</v>
      </c>
      <c r="J99" s="10" t="str">
        <f>'2020'!J38</f>
        <v>X</v>
      </c>
      <c r="K99" s="10">
        <f>'2020'!K38</f>
        <v>2</v>
      </c>
      <c r="L99" s="10">
        <f>'2020'!L38</f>
        <v>2</v>
      </c>
      <c r="M99" s="10">
        <f>'2020'!M38</f>
        <v>2</v>
      </c>
      <c r="N99" s="10">
        <f>'2020'!N38</f>
        <v>2</v>
      </c>
      <c r="O99" s="10">
        <f>'2020'!O38</f>
        <v>2</v>
      </c>
      <c r="P99" s="10">
        <f>'2020'!P38</f>
        <v>2</v>
      </c>
      <c r="Q99" s="10" t="str">
        <f>'2020'!Q38</f>
        <v>X</v>
      </c>
      <c r="R99" s="10" t="str">
        <f>'2020'!R38</f>
        <v>X</v>
      </c>
      <c r="S99" s="10">
        <f>'2020'!S38</f>
        <v>1</v>
      </c>
      <c r="T99" s="10">
        <f>'2020'!T38</f>
        <v>1</v>
      </c>
      <c r="U99" s="10">
        <f>'2020'!U38</f>
        <v>1</v>
      </c>
      <c r="V99" s="10">
        <f>'2020'!V38</f>
        <v>1</v>
      </c>
      <c r="W99" s="10">
        <f>'2020'!W38</f>
        <v>1</v>
      </c>
      <c r="X99" s="10">
        <f>'2020'!X38</f>
        <v>1</v>
      </c>
      <c r="Y99" s="10" t="str">
        <f>'2020'!Y38</f>
        <v>X</v>
      </c>
      <c r="Z99" s="10" t="str">
        <f>'2020'!Z38</f>
        <v>X</v>
      </c>
      <c r="AA99" s="10">
        <f>'2020'!AA38</f>
        <v>3</v>
      </c>
      <c r="AB99" s="10">
        <f>'2020'!AB38</f>
        <v>3</v>
      </c>
      <c r="AC99" s="10">
        <f>'2020'!AC38</f>
        <v>3</v>
      </c>
      <c r="AD99" s="10">
        <f>'2020'!AD38</f>
        <v>3</v>
      </c>
      <c r="AE99" s="10">
        <f>'2020'!AE38</f>
        <v>3</v>
      </c>
      <c r="AF99" s="10">
        <f>'2020'!AF38</f>
        <v>3</v>
      </c>
      <c r="AH99" s="94"/>
      <c r="AI99" s="94"/>
    </row>
    <row r="100" spans="1:35" ht="20.100000000000001" customHeight="1">
      <c r="A100" s="18" t="str">
        <f>ÖSSZES!$A$26</f>
        <v>Katona László</v>
      </c>
      <c r="B100" s="58" t="s">
        <v>2</v>
      </c>
      <c r="C100" s="14"/>
      <c r="D100" s="14"/>
      <c r="E100" s="14"/>
      <c r="F100" s="14"/>
      <c r="G100" s="33"/>
      <c r="H100" s="33"/>
      <c r="I100" s="58" t="s">
        <v>2</v>
      </c>
      <c r="J100" s="58" t="s">
        <v>2</v>
      </c>
      <c r="K100" s="14"/>
      <c r="L100" s="14"/>
      <c r="M100" s="14"/>
      <c r="N100" s="14"/>
      <c r="O100" s="33"/>
      <c r="P100" s="33"/>
      <c r="Q100" s="58" t="s">
        <v>2</v>
      </c>
      <c r="R100" s="58" t="s">
        <v>2</v>
      </c>
      <c r="S100" s="14"/>
      <c r="T100" s="14"/>
      <c r="U100" s="14"/>
      <c r="V100" s="14"/>
      <c r="W100" s="33"/>
      <c r="X100" s="33"/>
      <c r="Y100" s="58" t="s">
        <v>2</v>
      </c>
      <c r="Z100" s="58" t="s">
        <v>2</v>
      </c>
      <c r="AA100" s="14"/>
      <c r="AB100" s="14"/>
      <c r="AC100" s="14"/>
      <c r="AD100" s="14"/>
      <c r="AE100" s="33"/>
      <c r="AF100" s="59"/>
      <c r="AH100" s="16">
        <f>1*COUNTIF(A100:AF100,"+")</f>
        <v>0</v>
      </c>
      <c r="AI100" s="16">
        <f t="shared" ref="AI100" si="11">1*COUNTIF(B100:AF100,"szf")</f>
        <v>0</v>
      </c>
    </row>
    <row r="101" spans="1:35" ht="20.100000000000001" customHeight="1">
      <c r="A101" s="18" t="str">
        <f>ÖSSZES!$A$27</f>
        <v>Kiss János Tamás</v>
      </c>
      <c r="B101" s="58" t="s">
        <v>2</v>
      </c>
      <c r="C101" s="14"/>
      <c r="D101" s="14"/>
      <c r="E101" s="14"/>
      <c r="F101" s="14"/>
      <c r="G101" s="33"/>
      <c r="H101" s="33"/>
      <c r="I101" s="58" t="s">
        <v>2</v>
      </c>
      <c r="J101" s="58" t="s">
        <v>2</v>
      </c>
      <c r="K101" s="14"/>
      <c r="L101" s="14"/>
      <c r="M101" s="14"/>
      <c r="N101" s="14"/>
      <c r="O101" s="33"/>
      <c r="P101" s="33"/>
      <c r="Q101" s="58" t="s">
        <v>2</v>
      </c>
      <c r="R101" s="58" t="s">
        <v>2</v>
      </c>
      <c r="S101" s="14"/>
      <c r="T101" s="14"/>
      <c r="U101" s="14"/>
      <c r="V101" s="14"/>
      <c r="W101" s="33"/>
      <c r="X101" s="33"/>
      <c r="Y101" s="58" t="s">
        <v>2</v>
      </c>
      <c r="Z101" s="58" t="s">
        <v>2</v>
      </c>
      <c r="AA101" s="14"/>
      <c r="AB101" s="14"/>
      <c r="AC101" s="14"/>
      <c r="AD101" s="14"/>
      <c r="AE101" s="33"/>
      <c r="AF101" s="59"/>
      <c r="AH101" s="16">
        <f t="shared" ref="AH101:AH119" si="12">1*COUNTIF(A101:AF101,"+")</f>
        <v>0</v>
      </c>
      <c r="AI101" s="16">
        <f t="shared" ref="AI101:AI119" si="13">1*COUNTIF(B101:AF101,"szf")</f>
        <v>0</v>
      </c>
    </row>
    <row r="102" spans="1:35" ht="20.100000000000001" customHeight="1">
      <c r="A102" s="18" t="str">
        <f>ÖSSZES!$A$28</f>
        <v>Habara Gábor</v>
      </c>
      <c r="B102" s="58" t="s">
        <v>2</v>
      </c>
      <c r="C102" s="14"/>
      <c r="D102" s="14"/>
      <c r="E102" s="14"/>
      <c r="F102" s="14"/>
      <c r="G102" s="33"/>
      <c r="H102" s="33"/>
      <c r="I102" s="58" t="s">
        <v>2</v>
      </c>
      <c r="J102" s="58" t="s">
        <v>2</v>
      </c>
      <c r="K102" s="14"/>
      <c r="L102" s="14"/>
      <c r="M102" s="14"/>
      <c r="N102" s="14"/>
      <c r="O102" s="33"/>
      <c r="P102" s="33"/>
      <c r="Q102" s="58" t="s">
        <v>2</v>
      </c>
      <c r="R102" s="58" t="s">
        <v>2</v>
      </c>
      <c r="S102" s="14"/>
      <c r="T102" s="14"/>
      <c r="U102" s="14"/>
      <c r="V102" s="14"/>
      <c r="W102" s="33"/>
      <c r="X102" s="33"/>
      <c r="Y102" s="58" t="s">
        <v>2</v>
      </c>
      <c r="Z102" s="58" t="s">
        <v>2</v>
      </c>
      <c r="AA102" s="14"/>
      <c r="AB102" s="14"/>
      <c r="AC102" s="14"/>
      <c r="AD102" s="14"/>
      <c r="AE102" s="33"/>
      <c r="AF102" s="59"/>
      <c r="AH102" s="16">
        <f t="shared" si="12"/>
        <v>0</v>
      </c>
      <c r="AI102" s="16">
        <f t="shared" si="13"/>
        <v>0</v>
      </c>
    </row>
    <row r="103" spans="1:35" ht="20.100000000000001" customHeight="1">
      <c r="A103" s="18" t="str">
        <f>ÖSSZES!$A$29</f>
        <v>Holba Imre</v>
      </c>
      <c r="B103" s="58" t="s">
        <v>2</v>
      </c>
      <c r="C103" s="14"/>
      <c r="D103" s="14"/>
      <c r="E103" s="14"/>
      <c r="F103" s="14"/>
      <c r="G103" s="33"/>
      <c r="H103" s="33"/>
      <c r="I103" s="58" t="s">
        <v>2</v>
      </c>
      <c r="J103" s="58" t="s">
        <v>2</v>
      </c>
      <c r="K103" s="14"/>
      <c r="L103" s="14"/>
      <c r="M103" s="14"/>
      <c r="N103" s="14"/>
      <c r="O103" s="33"/>
      <c r="P103" s="33"/>
      <c r="Q103" s="58" t="s">
        <v>2</v>
      </c>
      <c r="R103" s="58" t="s">
        <v>2</v>
      </c>
      <c r="S103" s="14"/>
      <c r="T103" s="14"/>
      <c r="U103" s="14"/>
      <c r="V103" s="14"/>
      <c r="W103" s="33"/>
      <c r="X103" s="33"/>
      <c r="Y103" s="58" t="s">
        <v>2</v>
      </c>
      <c r="Z103" s="58" t="s">
        <v>2</v>
      </c>
      <c r="AA103" s="14"/>
      <c r="AB103" s="14"/>
      <c r="AC103" s="14"/>
      <c r="AD103" s="14"/>
      <c r="AE103" s="33"/>
      <c r="AF103" s="59"/>
      <c r="AH103" s="16">
        <f t="shared" si="12"/>
        <v>0</v>
      </c>
      <c r="AI103" s="16">
        <f t="shared" si="13"/>
        <v>0</v>
      </c>
    </row>
    <row r="104" spans="1:35" ht="20.100000000000001" customHeight="1">
      <c r="A104" s="18" t="str">
        <f>ÖSSZES!$A$30</f>
        <v>Keresztes Gyula</v>
      </c>
      <c r="B104" s="58" t="s">
        <v>2</v>
      </c>
      <c r="C104" s="14"/>
      <c r="D104" s="14"/>
      <c r="E104" s="14"/>
      <c r="F104" s="14"/>
      <c r="G104" s="33"/>
      <c r="H104" s="33"/>
      <c r="I104" s="58" t="s">
        <v>2</v>
      </c>
      <c r="J104" s="58" t="s">
        <v>2</v>
      </c>
      <c r="K104" s="14"/>
      <c r="L104" s="14"/>
      <c r="M104" s="14"/>
      <c r="N104" s="14"/>
      <c r="O104" s="33"/>
      <c r="P104" s="33"/>
      <c r="Q104" s="58" t="s">
        <v>2</v>
      </c>
      <c r="R104" s="58" t="s">
        <v>2</v>
      </c>
      <c r="S104" s="14" t="s">
        <v>114</v>
      </c>
      <c r="T104" s="14" t="s">
        <v>114</v>
      </c>
      <c r="U104" s="14" t="s">
        <v>114</v>
      </c>
      <c r="V104" s="14" t="s">
        <v>114</v>
      </c>
      <c r="W104" s="33" t="s">
        <v>20</v>
      </c>
      <c r="X104" s="33" t="s">
        <v>20</v>
      </c>
      <c r="Y104" s="58" t="s">
        <v>2</v>
      </c>
      <c r="Z104" s="58" t="s">
        <v>2</v>
      </c>
      <c r="AA104" s="14" t="s">
        <v>20</v>
      </c>
      <c r="AB104" s="14" t="s">
        <v>20</v>
      </c>
      <c r="AC104" s="14" t="s">
        <v>20</v>
      </c>
      <c r="AD104" s="14" t="s">
        <v>20</v>
      </c>
      <c r="AE104" s="33" t="s">
        <v>20</v>
      </c>
      <c r="AF104" s="59" t="s">
        <v>20</v>
      </c>
      <c r="AH104" s="16">
        <f t="shared" si="12"/>
        <v>4</v>
      </c>
      <c r="AI104" s="16">
        <f t="shared" si="13"/>
        <v>8</v>
      </c>
    </row>
    <row r="105" spans="1:35" ht="20.100000000000001" customHeight="1">
      <c r="A105" s="18" t="str">
        <f>ÖSSZES!$A$31</f>
        <v>Király Bálint Donát</v>
      </c>
      <c r="B105" s="58" t="s">
        <v>2</v>
      </c>
      <c r="C105" s="14"/>
      <c r="D105" s="14"/>
      <c r="E105" s="14"/>
      <c r="F105" s="14"/>
      <c r="G105" s="33"/>
      <c r="H105" s="33"/>
      <c r="I105" s="58" t="s">
        <v>2</v>
      </c>
      <c r="J105" s="58" t="s">
        <v>2</v>
      </c>
      <c r="K105" s="14"/>
      <c r="L105" s="14"/>
      <c r="M105" s="14"/>
      <c r="N105" s="14"/>
      <c r="O105" s="33"/>
      <c r="P105" s="33"/>
      <c r="Q105" s="58" t="s">
        <v>2</v>
      </c>
      <c r="R105" s="58" t="s">
        <v>2</v>
      </c>
      <c r="S105" s="14"/>
      <c r="T105" s="14"/>
      <c r="U105" s="14"/>
      <c r="V105" s="14"/>
      <c r="W105" s="33"/>
      <c r="X105" s="33"/>
      <c r="Y105" s="58" t="s">
        <v>2</v>
      </c>
      <c r="Z105" s="58" t="s">
        <v>2</v>
      </c>
      <c r="AA105" s="14"/>
      <c r="AB105" s="14"/>
      <c r="AC105" s="14"/>
      <c r="AD105" s="14"/>
      <c r="AE105" s="33"/>
      <c r="AF105" s="59"/>
      <c r="AH105" s="16">
        <f t="shared" si="12"/>
        <v>0</v>
      </c>
      <c r="AI105" s="16">
        <f t="shared" si="13"/>
        <v>0</v>
      </c>
    </row>
    <row r="106" spans="1:35" ht="20.100000000000001" customHeight="1">
      <c r="A106" s="18" t="str">
        <f>ÖSSZES!$A$32</f>
        <v>Mezei Lajos</v>
      </c>
      <c r="B106" s="58" t="s">
        <v>2</v>
      </c>
      <c r="C106" s="14"/>
      <c r="D106" s="14"/>
      <c r="E106" s="14"/>
      <c r="F106" s="14"/>
      <c r="G106" s="33"/>
      <c r="H106" s="33"/>
      <c r="I106" s="58" t="s">
        <v>2</v>
      </c>
      <c r="J106" s="58" t="s">
        <v>2</v>
      </c>
      <c r="K106" s="14"/>
      <c r="L106" s="14"/>
      <c r="M106" s="14"/>
      <c r="N106" s="14"/>
      <c r="O106" s="33"/>
      <c r="P106" s="33"/>
      <c r="Q106" s="58" t="s">
        <v>2</v>
      </c>
      <c r="R106" s="58" t="s">
        <v>2</v>
      </c>
      <c r="S106" s="14"/>
      <c r="T106" s="14"/>
      <c r="U106" s="14"/>
      <c r="V106" s="14"/>
      <c r="W106" s="33"/>
      <c r="X106" s="33"/>
      <c r="Y106" s="58" t="s">
        <v>2</v>
      </c>
      <c r="Z106" s="58" t="s">
        <v>2</v>
      </c>
      <c r="AA106" s="14"/>
      <c r="AB106" s="14"/>
      <c r="AC106" s="14"/>
      <c r="AD106" s="14"/>
      <c r="AE106" s="33"/>
      <c r="AF106" s="59"/>
      <c r="AH106" s="16">
        <f t="shared" si="12"/>
        <v>0</v>
      </c>
      <c r="AI106" s="16">
        <f t="shared" si="13"/>
        <v>0</v>
      </c>
    </row>
    <row r="107" spans="1:35" ht="20.100000000000001" customHeight="1">
      <c r="A107" s="18" t="str">
        <f>ÖSSZES!$A$33</f>
        <v>Fényi László</v>
      </c>
      <c r="B107" s="58" t="s">
        <v>2</v>
      </c>
      <c r="C107" s="14"/>
      <c r="D107" s="14"/>
      <c r="E107" s="14"/>
      <c r="F107" s="14"/>
      <c r="G107" s="33"/>
      <c r="H107" s="33"/>
      <c r="I107" s="58" t="s">
        <v>2</v>
      </c>
      <c r="J107" s="58" t="s">
        <v>2</v>
      </c>
      <c r="K107" s="14"/>
      <c r="L107" s="14"/>
      <c r="M107" s="14"/>
      <c r="N107" s="14"/>
      <c r="O107" s="33"/>
      <c r="P107" s="33"/>
      <c r="Q107" s="58" t="s">
        <v>2</v>
      </c>
      <c r="R107" s="58" t="s">
        <v>2</v>
      </c>
      <c r="S107" s="14"/>
      <c r="T107" s="14"/>
      <c r="U107" s="14"/>
      <c r="V107" s="14"/>
      <c r="W107" s="33"/>
      <c r="X107" s="33"/>
      <c r="Y107" s="58" t="s">
        <v>2</v>
      </c>
      <c r="Z107" s="58" t="s">
        <v>2</v>
      </c>
      <c r="AA107" s="14"/>
      <c r="AB107" s="14"/>
      <c r="AC107" s="14"/>
      <c r="AD107" s="14"/>
      <c r="AE107" s="33"/>
      <c r="AF107" s="59"/>
      <c r="AH107" s="16">
        <f t="shared" si="12"/>
        <v>0</v>
      </c>
      <c r="AI107" s="16">
        <f t="shared" si="13"/>
        <v>0</v>
      </c>
    </row>
    <row r="108" spans="1:35" ht="20.100000000000001" hidden="1" customHeight="1">
      <c r="A108" s="18" t="str">
        <f>ÖSSZES!$A$34</f>
        <v>Név9</v>
      </c>
      <c r="B108" s="58" t="s">
        <v>2</v>
      </c>
      <c r="C108" s="14"/>
      <c r="D108" s="14"/>
      <c r="E108" s="14"/>
      <c r="F108" s="14"/>
      <c r="G108" s="33"/>
      <c r="H108" s="33"/>
      <c r="I108" s="58" t="s">
        <v>2</v>
      </c>
      <c r="J108" s="58" t="s">
        <v>2</v>
      </c>
      <c r="K108" s="14"/>
      <c r="L108" s="14"/>
      <c r="M108" s="14"/>
      <c r="N108" s="14"/>
      <c r="O108" s="33"/>
      <c r="P108" s="33"/>
      <c r="Q108" s="58" t="s">
        <v>2</v>
      </c>
      <c r="R108" s="58" t="s">
        <v>2</v>
      </c>
      <c r="S108" s="14"/>
      <c r="T108" s="14"/>
      <c r="U108" s="14"/>
      <c r="V108" s="14"/>
      <c r="W108" s="33"/>
      <c r="X108" s="33"/>
      <c r="Y108" s="58" t="s">
        <v>2</v>
      </c>
      <c r="Z108" s="58" t="s">
        <v>2</v>
      </c>
      <c r="AA108" s="14"/>
      <c r="AB108" s="14"/>
      <c r="AC108" s="14"/>
      <c r="AD108" s="14"/>
      <c r="AE108" s="33"/>
      <c r="AF108" s="59"/>
      <c r="AH108" s="16">
        <f t="shared" si="12"/>
        <v>0</v>
      </c>
      <c r="AI108" s="16">
        <f t="shared" si="13"/>
        <v>0</v>
      </c>
    </row>
    <row r="109" spans="1:35" ht="20.100000000000001" hidden="1" customHeight="1">
      <c r="A109" s="18" t="str">
        <f>ÖSSZES!$A$35</f>
        <v>Név10</v>
      </c>
      <c r="B109" s="58" t="s">
        <v>2</v>
      </c>
      <c r="C109" s="14"/>
      <c r="D109" s="14"/>
      <c r="E109" s="14"/>
      <c r="F109" s="14"/>
      <c r="G109" s="33"/>
      <c r="H109" s="33"/>
      <c r="I109" s="58" t="s">
        <v>2</v>
      </c>
      <c r="J109" s="58" t="s">
        <v>2</v>
      </c>
      <c r="K109" s="14"/>
      <c r="L109" s="14"/>
      <c r="M109" s="14"/>
      <c r="N109" s="14"/>
      <c r="O109" s="33"/>
      <c r="P109" s="33"/>
      <c r="Q109" s="58" t="s">
        <v>2</v>
      </c>
      <c r="R109" s="58" t="s">
        <v>2</v>
      </c>
      <c r="S109" s="14"/>
      <c r="T109" s="14"/>
      <c r="U109" s="14"/>
      <c r="V109" s="14"/>
      <c r="W109" s="33"/>
      <c r="X109" s="33"/>
      <c r="Y109" s="58" t="s">
        <v>2</v>
      </c>
      <c r="Z109" s="58" t="s">
        <v>2</v>
      </c>
      <c r="AA109" s="14"/>
      <c r="AB109" s="14"/>
      <c r="AC109" s="14"/>
      <c r="AD109" s="14"/>
      <c r="AE109" s="33"/>
      <c r="AF109" s="59"/>
      <c r="AH109" s="16">
        <f t="shared" si="12"/>
        <v>0</v>
      </c>
      <c r="AI109" s="16">
        <f t="shared" si="13"/>
        <v>0</v>
      </c>
    </row>
    <row r="110" spans="1:35" ht="20.100000000000001" hidden="1" customHeight="1">
      <c r="A110" s="18" t="str">
        <f>ÖSSZES!$A$36</f>
        <v>Név11</v>
      </c>
      <c r="B110" s="58" t="s">
        <v>2</v>
      </c>
      <c r="C110" s="14"/>
      <c r="D110" s="14"/>
      <c r="E110" s="14"/>
      <c r="F110" s="14"/>
      <c r="G110" s="33"/>
      <c r="H110" s="33"/>
      <c r="I110" s="58" t="s">
        <v>2</v>
      </c>
      <c r="J110" s="58" t="s">
        <v>2</v>
      </c>
      <c r="K110" s="14"/>
      <c r="L110" s="14"/>
      <c r="M110" s="14"/>
      <c r="N110" s="14"/>
      <c r="O110" s="33"/>
      <c r="P110" s="33"/>
      <c r="Q110" s="58" t="s">
        <v>2</v>
      </c>
      <c r="R110" s="58" t="s">
        <v>2</v>
      </c>
      <c r="S110" s="14"/>
      <c r="T110" s="14"/>
      <c r="U110" s="14"/>
      <c r="V110" s="14"/>
      <c r="W110" s="33"/>
      <c r="X110" s="33"/>
      <c r="Y110" s="58" t="s">
        <v>2</v>
      </c>
      <c r="Z110" s="58" t="s">
        <v>2</v>
      </c>
      <c r="AA110" s="14"/>
      <c r="AB110" s="14"/>
      <c r="AC110" s="14"/>
      <c r="AD110" s="14"/>
      <c r="AE110" s="33"/>
      <c r="AF110" s="59"/>
      <c r="AH110" s="16">
        <f t="shared" si="12"/>
        <v>0</v>
      </c>
      <c r="AI110" s="16">
        <f t="shared" si="13"/>
        <v>0</v>
      </c>
    </row>
    <row r="111" spans="1:35" ht="20.100000000000001" hidden="1" customHeight="1">
      <c r="A111" s="18" t="str">
        <f>ÖSSZES!$A$37</f>
        <v>Név12</v>
      </c>
      <c r="B111" s="58" t="s">
        <v>2</v>
      </c>
      <c r="C111" s="14"/>
      <c r="D111" s="14"/>
      <c r="E111" s="14"/>
      <c r="F111" s="14"/>
      <c r="G111" s="33"/>
      <c r="H111" s="33"/>
      <c r="I111" s="58" t="s">
        <v>2</v>
      </c>
      <c r="J111" s="58" t="s">
        <v>2</v>
      </c>
      <c r="K111" s="14"/>
      <c r="L111" s="14"/>
      <c r="M111" s="14"/>
      <c r="N111" s="14"/>
      <c r="O111" s="33"/>
      <c r="P111" s="33"/>
      <c r="Q111" s="58" t="s">
        <v>2</v>
      </c>
      <c r="R111" s="58" t="s">
        <v>2</v>
      </c>
      <c r="S111" s="14"/>
      <c r="T111" s="14"/>
      <c r="U111" s="14"/>
      <c r="V111" s="14"/>
      <c r="W111" s="33"/>
      <c r="X111" s="33"/>
      <c r="Y111" s="58" t="s">
        <v>2</v>
      </c>
      <c r="Z111" s="58" t="s">
        <v>2</v>
      </c>
      <c r="AA111" s="14"/>
      <c r="AB111" s="14"/>
      <c r="AC111" s="14"/>
      <c r="AD111" s="14"/>
      <c r="AE111" s="33"/>
      <c r="AF111" s="59"/>
      <c r="AH111" s="16">
        <f t="shared" si="12"/>
        <v>0</v>
      </c>
      <c r="AI111" s="16">
        <f t="shared" si="13"/>
        <v>0</v>
      </c>
    </row>
    <row r="112" spans="1:35" ht="20.100000000000001" hidden="1" customHeight="1">
      <c r="A112" s="18" t="str">
        <f>ÖSSZES!$A$38</f>
        <v>Név13</v>
      </c>
      <c r="B112" s="58" t="s">
        <v>2</v>
      </c>
      <c r="C112" s="14"/>
      <c r="D112" s="14"/>
      <c r="E112" s="14"/>
      <c r="F112" s="14"/>
      <c r="G112" s="33"/>
      <c r="H112" s="33"/>
      <c r="I112" s="58" t="s">
        <v>2</v>
      </c>
      <c r="J112" s="58" t="s">
        <v>2</v>
      </c>
      <c r="K112" s="14"/>
      <c r="L112" s="14"/>
      <c r="M112" s="14"/>
      <c r="N112" s="14"/>
      <c r="O112" s="33"/>
      <c r="P112" s="33"/>
      <c r="Q112" s="58" t="s">
        <v>2</v>
      </c>
      <c r="R112" s="58" t="s">
        <v>2</v>
      </c>
      <c r="S112" s="14"/>
      <c r="T112" s="14"/>
      <c r="U112" s="14"/>
      <c r="V112" s="14"/>
      <c r="W112" s="33"/>
      <c r="X112" s="33"/>
      <c r="Y112" s="58" t="s">
        <v>2</v>
      </c>
      <c r="Z112" s="58" t="s">
        <v>2</v>
      </c>
      <c r="AA112" s="14"/>
      <c r="AB112" s="14"/>
      <c r="AC112" s="14"/>
      <c r="AD112" s="14"/>
      <c r="AE112" s="33"/>
      <c r="AF112" s="59"/>
      <c r="AH112" s="16">
        <f t="shared" si="12"/>
        <v>0</v>
      </c>
      <c r="AI112" s="16">
        <f t="shared" si="13"/>
        <v>0</v>
      </c>
    </row>
    <row r="113" spans="1:35" ht="20.100000000000001" hidden="1" customHeight="1">
      <c r="A113" s="18" t="str">
        <f>ÖSSZES!$A$39</f>
        <v>Név14</v>
      </c>
      <c r="B113" s="58" t="s">
        <v>2</v>
      </c>
      <c r="C113" s="14"/>
      <c r="D113" s="14"/>
      <c r="E113" s="14"/>
      <c r="F113" s="14"/>
      <c r="G113" s="33"/>
      <c r="H113" s="33"/>
      <c r="I113" s="58" t="s">
        <v>2</v>
      </c>
      <c r="J113" s="58" t="s">
        <v>2</v>
      </c>
      <c r="K113" s="14"/>
      <c r="L113" s="14"/>
      <c r="M113" s="14"/>
      <c r="N113" s="14"/>
      <c r="O113" s="33"/>
      <c r="P113" s="33"/>
      <c r="Q113" s="58" t="s">
        <v>2</v>
      </c>
      <c r="R113" s="58" t="s">
        <v>2</v>
      </c>
      <c r="S113" s="14"/>
      <c r="T113" s="14"/>
      <c r="U113" s="14"/>
      <c r="V113" s="14"/>
      <c r="W113" s="33"/>
      <c r="X113" s="33"/>
      <c r="Y113" s="58" t="s">
        <v>2</v>
      </c>
      <c r="Z113" s="58" t="s">
        <v>2</v>
      </c>
      <c r="AA113" s="14"/>
      <c r="AB113" s="14"/>
      <c r="AC113" s="14"/>
      <c r="AD113" s="14"/>
      <c r="AE113" s="33"/>
      <c r="AF113" s="59"/>
      <c r="AH113" s="16">
        <f t="shared" si="12"/>
        <v>0</v>
      </c>
      <c r="AI113" s="16">
        <f t="shared" si="13"/>
        <v>0</v>
      </c>
    </row>
    <row r="114" spans="1:35" ht="20.100000000000001" hidden="1" customHeight="1">
      <c r="A114" s="18" t="str">
        <f>ÖSSZES!$A$40</f>
        <v>Név15</v>
      </c>
      <c r="B114" s="58" t="s">
        <v>2</v>
      </c>
      <c r="C114" s="14"/>
      <c r="D114" s="14"/>
      <c r="E114" s="14"/>
      <c r="F114" s="14"/>
      <c r="G114" s="33"/>
      <c r="H114" s="33"/>
      <c r="I114" s="58" t="s">
        <v>2</v>
      </c>
      <c r="J114" s="58" t="s">
        <v>2</v>
      </c>
      <c r="K114" s="14"/>
      <c r="L114" s="14"/>
      <c r="M114" s="14"/>
      <c r="N114" s="14"/>
      <c r="O114" s="33"/>
      <c r="P114" s="33"/>
      <c r="Q114" s="58" t="s">
        <v>2</v>
      </c>
      <c r="R114" s="58" t="s">
        <v>2</v>
      </c>
      <c r="S114" s="14"/>
      <c r="T114" s="14"/>
      <c r="U114" s="14"/>
      <c r="V114" s="14"/>
      <c r="W114" s="33"/>
      <c r="X114" s="33"/>
      <c r="Y114" s="58" t="s">
        <v>2</v>
      </c>
      <c r="Z114" s="58" t="s">
        <v>2</v>
      </c>
      <c r="AA114" s="14"/>
      <c r="AB114" s="14"/>
      <c r="AC114" s="14"/>
      <c r="AD114" s="14"/>
      <c r="AE114" s="33"/>
      <c r="AF114" s="59"/>
      <c r="AH114" s="16">
        <f t="shared" si="12"/>
        <v>0</v>
      </c>
      <c r="AI114" s="16">
        <f t="shared" si="13"/>
        <v>0</v>
      </c>
    </row>
    <row r="115" spans="1:35" ht="20.100000000000001" hidden="1" customHeight="1">
      <c r="A115" s="18" t="str">
        <f>ÖSSZES!$A$41</f>
        <v>Név16</v>
      </c>
      <c r="B115" s="58" t="s">
        <v>2</v>
      </c>
      <c r="C115" s="14"/>
      <c r="D115" s="14"/>
      <c r="E115" s="14"/>
      <c r="F115" s="14"/>
      <c r="G115" s="33"/>
      <c r="H115" s="33"/>
      <c r="I115" s="58" t="s">
        <v>2</v>
      </c>
      <c r="J115" s="58" t="s">
        <v>2</v>
      </c>
      <c r="K115" s="14"/>
      <c r="L115" s="14"/>
      <c r="M115" s="14"/>
      <c r="N115" s="14"/>
      <c r="O115" s="33"/>
      <c r="P115" s="33"/>
      <c r="Q115" s="58" t="s">
        <v>2</v>
      </c>
      <c r="R115" s="58" t="s">
        <v>2</v>
      </c>
      <c r="S115" s="14"/>
      <c r="T115" s="14"/>
      <c r="U115" s="14"/>
      <c r="V115" s="14"/>
      <c r="W115" s="33"/>
      <c r="X115" s="33"/>
      <c r="Y115" s="58" t="s">
        <v>2</v>
      </c>
      <c r="Z115" s="58" t="s">
        <v>2</v>
      </c>
      <c r="AA115" s="14"/>
      <c r="AB115" s="14"/>
      <c r="AC115" s="14"/>
      <c r="AD115" s="14"/>
      <c r="AE115" s="33"/>
      <c r="AF115" s="59"/>
      <c r="AH115" s="16">
        <f t="shared" si="12"/>
        <v>0</v>
      </c>
      <c r="AI115" s="16">
        <f t="shared" si="13"/>
        <v>0</v>
      </c>
    </row>
    <row r="116" spans="1:35" ht="20.100000000000001" hidden="1" customHeight="1">
      <c r="A116" s="18" t="str">
        <f>ÖSSZES!$A$42</f>
        <v>Név17</v>
      </c>
      <c r="B116" s="58" t="s">
        <v>2</v>
      </c>
      <c r="C116" s="14"/>
      <c r="D116" s="14"/>
      <c r="E116" s="14"/>
      <c r="F116" s="14"/>
      <c r="G116" s="33"/>
      <c r="H116" s="33"/>
      <c r="I116" s="58" t="s">
        <v>2</v>
      </c>
      <c r="J116" s="58" t="s">
        <v>2</v>
      </c>
      <c r="K116" s="14"/>
      <c r="L116" s="14"/>
      <c r="M116" s="14"/>
      <c r="N116" s="14"/>
      <c r="O116" s="33"/>
      <c r="P116" s="33"/>
      <c r="Q116" s="58" t="s">
        <v>2</v>
      </c>
      <c r="R116" s="58" t="s">
        <v>2</v>
      </c>
      <c r="S116" s="14"/>
      <c r="T116" s="14"/>
      <c r="U116" s="14"/>
      <c r="V116" s="14"/>
      <c r="W116" s="33"/>
      <c r="X116" s="33"/>
      <c r="Y116" s="58" t="s">
        <v>2</v>
      </c>
      <c r="Z116" s="58" t="s">
        <v>2</v>
      </c>
      <c r="AA116" s="14"/>
      <c r="AB116" s="14"/>
      <c r="AC116" s="14"/>
      <c r="AD116" s="14"/>
      <c r="AE116" s="33"/>
      <c r="AF116" s="59"/>
      <c r="AH116" s="16">
        <f t="shared" si="12"/>
        <v>0</v>
      </c>
      <c r="AI116" s="16">
        <f t="shared" si="13"/>
        <v>0</v>
      </c>
    </row>
    <row r="117" spans="1:35" ht="20.100000000000001" hidden="1" customHeight="1">
      <c r="A117" s="18" t="str">
        <f>ÖSSZES!$A$43</f>
        <v>Név18</v>
      </c>
      <c r="B117" s="58" t="s">
        <v>2</v>
      </c>
      <c r="C117" s="14"/>
      <c r="D117" s="14"/>
      <c r="E117" s="14"/>
      <c r="F117" s="14"/>
      <c r="G117" s="33"/>
      <c r="H117" s="33"/>
      <c r="I117" s="58" t="s">
        <v>2</v>
      </c>
      <c r="J117" s="58" t="s">
        <v>2</v>
      </c>
      <c r="K117" s="14"/>
      <c r="L117" s="14"/>
      <c r="M117" s="14"/>
      <c r="N117" s="14"/>
      <c r="O117" s="33"/>
      <c r="P117" s="33"/>
      <c r="Q117" s="58" t="s">
        <v>2</v>
      </c>
      <c r="R117" s="58" t="s">
        <v>2</v>
      </c>
      <c r="S117" s="14"/>
      <c r="T117" s="14"/>
      <c r="U117" s="14"/>
      <c r="V117" s="14"/>
      <c r="W117" s="33"/>
      <c r="X117" s="33"/>
      <c r="Y117" s="58" t="s">
        <v>2</v>
      </c>
      <c r="Z117" s="58" t="s">
        <v>2</v>
      </c>
      <c r="AA117" s="14"/>
      <c r="AB117" s="14"/>
      <c r="AC117" s="14"/>
      <c r="AD117" s="14"/>
      <c r="AE117" s="33"/>
      <c r="AF117" s="59"/>
      <c r="AH117" s="16">
        <f t="shared" si="12"/>
        <v>0</v>
      </c>
      <c r="AI117" s="16">
        <f t="shared" si="13"/>
        <v>0</v>
      </c>
    </row>
    <row r="118" spans="1:35" ht="20.100000000000001" hidden="1" customHeight="1">
      <c r="A118" s="18" t="str">
        <f>ÖSSZES!$A$44</f>
        <v>Név19</v>
      </c>
      <c r="B118" s="58" t="s">
        <v>2</v>
      </c>
      <c r="C118" s="14"/>
      <c r="D118" s="14"/>
      <c r="E118" s="14"/>
      <c r="F118" s="14"/>
      <c r="G118" s="33"/>
      <c r="H118" s="33"/>
      <c r="I118" s="58" t="s">
        <v>2</v>
      </c>
      <c r="J118" s="58" t="s">
        <v>2</v>
      </c>
      <c r="K118" s="14"/>
      <c r="L118" s="14"/>
      <c r="M118" s="14"/>
      <c r="N118" s="14"/>
      <c r="O118" s="33"/>
      <c r="P118" s="33"/>
      <c r="Q118" s="58" t="s">
        <v>2</v>
      </c>
      <c r="R118" s="58" t="s">
        <v>2</v>
      </c>
      <c r="S118" s="14"/>
      <c r="T118" s="14"/>
      <c r="U118" s="14"/>
      <c r="V118" s="14"/>
      <c r="W118" s="33"/>
      <c r="X118" s="33"/>
      <c r="Y118" s="58" t="s">
        <v>2</v>
      </c>
      <c r="Z118" s="58" t="s">
        <v>2</v>
      </c>
      <c r="AA118" s="14"/>
      <c r="AB118" s="14"/>
      <c r="AC118" s="14"/>
      <c r="AD118" s="14"/>
      <c r="AE118" s="33"/>
      <c r="AF118" s="59"/>
      <c r="AH118" s="16">
        <f t="shared" si="12"/>
        <v>0</v>
      </c>
      <c r="AI118" s="16">
        <f t="shared" si="13"/>
        <v>0</v>
      </c>
    </row>
    <row r="119" spans="1:35" ht="20.100000000000001" hidden="1" customHeight="1">
      <c r="A119" s="18" t="str">
        <f>ÖSSZES!$A$45</f>
        <v>Név20</v>
      </c>
      <c r="B119" s="58" t="s">
        <v>2</v>
      </c>
      <c r="C119" s="14"/>
      <c r="D119" s="14"/>
      <c r="E119" s="14"/>
      <c r="F119" s="14"/>
      <c r="G119" s="33"/>
      <c r="H119" s="33"/>
      <c r="I119" s="58" t="s">
        <v>2</v>
      </c>
      <c r="J119" s="58" t="s">
        <v>2</v>
      </c>
      <c r="K119" s="14"/>
      <c r="L119" s="14"/>
      <c r="M119" s="14"/>
      <c r="N119" s="14"/>
      <c r="O119" s="33"/>
      <c r="P119" s="33"/>
      <c r="Q119" s="58" t="s">
        <v>2</v>
      </c>
      <c r="R119" s="58" t="s">
        <v>2</v>
      </c>
      <c r="S119" s="14"/>
      <c r="T119" s="14"/>
      <c r="U119" s="14"/>
      <c r="V119" s="14"/>
      <c r="W119" s="33"/>
      <c r="X119" s="33"/>
      <c r="Y119" s="58" t="s">
        <v>2</v>
      </c>
      <c r="Z119" s="58" t="s">
        <v>2</v>
      </c>
      <c r="AA119" s="14"/>
      <c r="AB119" s="14"/>
      <c r="AC119" s="14"/>
      <c r="AD119" s="14"/>
      <c r="AE119" s="33"/>
      <c r="AF119" s="59"/>
      <c r="AH119" s="16">
        <f t="shared" si="12"/>
        <v>0</v>
      </c>
      <c r="AI119" s="16">
        <f t="shared" si="13"/>
        <v>0</v>
      </c>
    </row>
    <row r="120" spans="1:35" ht="20.100000000000001" customHeight="1"/>
    <row r="121" spans="1:35" s="6" customFormat="1" ht="20.100000000000001" customHeight="1">
      <c r="A121" s="91" t="s">
        <v>10</v>
      </c>
      <c r="B121" s="32">
        <v>1</v>
      </c>
      <c r="C121" s="17">
        <v>2</v>
      </c>
      <c r="D121" s="17">
        <v>3</v>
      </c>
      <c r="E121" s="17">
        <v>4</v>
      </c>
      <c r="F121" s="17">
        <v>5</v>
      </c>
      <c r="G121" s="17">
        <v>6</v>
      </c>
      <c r="H121" s="17">
        <v>7</v>
      </c>
      <c r="I121" s="17">
        <v>8</v>
      </c>
      <c r="J121" s="17">
        <v>9</v>
      </c>
      <c r="K121" s="17">
        <v>10</v>
      </c>
      <c r="L121" s="17">
        <v>11</v>
      </c>
      <c r="M121" s="17">
        <v>12</v>
      </c>
      <c r="N121" s="17">
        <v>13</v>
      </c>
      <c r="O121" s="17">
        <v>14</v>
      </c>
      <c r="P121" s="17">
        <v>15</v>
      </c>
      <c r="Q121" s="17">
        <v>16</v>
      </c>
      <c r="R121" s="17">
        <v>17</v>
      </c>
      <c r="S121" s="17">
        <v>18</v>
      </c>
      <c r="T121" s="17">
        <v>19</v>
      </c>
      <c r="U121" s="17">
        <v>20</v>
      </c>
      <c r="V121" s="17">
        <v>21</v>
      </c>
      <c r="W121" s="17">
        <v>22</v>
      </c>
      <c r="X121" s="17">
        <v>23</v>
      </c>
      <c r="Y121" s="17">
        <v>24</v>
      </c>
      <c r="Z121" s="17">
        <v>25</v>
      </c>
      <c r="AA121" s="17">
        <v>26</v>
      </c>
      <c r="AB121" s="17">
        <v>27</v>
      </c>
      <c r="AC121" s="17">
        <v>28</v>
      </c>
      <c r="AD121" s="17">
        <v>29</v>
      </c>
      <c r="AE121" s="17">
        <v>30</v>
      </c>
      <c r="AH121" s="93" t="s">
        <v>18</v>
      </c>
      <c r="AI121" s="93" t="s">
        <v>19</v>
      </c>
    </row>
    <row r="122" spans="1:35" ht="20.100000000000001" customHeight="1">
      <c r="A122" s="92"/>
      <c r="B122" s="10" t="str">
        <f>'2020'!B44</f>
        <v>H</v>
      </c>
      <c r="C122" s="10" t="str">
        <f>'2020'!C44</f>
        <v>K</v>
      </c>
      <c r="D122" s="10" t="str">
        <f>'2020'!D44</f>
        <v>Sze</v>
      </c>
      <c r="E122" s="10" t="str">
        <f>'2020'!E44</f>
        <v>Cs</v>
      </c>
      <c r="F122" s="10" t="str">
        <f>'2020'!F44</f>
        <v>P</v>
      </c>
      <c r="G122" s="10" t="str">
        <f>'2020'!G44</f>
        <v>Szo</v>
      </c>
      <c r="H122" s="10" t="str">
        <f>'2020'!H44</f>
        <v>V</v>
      </c>
      <c r="I122" s="10" t="str">
        <f>'2020'!I44</f>
        <v>H</v>
      </c>
      <c r="J122" s="10" t="str">
        <f>'2020'!J44</f>
        <v>K</v>
      </c>
      <c r="K122" s="10" t="str">
        <f>'2020'!K44</f>
        <v>Sze</v>
      </c>
      <c r="L122" s="10" t="str">
        <f>'2020'!L44</f>
        <v>Cs</v>
      </c>
      <c r="M122" s="10" t="str">
        <f>'2020'!M44</f>
        <v>P</v>
      </c>
      <c r="N122" s="10" t="str">
        <f>'2020'!N44</f>
        <v>Szo</v>
      </c>
      <c r="O122" s="10" t="str">
        <f>'2020'!O44</f>
        <v>V</v>
      </c>
      <c r="P122" s="10" t="str">
        <f>'2020'!P44</f>
        <v>H</v>
      </c>
      <c r="Q122" s="10" t="str">
        <f>'2020'!Q44</f>
        <v>K</v>
      </c>
      <c r="R122" s="10" t="str">
        <f>'2020'!R44</f>
        <v>Sze</v>
      </c>
      <c r="S122" s="10" t="str">
        <f>'2020'!S44</f>
        <v>Cs</v>
      </c>
      <c r="T122" s="10" t="str">
        <f>'2020'!T44</f>
        <v>P</v>
      </c>
      <c r="U122" s="10" t="str">
        <f>'2020'!U44</f>
        <v>Szo</v>
      </c>
      <c r="V122" s="10" t="str">
        <f>'2020'!V44</f>
        <v>V</v>
      </c>
      <c r="W122" s="10" t="str">
        <f>'2020'!W44</f>
        <v>H</v>
      </c>
      <c r="X122" s="10" t="str">
        <f>'2020'!X44</f>
        <v>K</v>
      </c>
      <c r="Y122" s="10" t="str">
        <f>'2020'!Y44</f>
        <v>Sze</v>
      </c>
      <c r="Z122" s="10" t="str">
        <f>'2020'!Z44</f>
        <v>Cs</v>
      </c>
      <c r="AA122" s="10" t="str">
        <f>'2020'!AA44</f>
        <v>P</v>
      </c>
      <c r="AB122" s="10" t="str">
        <f>'2020'!AB44</f>
        <v>Szo</v>
      </c>
      <c r="AC122" s="10" t="str">
        <f>'2020'!AC44</f>
        <v>V</v>
      </c>
      <c r="AD122" s="10" t="str">
        <f>'2020'!AD44</f>
        <v>H</v>
      </c>
      <c r="AE122" s="10" t="str">
        <f>'2020'!AE44</f>
        <v>K</v>
      </c>
      <c r="AF122" s="1"/>
      <c r="AH122" s="94"/>
      <c r="AI122" s="94"/>
    </row>
    <row r="123" spans="1:35" ht="20.100000000000001" customHeight="1">
      <c r="A123" s="92"/>
      <c r="B123" s="10" t="str">
        <f>'2020'!B46</f>
        <v>X</v>
      </c>
      <c r="C123" s="10" t="str">
        <f>'2020'!C46</f>
        <v>X</v>
      </c>
      <c r="D123" s="10">
        <f>'2020'!D46</f>
        <v>2</v>
      </c>
      <c r="E123" s="10">
        <f>'2020'!E46</f>
        <v>2</v>
      </c>
      <c r="F123" s="10">
        <f>'2020'!F46</f>
        <v>2</v>
      </c>
      <c r="G123" s="10">
        <f>'2020'!G46</f>
        <v>2</v>
      </c>
      <c r="H123" s="10">
        <f>'2020'!H46</f>
        <v>2</v>
      </c>
      <c r="I123" s="10">
        <f>'2020'!I46</f>
        <v>2</v>
      </c>
      <c r="J123" s="10" t="str">
        <f>'2020'!J46</f>
        <v>X</v>
      </c>
      <c r="K123" s="10" t="str">
        <f>'2020'!K46</f>
        <v>X</v>
      </c>
      <c r="L123" s="10">
        <f>'2020'!L46</f>
        <v>1</v>
      </c>
      <c r="M123" s="10">
        <f>'2020'!M46</f>
        <v>1</v>
      </c>
      <c r="N123" s="10">
        <f>'2020'!N46</f>
        <v>1</v>
      </c>
      <c r="O123" s="10">
        <f>'2020'!O46</f>
        <v>1</v>
      </c>
      <c r="P123" s="10">
        <f>'2020'!P46</f>
        <v>1</v>
      </c>
      <c r="Q123" s="10">
        <f>'2020'!Q46</f>
        <v>1</v>
      </c>
      <c r="R123" s="10" t="str">
        <f>'2020'!R46</f>
        <v>X</v>
      </c>
      <c r="S123" s="10" t="str">
        <f>'2020'!S46</f>
        <v>X</v>
      </c>
      <c r="T123" s="10">
        <f>'2020'!T46</f>
        <v>3</v>
      </c>
      <c r="U123" s="10">
        <f>'2020'!U46</f>
        <v>3</v>
      </c>
      <c r="V123" s="10">
        <f>'2020'!V46</f>
        <v>3</v>
      </c>
      <c r="W123" s="10">
        <f>'2020'!W46</f>
        <v>3</v>
      </c>
      <c r="X123" s="10">
        <f>'2020'!X46</f>
        <v>3</v>
      </c>
      <c r="Y123" s="10">
        <f>'2020'!Y46</f>
        <v>3</v>
      </c>
      <c r="Z123" s="10" t="str">
        <f>'2020'!Z46</f>
        <v>X</v>
      </c>
      <c r="AA123" s="10" t="str">
        <f>'2020'!AA46</f>
        <v>X</v>
      </c>
      <c r="AB123" s="10">
        <f>'2020'!AB46</f>
        <v>2</v>
      </c>
      <c r="AC123" s="10">
        <f>'2020'!AC46</f>
        <v>2</v>
      </c>
      <c r="AD123" s="10">
        <f>'2020'!AD46</f>
        <v>2</v>
      </c>
      <c r="AE123" s="10">
        <f>'2020'!AE46</f>
        <v>2</v>
      </c>
      <c r="AF123" s="1"/>
      <c r="AH123" s="94"/>
      <c r="AI123" s="94"/>
    </row>
    <row r="124" spans="1:35" ht="20.100000000000001" customHeight="1">
      <c r="A124" s="18" t="str">
        <f>ÖSSZES!$A$26</f>
        <v>Katona László</v>
      </c>
      <c r="B124" s="58" t="s">
        <v>2</v>
      </c>
      <c r="C124" s="58" t="s">
        <v>2</v>
      </c>
      <c r="D124" s="31"/>
      <c r="E124" s="37"/>
      <c r="F124" s="37"/>
      <c r="G124" s="31"/>
      <c r="H124" s="33"/>
      <c r="I124" s="33"/>
      <c r="J124" s="58" t="s">
        <v>2</v>
      </c>
      <c r="K124" s="58" t="s">
        <v>2</v>
      </c>
      <c r="L124" s="31"/>
      <c r="M124" s="31"/>
      <c r="N124" s="31"/>
      <c r="O124" s="31"/>
      <c r="P124" s="33"/>
      <c r="Q124" s="33"/>
      <c r="R124" s="58" t="s">
        <v>2</v>
      </c>
      <c r="S124" s="58" t="s">
        <v>2</v>
      </c>
      <c r="T124" s="31"/>
      <c r="U124" s="31"/>
      <c r="V124" s="31"/>
      <c r="W124" s="31"/>
      <c r="X124" s="33"/>
      <c r="Y124" s="33"/>
      <c r="Z124" s="58" t="s">
        <v>2</v>
      </c>
      <c r="AA124" s="58" t="s">
        <v>2</v>
      </c>
      <c r="AB124" s="31"/>
      <c r="AC124" s="31"/>
      <c r="AD124" s="31"/>
      <c r="AE124" s="31"/>
      <c r="AF124" s="1"/>
      <c r="AH124" s="16">
        <f>1*COUNTIF(A124:AF124,"+")</f>
        <v>0</v>
      </c>
      <c r="AI124" s="16">
        <f t="shared" ref="AI124" si="14">1*COUNTIF(B124:AF124,"szf")</f>
        <v>0</v>
      </c>
    </row>
    <row r="125" spans="1:35" ht="20.100000000000001" customHeight="1">
      <c r="A125" s="18" t="str">
        <f>ÖSSZES!$A$27</f>
        <v>Kiss János Tamás</v>
      </c>
      <c r="B125" s="58" t="s">
        <v>2</v>
      </c>
      <c r="C125" s="58" t="s">
        <v>2</v>
      </c>
      <c r="D125" s="31"/>
      <c r="E125" s="37"/>
      <c r="F125" s="37"/>
      <c r="G125" s="31"/>
      <c r="H125" s="33"/>
      <c r="I125" s="33"/>
      <c r="J125" s="58" t="s">
        <v>2</v>
      </c>
      <c r="K125" s="58" t="s">
        <v>2</v>
      </c>
      <c r="L125" s="31"/>
      <c r="M125" s="31"/>
      <c r="N125" s="31"/>
      <c r="O125" s="31"/>
      <c r="P125" s="33"/>
      <c r="Q125" s="33"/>
      <c r="R125" s="58" t="s">
        <v>2</v>
      </c>
      <c r="S125" s="58" t="s">
        <v>2</v>
      </c>
      <c r="T125" s="31"/>
      <c r="U125" s="31"/>
      <c r="V125" s="31"/>
      <c r="W125" s="31"/>
      <c r="X125" s="33"/>
      <c r="Y125" s="33"/>
      <c r="Z125" s="58" t="s">
        <v>2</v>
      </c>
      <c r="AA125" s="58" t="s">
        <v>2</v>
      </c>
      <c r="AB125" s="31"/>
      <c r="AC125" s="31"/>
      <c r="AD125" s="31"/>
      <c r="AE125" s="31"/>
      <c r="AF125" s="1"/>
      <c r="AH125" s="16">
        <f t="shared" ref="AH125:AH143" si="15">1*COUNTIF(A125:AF125,"+")</f>
        <v>0</v>
      </c>
      <c r="AI125" s="16">
        <f t="shared" ref="AI125:AI143" si="16">1*COUNTIF(B125:AF125,"szf")</f>
        <v>0</v>
      </c>
    </row>
    <row r="126" spans="1:35" ht="20.100000000000001" customHeight="1">
      <c r="A126" s="18" t="str">
        <f>ÖSSZES!$A$28</f>
        <v>Habara Gábor</v>
      </c>
      <c r="B126" s="58" t="s">
        <v>2</v>
      </c>
      <c r="C126" s="58" t="s">
        <v>2</v>
      </c>
      <c r="D126" s="31"/>
      <c r="E126" s="37"/>
      <c r="F126" s="37"/>
      <c r="G126" s="31"/>
      <c r="H126" s="33"/>
      <c r="I126" s="33"/>
      <c r="J126" s="58" t="s">
        <v>2</v>
      </c>
      <c r="K126" s="58" t="s">
        <v>2</v>
      </c>
      <c r="L126" s="31"/>
      <c r="M126" s="31"/>
      <c r="N126" s="31"/>
      <c r="O126" s="31"/>
      <c r="P126" s="33"/>
      <c r="Q126" s="33"/>
      <c r="R126" s="58" t="s">
        <v>2</v>
      </c>
      <c r="S126" s="58" t="s">
        <v>2</v>
      </c>
      <c r="T126" s="31"/>
      <c r="U126" s="31"/>
      <c r="V126" s="31"/>
      <c r="W126" s="31"/>
      <c r="X126" s="33"/>
      <c r="Y126" s="33"/>
      <c r="Z126" s="58" t="s">
        <v>2</v>
      </c>
      <c r="AA126" s="58" t="s">
        <v>2</v>
      </c>
      <c r="AB126" s="31"/>
      <c r="AC126" s="31"/>
      <c r="AD126" s="31"/>
      <c r="AE126" s="31"/>
      <c r="AF126" s="1"/>
      <c r="AH126" s="16">
        <f t="shared" si="15"/>
        <v>0</v>
      </c>
      <c r="AI126" s="16">
        <f t="shared" si="16"/>
        <v>0</v>
      </c>
    </row>
    <row r="127" spans="1:35" ht="20.100000000000001" customHeight="1">
      <c r="A127" s="18" t="str">
        <f>ÖSSZES!$A$29</f>
        <v>Holba Imre</v>
      </c>
      <c r="B127" s="58" t="s">
        <v>2</v>
      </c>
      <c r="C127" s="58" t="s">
        <v>2</v>
      </c>
      <c r="D127" s="31"/>
      <c r="E127" s="37"/>
      <c r="F127" s="37"/>
      <c r="G127" s="31"/>
      <c r="H127" s="33"/>
      <c r="I127" s="33"/>
      <c r="J127" s="58" t="s">
        <v>2</v>
      </c>
      <c r="K127" s="58" t="s">
        <v>2</v>
      </c>
      <c r="L127" s="31"/>
      <c r="M127" s="31"/>
      <c r="N127" s="31"/>
      <c r="O127" s="31"/>
      <c r="P127" s="33"/>
      <c r="Q127" s="33"/>
      <c r="R127" s="58" t="s">
        <v>2</v>
      </c>
      <c r="S127" s="58" t="s">
        <v>2</v>
      </c>
      <c r="T127" s="31"/>
      <c r="U127" s="31"/>
      <c r="V127" s="31"/>
      <c r="W127" s="31"/>
      <c r="X127" s="33"/>
      <c r="Y127" s="33"/>
      <c r="Z127" s="58" t="s">
        <v>2</v>
      </c>
      <c r="AA127" s="58" t="s">
        <v>2</v>
      </c>
      <c r="AB127" s="31"/>
      <c r="AC127" s="31"/>
      <c r="AD127" s="31"/>
      <c r="AE127" s="31"/>
      <c r="AF127" s="1"/>
      <c r="AH127" s="16">
        <f t="shared" si="15"/>
        <v>0</v>
      </c>
      <c r="AI127" s="16">
        <f t="shared" si="16"/>
        <v>0</v>
      </c>
    </row>
    <row r="128" spans="1:35" ht="20.100000000000001" customHeight="1">
      <c r="A128" s="18" t="str">
        <f>ÖSSZES!$A$30</f>
        <v>Keresztes Gyula</v>
      </c>
      <c r="B128" s="58" t="s">
        <v>2</v>
      </c>
      <c r="C128" s="58" t="s">
        <v>2</v>
      </c>
      <c r="D128" s="33" t="s">
        <v>20</v>
      </c>
      <c r="E128" s="33" t="s">
        <v>20</v>
      </c>
      <c r="F128" s="63">
        <v>1</v>
      </c>
      <c r="G128" s="63">
        <v>2</v>
      </c>
      <c r="H128" s="63">
        <v>3</v>
      </c>
      <c r="I128" s="63">
        <v>4</v>
      </c>
      <c r="J128" s="63">
        <v>5</v>
      </c>
      <c r="K128" s="63">
        <v>6</v>
      </c>
      <c r="L128" s="63">
        <v>7</v>
      </c>
      <c r="M128" s="63">
        <v>8</v>
      </c>
      <c r="N128" s="63">
        <v>9</v>
      </c>
      <c r="O128" s="63">
        <v>10</v>
      </c>
      <c r="P128" s="63">
        <v>11</v>
      </c>
      <c r="Q128" s="63">
        <v>12</v>
      </c>
      <c r="R128" s="63">
        <v>13</v>
      </c>
      <c r="S128" s="63">
        <v>14</v>
      </c>
      <c r="T128" s="63">
        <v>15</v>
      </c>
      <c r="U128" s="63">
        <v>16</v>
      </c>
      <c r="V128" s="63">
        <v>17</v>
      </c>
      <c r="W128" s="63">
        <v>18</v>
      </c>
      <c r="X128" s="63">
        <v>19</v>
      </c>
      <c r="Y128" s="63">
        <v>20</v>
      </c>
      <c r="Z128" s="63">
        <v>21</v>
      </c>
      <c r="AA128" s="63">
        <v>22</v>
      </c>
      <c r="AB128" s="63">
        <v>23</v>
      </c>
      <c r="AC128" s="63">
        <v>24</v>
      </c>
      <c r="AD128" s="63">
        <v>25</v>
      </c>
      <c r="AE128" s="63">
        <v>26</v>
      </c>
      <c r="AF128" s="1"/>
      <c r="AH128" s="16">
        <f t="shared" si="15"/>
        <v>0</v>
      </c>
      <c r="AI128" s="16">
        <f t="shared" si="16"/>
        <v>2</v>
      </c>
    </row>
    <row r="129" spans="1:35" ht="20.100000000000001" customHeight="1">
      <c r="A129" s="18" t="str">
        <f>ÖSSZES!$A$31</f>
        <v>Király Bálint Donát</v>
      </c>
      <c r="B129" s="58" t="s">
        <v>2</v>
      </c>
      <c r="C129" s="58" t="s">
        <v>2</v>
      </c>
      <c r="D129" s="31"/>
      <c r="E129" s="37"/>
      <c r="F129" s="37"/>
      <c r="G129" s="31"/>
      <c r="H129" s="33"/>
      <c r="I129" s="33"/>
      <c r="J129" s="58" t="s">
        <v>2</v>
      </c>
      <c r="K129" s="58" t="s">
        <v>2</v>
      </c>
      <c r="L129" s="31"/>
      <c r="M129" s="31"/>
      <c r="N129" s="31"/>
      <c r="O129" s="31"/>
      <c r="P129" s="33"/>
      <c r="Q129" s="33"/>
      <c r="R129" s="58" t="s">
        <v>2</v>
      </c>
      <c r="S129" s="58" t="s">
        <v>2</v>
      </c>
      <c r="T129" s="31"/>
      <c r="U129" s="31"/>
      <c r="V129" s="31"/>
      <c r="W129" s="31"/>
      <c r="X129" s="33"/>
      <c r="Y129" s="33"/>
      <c r="Z129" s="58" t="s">
        <v>2</v>
      </c>
      <c r="AA129" s="58" t="s">
        <v>2</v>
      </c>
      <c r="AB129" s="31"/>
      <c r="AC129" s="31"/>
      <c r="AD129" s="31"/>
      <c r="AE129" s="31"/>
      <c r="AF129" s="1"/>
      <c r="AH129" s="16">
        <f t="shared" si="15"/>
        <v>0</v>
      </c>
      <c r="AI129" s="16">
        <f t="shared" si="16"/>
        <v>0</v>
      </c>
    </row>
    <row r="130" spans="1:35" ht="20.100000000000001" customHeight="1">
      <c r="A130" s="18" t="str">
        <f>ÖSSZES!$A$32</f>
        <v>Mezei Lajos</v>
      </c>
      <c r="B130" s="58" t="s">
        <v>2</v>
      </c>
      <c r="C130" s="58" t="s">
        <v>2</v>
      </c>
      <c r="D130" s="31"/>
      <c r="E130" s="37"/>
      <c r="F130" s="37"/>
      <c r="G130" s="31"/>
      <c r="H130" s="33"/>
      <c r="I130" s="33"/>
      <c r="J130" s="58" t="s">
        <v>2</v>
      </c>
      <c r="K130" s="58" t="s">
        <v>2</v>
      </c>
      <c r="L130" s="31"/>
      <c r="M130" s="31"/>
      <c r="N130" s="31"/>
      <c r="O130" s="31"/>
      <c r="P130" s="33"/>
      <c r="Q130" s="33"/>
      <c r="R130" s="58" t="s">
        <v>2</v>
      </c>
      <c r="S130" s="58" t="s">
        <v>2</v>
      </c>
      <c r="T130" s="31"/>
      <c r="U130" s="31"/>
      <c r="V130" s="31"/>
      <c r="W130" s="31"/>
      <c r="X130" s="33"/>
      <c r="Y130" s="33"/>
      <c r="Z130" s="58" t="s">
        <v>2</v>
      </c>
      <c r="AA130" s="58" t="s">
        <v>2</v>
      </c>
      <c r="AB130" s="31"/>
      <c r="AC130" s="31"/>
      <c r="AD130" s="31"/>
      <c r="AE130" s="31"/>
      <c r="AF130" s="1"/>
      <c r="AH130" s="16">
        <f t="shared" si="15"/>
        <v>0</v>
      </c>
      <c r="AI130" s="16">
        <f t="shared" si="16"/>
        <v>0</v>
      </c>
    </row>
    <row r="131" spans="1:35" ht="20.100000000000001" hidden="1" customHeight="1">
      <c r="A131" s="18" t="str">
        <f>ÖSSZES!$A$33</f>
        <v>Fényi László</v>
      </c>
      <c r="B131" s="58" t="s">
        <v>2</v>
      </c>
      <c r="C131" s="58" t="s">
        <v>2</v>
      </c>
      <c r="D131" s="31"/>
      <c r="E131" s="37"/>
      <c r="F131" s="37"/>
      <c r="G131" s="31"/>
      <c r="H131" s="33"/>
      <c r="I131" s="33"/>
      <c r="J131" s="58" t="s">
        <v>2</v>
      </c>
      <c r="K131" s="58" t="s">
        <v>2</v>
      </c>
      <c r="L131" s="31"/>
      <c r="M131" s="31"/>
      <c r="N131" s="31"/>
      <c r="O131" s="31"/>
      <c r="P131" s="33"/>
      <c r="Q131" s="33"/>
      <c r="R131" s="58" t="s">
        <v>2</v>
      </c>
      <c r="S131" s="58" t="s">
        <v>2</v>
      </c>
      <c r="T131" s="31"/>
      <c r="U131" s="31"/>
      <c r="V131" s="31"/>
      <c r="W131" s="31"/>
      <c r="X131" s="33"/>
      <c r="Y131" s="33"/>
      <c r="Z131" s="58" t="s">
        <v>2</v>
      </c>
      <c r="AA131" s="58" t="s">
        <v>2</v>
      </c>
      <c r="AB131" s="31"/>
      <c r="AC131" s="31"/>
      <c r="AD131" s="31"/>
      <c r="AE131" s="31"/>
      <c r="AF131" s="1"/>
      <c r="AH131" s="16">
        <f t="shared" si="15"/>
        <v>0</v>
      </c>
      <c r="AI131" s="16">
        <f t="shared" si="16"/>
        <v>0</v>
      </c>
    </row>
    <row r="132" spans="1:35" ht="20.100000000000001" hidden="1" customHeight="1">
      <c r="A132" s="18" t="str">
        <f>ÖSSZES!$A$34</f>
        <v>Név9</v>
      </c>
      <c r="B132" s="58" t="s">
        <v>2</v>
      </c>
      <c r="C132" s="58" t="s">
        <v>2</v>
      </c>
      <c r="D132" s="31"/>
      <c r="E132" s="37"/>
      <c r="F132" s="37"/>
      <c r="G132" s="31"/>
      <c r="H132" s="33"/>
      <c r="I132" s="33"/>
      <c r="J132" s="58" t="s">
        <v>2</v>
      </c>
      <c r="K132" s="58" t="s">
        <v>2</v>
      </c>
      <c r="L132" s="31"/>
      <c r="M132" s="31"/>
      <c r="N132" s="31"/>
      <c r="O132" s="31"/>
      <c r="P132" s="33"/>
      <c r="Q132" s="33"/>
      <c r="R132" s="58" t="s">
        <v>2</v>
      </c>
      <c r="S132" s="58" t="s">
        <v>2</v>
      </c>
      <c r="T132" s="31"/>
      <c r="U132" s="31"/>
      <c r="V132" s="31"/>
      <c r="W132" s="31"/>
      <c r="X132" s="33"/>
      <c r="Y132" s="33"/>
      <c r="Z132" s="58" t="s">
        <v>2</v>
      </c>
      <c r="AA132" s="58" t="s">
        <v>2</v>
      </c>
      <c r="AB132" s="31"/>
      <c r="AC132" s="31"/>
      <c r="AD132" s="31"/>
      <c r="AE132" s="31"/>
      <c r="AF132" s="1"/>
      <c r="AH132" s="16">
        <f t="shared" si="15"/>
        <v>0</v>
      </c>
      <c r="AI132" s="16">
        <f t="shared" si="16"/>
        <v>0</v>
      </c>
    </row>
    <row r="133" spans="1:35" ht="20.100000000000001" hidden="1" customHeight="1">
      <c r="A133" s="18" t="str">
        <f>ÖSSZES!$A$35</f>
        <v>Név10</v>
      </c>
      <c r="B133" s="58" t="s">
        <v>2</v>
      </c>
      <c r="C133" s="58" t="s">
        <v>2</v>
      </c>
      <c r="D133" s="31"/>
      <c r="E133" s="37"/>
      <c r="F133" s="37"/>
      <c r="G133" s="31"/>
      <c r="H133" s="33"/>
      <c r="I133" s="33"/>
      <c r="J133" s="58" t="s">
        <v>2</v>
      </c>
      <c r="K133" s="58" t="s">
        <v>2</v>
      </c>
      <c r="L133" s="31"/>
      <c r="M133" s="31"/>
      <c r="N133" s="31"/>
      <c r="O133" s="31"/>
      <c r="P133" s="33"/>
      <c r="Q133" s="33"/>
      <c r="R133" s="58" t="s">
        <v>2</v>
      </c>
      <c r="S133" s="58" t="s">
        <v>2</v>
      </c>
      <c r="T133" s="31"/>
      <c r="U133" s="31"/>
      <c r="V133" s="31"/>
      <c r="W133" s="31"/>
      <c r="X133" s="33"/>
      <c r="Y133" s="33"/>
      <c r="Z133" s="58" t="s">
        <v>2</v>
      </c>
      <c r="AA133" s="58" t="s">
        <v>2</v>
      </c>
      <c r="AB133" s="31"/>
      <c r="AC133" s="31"/>
      <c r="AD133" s="31"/>
      <c r="AE133" s="31"/>
      <c r="AF133" s="1"/>
      <c r="AH133" s="16">
        <f t="shared" si="15"/>
        <v>0</v>
      </c>
      <c r="AI133" s="16">
        <f t="shared" si="16"/>
        <v>0</v>
      </c>
    </row>
    <row r="134" spans="1:35" ht="20.100000000000001" hidden="1" customHeight="1">
      <c r="A134" s="18" t="str">
        <f>ÖSSZES!$A$36</f>
        <v>Név11</v>
      </c>
      <c r="B134" s="58" t="s">
        <v>2</v>
      </c>
      <c r="C134" s="58" t="s">
        <v>2</v>
      </c>
      <c r="D134" s="31"/>
      <c r="E134" s="37"/>
      <c r="F134" s="37"/>
      <c r="G134" s="31"/>
      <c r="H134" s="33"/>
      <c r="I134" s="33"/>
      <c r="J134" s="58" t="s">
        <v>2</v>
      </c>
      <c r="K134" s="58" t="s">
        <v>2</v>
      </c>
      <c r="L134" s="31"/>
      <c r="M134" s="31"/>
      <c r="N134" s="31"/>
      <c r="O134" s="31"/>
      <c r="P134" s="33"/>
      <c r="Q134" s="33"/>
      <c r="R134" s="58" t="s">
        <v>2</v>
      </c>
      <c r="S134" s="58" t="s">
        <v>2</v>
      </c>
      <c r="T134" s="31"/>
      <c r="U134" s="31"/>
      <c r="V134" s="31"/>
      <c r="W134" s="31"/>
      <c r="X134" s="33"/>
      <c r="Y134" s="33"/>
      <c r="Z134" s="58" t="s">
        <v>2</v>
      </c>
      <c r="AA134" s="58" t="s">
        <v>2</v>
      </c>
      <c r="AB134" s="31"/>
      <c r="AC134" s="31"/>
      <c r="AD134" s="31"/>
      <c r="AE134" s="31"/>
      <c r="AF134" s="1"/>
      <c r="AH134" s="16">
        <f t="shared" si="15"/>
        <v>0</v>
      </c>
      <c r="AI134" s="16">
        <f t="shared" si="16"/>
        <v>0</v>
      </c>
    </row>
    <row r="135" spans="1:35" ht="20.100000000000001" hidden="1" customHeight="1">
      <c r="A135" s="18" t="str">
        <f>ÖSSZES!$A$37</f>
        <v>Név12</v>
      </c>
      <c r="B135" s="58" t="s">
        <v>2</v>
      </c>
      <c r="C135" s="58" t="s">
        <v>2</v>
      </c>
      <c r="D135" s="31"/>
      <c r="E135" s="37"/>
      <c r="F135" s="37"/>
      <c r="G135" s="31"/>
      <c r="H135" s="33"/>
      <c r="I135" s="33"/>
      <c r="J135" s="58" t="s">
        <v>2</v>
      </c>
      <c r="K135" s="58" t="s">
        <v>2</v>
      </c>
      <c r="L135" s="31"/>
      <c r="M135" s="31"/>
      <c r="N135" s="31"/>
      <c r="O135" s="31"/>
      <c r="P135" s="33"/>
      <c r="Q135" s="33"/>
      <c r="R135" s="58" t="s">
        <v>2</v>
      </c>
      <c r="S135" s="58" t="s">
        <v>2</v>
      </c>
      <c r="T135" s="31"/>
      <c r="U135" s="31"/>
      <c r="V135" s="31"/>
      <c r="W135" s="31"/>
      <c r="X135" s="33"/>
      <c r="Y135" s="33"/>
      <c r="Z135" s="58" t="s">
        <v>2</v>
      </c>
      <c r="AA135" s="58" t="s">
        <v>2</v>
      </c>
      <c r="AB135" s="31"/>
      <c r="AC135" s="31"/>
      <c r="AD135" s="31"/>
      <c r="AE135" s="31"/>
      <c r="AF135" s="1"/>
      <c r="AH135" s="16">
        <f t="shared" si="15"/>
        <v>0</v>
      </c>
      <c r="AI135" s="16">
        <f t="shared" si="16"/>
        <v>0</v>
      </c>
    </row>
    <row r="136" spans="1:35" ht="20.100000000000001" hidden="1" customHeight="1">
      <c r="A136" s="18" t="str">
        <f>ÖSSZES!$A$38</f>
        <v>Név13</v>
      </c>
      <c r="B136" s="58" t="s">
        <v>2</v>
      </c>
      <c r="C136" s="58" t="s">
        <v>2</v>
      </c>
      <c r="D136" s="31"/>
      <c r="E136" s="37"/>
      <c r="F136" s="37"/>
      <c r="G136" s="31"/>
      <c r="H136" s="33"/>
      <c r="I136" s="33"/>
      <c r="J136" s="58" t="s">
        <v>2</v>
      </c>
      <c r="K136" s="58" t="s">
        <v>2</v>
      </c>
      <c r="L136" s="31"/>
      <c r="M136" s="31"/>
      <c r="N136" s="31"/>
      <c r="O136" s="31"/>
      <c r="P136" s="33"/>
      <c r="Q136" s="33"/>
      <c r="R136" s="58" t="s">
        <v>2</v>
      </c>
      <c r="S136" s="58" t="s">
        <v>2</v>
      </c>
      <c r="T136" s="31"/>
      <c r="U136" s="31"/>
      <c r="V136" s="31"/>
      <c r="W136" s="31"/>
      <c r="X136" s="33"/>
      <c r="Y136" s="33"/>
      <c r="Z136" s="58" t="s">
        <v>2</v>
      </c>
      <c r="AA136" s="58" t="s">
        <v>2</v>
      </c>
      <c r="AB136" s="31"/>
      <c r="AC136" s="31"/>
      <c r="AD136" s="31"/>
      <c r="AE136" s="31"/>
      <c r="AF136" s="1"/>
      <c r="AH136" s="16">
        <f t="shared" si="15"/>
        <v>0</v>
      </c>
      <c r="AI136" s="16">
        <f t="shared" si="16"/>
        <v>0</v>
      </c>
    </row>
    <row r="137" spans="1:35" ht="20.100000000000001" hidden="1" customHeight="1">
      <c r="A137" s="18" t="str">
        <f>ÖSSZES!$A$39</f>
        <v>Név14</v>
      </c>
      <c r="B137" s="58" t="s">
        <v>2</v>
      </c>
      <c r="C137" s="58" t="s">
        <v>2</v>
      </c>
      <c r="D137" s="31"/>
      <c r="E137" s="37"/>
      <c r="F137" s="37"/>
      <c r="G137" s="31"/>
      <c r="H137" s="33"/>
      <c r="I137" s="33"/>
      <c r="J137" s="58" t="s">
        <v>2</v>
      </c>
      <c r="K137" s="58" t="s">
        <v>2</v>
      </c>
      <c r="L137" s="31"/>
      <c r="M137" s="31"/>
      <c r="N137" s="31"/>
      <c r="O137" s="31"/>
      <c r="P137" s="33"/>
      <c r="Q137" s="33"/>
      <c r="R137" s="58" t="s">
        <v>2</v>
      </c>
      <c r="S137" s="58" t="s">
        <v>2</v>
      </c>
      <c r="T137" s="31"/>
      <c r="U137" s="31"/>
      <c r="V137" s="31"/>
      <c r="W137" s="31"/>
      <c r="X137" s="33"/>
      <c r="Y137" s="33"/>
      <c r="Z137" s="58" t="s">
        <v>2</v>
      </c>
      <c r="AA137" s="58" t="s">
        <v>2</v>
      </c>
      <c r="AB137" s="31"/>
      <c r="AC137" s="31"/>
      <c r="AD137" s="31"/>
      <c r="AE137" s="31"/>
      <c r="AF137" s="1"/>
      <c r="AH137" s="16">
        <f t="shared" si="15"/>
        <v>0</v>
      </c>
      <c r="AI137" s="16">
        <f t="shared" si="16"/>
        <v>0</v>
      </c>
    </row>
    <row r="138" spans="1:35" ht="20.100000000000001" hidden="1" customHeight="1">
      <c r="A138" s="18" t="str">
        <f>ÖSSZES!$A$40</f>
        <v>Név15</v>
      </c>
      <c r="B138" s="58" t="s">
        <v>2</v>
      </c>
      <c r="C138" s="58" t="s">
        <v>2</v>
      </c>
      <c r="D138" s="31"/>
      <c r="E138" s="37"/>
      <c r="F138" s="37"/>
      <c r="G138" s="31"/>
      <c r="H138" s="33"/>
      <c r="I138" s="33"/>
      <c r="J138" s="58" t="s">
        <v>2</v>
      </c>
      <c r="K138" s="58" t="s">
        <v>2</v>
      </c>
      <c r="L138" s="31"/>
      <c r="M138" s="31"/>
      <c r="N138" s="31"/>
      <c r="O138" s="31"/>
      <c r="P138" s="33"/>
      <c r="Q138" s="33"/>
      <c r="R138" s="58" t="s">
        <v>2</v>
      </c>
      <c r="S138" s="58" t="s">
        <v>2</v>
      </c>
      <c r="T138" s="31"/>
      <c r="U138" s="31"/>
      <c r="V138" s="31"/>
      <c r="W138" s="31"/>
      <c r="X138" s="33"/>
      <c r="Y138" s="33"/>
      <c r="Z138" s="58" t="s">
        <v>2</v>
      </c>
      <c r="AA138" s="58" t="s">
        <v>2</v>
      </c>
      <c r="AB138" s="31"/>
      <c r="AC138" s="31"/>
      <c r="AD138" s="31"/>
      <c r="AE138" s="31"/>
      <c r="AF138" s="1"/>
      <c r="AH138" s="16">
        <f t="shared" si="15"/>
        <v>0</v>
      </c>
      <c r="AI138" s="16">
        <f t="shared" si="16"/>
        <v>0</v>
      </c>
    </row>
    <row r="139" spans="1:35" ht="20.100000000000001" hidden="1" customHeight="1">
      <c r="A139" s="18" t="str">
        <f>ÖSSZES!$A$41</f>
        <v>Név16</v>
      </c>
      <c r="B139" s="58" t="s">
        <v>2</v>
      </c>
      <c r="C139" s="58" t="s">
        <v>2</v>
      </c>
      <c r="D139" s="31"/>
      <c r="E139" s="37"/>
      <c r="F139" s="37"/>
      <c r="G139" s="31"/>
      <c r="H139" s="33"/>
      <c r="I139" s="33"/>
      <c r="J139" s="58" t="s">
        <v>2</v>
      </c>
      <c r="K139" s="58" t="s">
        <v>2</v>
      </c>
      <c r="L139" s="31"/>
      <c r="M139" s="31"/>
      <c r="N139" s="31"/>
      <c r="O139" s="31"/>
      <c r="P139" s="33"/>
      <c r="Q139" s="33"/>
      <c r="R139" s="58" t="s">
        <v>2</v>
      </c>
      <c r="S139" s="58" t="s">
        <v>2</v>
      </c>
      <c r="T139" s="31"/>
      <c r="U139" s="31"/>
      <c r="V139" s="31"/>
      <c r="W139" s="31"/>
      <c r="X139" s="33"/>
      <c r="Y139" s="33"/>
      <c r="Z139" s="58" t="s">
        <v>2</v>
      </c>
      <c r="AA139" s="58" t="s">
        <v>2</v>
      </c>
      <c r="AB139" s="31"/>
      <c r="AC139" s="31"/>
      <c r="AD139" s="31"/>
      <c r="AE139" s="31"/>
      <c r="AF139" s="1"/>
      <c r="AH139" s="16">
        <f t="shared" si="15"/>
        <v>0</v>
      </c>
      <c r="AI139" s="16">
        <f t="shared" si="16"/>
        <v>0</v>
      </c>
    </row>
    <row r="140" spans="1:35" ht="20.100000000000001" hidden="1" customHeight="1">
      <c r="A140" s="18" t="str">
        <f>ÖSSZES!$A$42</f>
        <v>Név17</v>
      </c>
      <c r="B140" s="58" t="s">
        <v>2</v>
      </c>
      <c r="C140" s="58" t="s">
        <v>2</v>
      </c>
      <c r="D140" s="31"/>
      <c r="E140" s="37"/>
      <c r="F140" s="37"/>
      <c r="G140" s="31"/>
      <c r="H140" s="33"/>
      <c r="I140" s="33"/>
      <c r="J140" s="58" t="s">
        <v>2</v>
      </c>
      <c r="K140" s="58" t="s">
        <v>2</v>
      </c>
      <c r="L140" s="31"/>
      <c r="M140" s="31"/>
      <c r="N140" s="31"/>
      <c r="O140" s="31"/>
      <c r="P140" s="33"/>
      <c r="Q140" s="33"/>
      <c r="R140" s="58" t="s">
        <v>2</v>
      </c>
      <c r="S140" s="58" t="s">
        <v>2</v>
      </c>
      <c r="T140" s="31"/>
      <c r="U140" s="31"/>
      <c r="V140" s="31"/>
      <c r="W140" s="31"/>
      <c r="X140" s="33"/>
      <c r="Y140" s="33"/>
      <c r="Z140" s="58" t="s">
        <v>2</v>
      </c>
      <c r="AA140" s="58" t="s">
        <v>2</v>
      </c>
      <c r="AB140" s="31"/>
      <c r="AC140" s="31"/>
      <c r="AD140" s="31"/>
      <c r="AE140" s="31"/>
      <c r="AF140" s="1"/>
      <c r="AH140" s="16">
        <f t="shared" si="15"/>
        <v>0</v>
      </c>
      <c r="AI140" s="16">
        <f t="shared" si="16"/>
        <v>0</v>
      </c>
    </row>
    <row r="141" spans="1:35" ht="20.100000000000001" hidden="1" customHeight="1">
      <c r="A141" s="18" t="str">
        <f>ÖSSZES!$A$43</f>
        <v>Név18</v>
      </c>
      <c r="B141" s="58" t="s">
        <v>2</v>
      </c>
      <c r="C141" s="58" t="s">
        <v>2</v>
      </c>
      <c r="D141" s="31"/>
      <c r="E141" s="37"/>
      <c r="F141" s="37"/>
      <c r="G141" s="31"/>
      <c r="H141" s="33"/>
      <c r="I141" s="33"/>
      <c r="J141" s="58" t="s">
        <v>2</v>
      </c>
      <c r="K141" s="58" t="s">
        <v>2</v>
      </c>
      <c r="L141" s="31"/>
      <c r="M141" s="31"/>
      <c r="N141" s="31"/>
      <c r="O141" s="31"/>
      <c r="P141" s="33"/>
      <c r="Q141" s="33"/>
      <c r="R141" s="58" t="s">
        <v>2</v>
      </c>
      <c r="S141" s="58" t="s">
        <v>2</v>
      </c>
      <c r="T141" s="31"/>
      <c r="U141" s="31"/>
      <c r="V141" s="31"/>
      <c r="W141" s="31"/>
      <c r="X141" s="33"/>
      <c r="Y141" s="33"/>
      <c r="Z141" s="58" t="s">
        <v>2</v>
      </c>
      <c r="AA141" s="58" t="s">
        <v>2</v>
      </c>
      <c r="AB141" s="31"/>
      <c r="AC141" s="31"/>
      <c r="AD141" s="31"/>
      <c r="AE141" s="31"/>
      <c r="AF141" s="1"/>
      <c r="AH141" s="16">
        <f t="shared" si="15"/>
        <v>0</v>
      </c>
      <c r="AI141" s="16">
        <f t="shared" si="16"/>
        <v>0</v>
      </c>
    </row>
    <row r="142" spans="1:35" ht="20.100000000000001" hidden="1" customHeight="1">
      <c r="A142" s="18" t="str">
        <f>ÖSSZES!$A$44</f>
        <v>Név19</v>
      </c>
      <c r="B142" s="58" t="s">
        <v>2</v>
      </c>
      <c r="C142" s="58" t="s">
        <v>2</v>
      </c>
      <c r="D142" s="31"/>
      <c r="E142" s="37"/>
      <c r="F142" s="37"/>
      <c r="G142" s="31"/>
      <c r="H142" s="33"/>
      <c r="I142" s="33"/>
      <c r="J142" s="58" t="s">
        <v>2</v>
      </c>
      <c r="K142" s="58" t="s">
        <v>2</v>
      </c>
      <c r="L142" s="31"/>
      <c r="M142" s="31"/>
      <c r="N142" s="31"/>
      <c r="O142" s="31"/>
      <c r="P142" s="33"/>
      <c r="Q142" s="33"/>
      <c r="R142" s="58" t="s">
        <v>2</v>
      </c>
      <c r="S142" s="58" t="s">
        <v>2</v>
      </c>
      <c r="T142" s="31"/>
      <c r="U142" s="31"/>
      <c r="V142" s="31"/>
      <c r="W142" s="31"/>
      <c r="X142" s="33"/>
      <c r="Y142" s="33"/>
      <c r="Z142" s="58" t="s">
        <v>2</v>
      </c>
      <c r="AA142" s="58" t="s">
        <v>2</v>
      </c>
      <c r="AB142" s="31"/>
      <c r="AC142" s="31"/>
      <c r="AD142" s="31"/>
      <c r="AE142" s="31"/>
      <c r="AF142" s="1"/>
      <c r="AH142" s="16">
        <f t="shared" si="15"/>
        <v>0</v>
      </c>
      <c r="AI142" s="16">
        <f t="shared" si="16"/>
        <v>0</v>
      </c>
    </row>
    <row r="143" spans="1:35" ht="20.100000000000001" hidden="1" customHeight="1">
      <c r="A143" s="18" t="str">
        <f>ÖSSZES!$A$45</f>
        <v>Név20</v>
      </c>
      <c r="B143" s="58" t="s">
        <v>2</v>
      </c>
      <c r="C143" s="58" t="s">
        <v>2</v>
      </c>
      <c r="D143" s="31"/>
      <c r="E143" s="31"/>
      <c r="F143" s="31"/>
      <c r="G143" s="31"/>
      <c r="H143" s="33"/>
      <c r="I143" s="33"/>
      <c r="J143" s="58" t="s">
        <v>2</v>
      </c>
      <c r="K143" s="58" t="s">
        <v>2</v>
      </c>
      <c r="L143" s="31"/>
      <c r="M143" s="31"/>
      <c r="N143" s="31"/>
      <c r="O143" s="31"/>
      <c r="P143" s="33"/>
      <c r="Q143" s="33"/>
      <c r="R143" s="58" t="s">
        <v>2</v>
      </c>
      <c r="S143" s="58" t="s">
        <v>2</v>
      </c>
      <c r="T143" s="31"/>
      <c r="U143" s="31"/>
      <c r="V143" s="31"/>
      <c r="W143" s="31"/>
      <c r="X143" s="33"/>
      <c r="Y143" s="33"/>
      <c r="Z143" s="58" t="s">
        <v>2</v>
      </c>
      <c r="AA143" s="58" t="s">
        <v>2</v>
      </c>
      <c r="AB143" s="31"/>
      <c r="AC143" s="31"/>
      <c r="AD143" s="31"/>
      <c r="AE143" s="31"/>
      <c r="AF143" s="1"/>
      <c r="AH143" s="16">
        <f t="shared" si="15"/>
        <v>0</v>
      </c>
      <c r="AI143" s="16">
        <f t="shared" si="16"/>
        <v>0</v>
      </c>
    </row>
    <row r="144" spans="1:35" ht="20.100000000000001" customHeight="1"/>
    <row r="145" spans="1:35" s="6" customFormat="1" ht="20.100000000000001" customHeight="1">
      <c r="A145" s="91" t="s">
        <v>11</v>
      </c>
      <c r="B145" s="17">
        <v>1</v>
      </c>
      <c r="C145" s="17">
        <v>2</v>
      </c>
      <c r="D145" s="17">
        <v>3</v>
      </c>
      <c r="E145" s="17">
        <v>4</v>
      </c>
      <c r="F145" s="17">
        <v>5</v>
      </c>
      <c r="G145" s="17">
        <v>6</v>
      </c>
      <c r="H145" s="17">
        <v>7</v>
      </c>
      <c r="I145" s="17">
        <v>8</v>
      </c>
      <c r="J145" s="17">
        <v>9</v>
      </c>
      <c r="K145" s="17">
        <v>10</v>
      </c>
      <c r="L145" s="17">
        <v>11</v>
      </c>
      <c r="M145" s="17">
        <v>12</v>
      </c>
      <c r="N145" s="17">
        <v>13</v>
      </c>
      <c r="O145" s="17">
        <v>14</v>
      </c>
      <c r="P145" s="17">
        <v>15</v>
      </c>
      <c r="Q145" s="17">
        <v>16</v>
      </c>
      <c r="R145" s="17">
        <v>17</v>
      </c>
      <c r="S145" s="17">
        <v>18</v>
      </c>
      <c r="T145" s="17">
        <v>19</v>
      </c>
      <c r="U145" s="17">
        <v>20</v>
      </c>
      <c r="V145" s="17">
        <v>21</v>
      </c>
      <c r="W145" s="17">
        <v>22</v>
      </c>
      <c r="X145" s="17">
        <v>23</v>
      </c>
      <c r="Y145" s="17">
        <v>24</v>
      </c>
      <c r="Z145" s="17">
        <v>25</v>
      </c>
      <c r="AA145" s="17">
        <v>26</v>
      </c>
      <c r="AB145" s="17">
        <v>27</v>
      </c>
      <c r="AC145" s="17">
        <v>28</v>
      </c>
      <c r="AD145" s="17">
        <v>29</v>
      </c>
      <c r="AE145" s="17">
        <v>30</v>
      </c>
      <c r="AF145" s="17">
        <v>31</v>
      </c>
      <c r="AH145" s="93" t="s">
        <v>18</v>
      </c>
      <c r="AI145" s="93" t="s">
        <v>19</v>
      </c>
    </row>
    <row r="146" spans="1:35" ht="20.100000000000001" customHeight="1">
      <c r="A146" s="92"/>
      <c r="B146" s="10" t="str">
        <f>'2020'!B52</f>
        <v>Sze</v>
      </c>
      <c r="C146" s="10" t="str">
        <f>'2020'!C52</f>
        <v>Cs</v>
      </c>
      <c r="D146" s="10" t="str">
        <f>'2020'!D52</f>
        <v>P</v>
      </c>
      <c r="E146" s="10" t="str">
        <f>'2020'!E52</f>
        <v>Szo</v>
      </c>
      <c r="F146" s="10" t="str">
        <f>'2020'!F52</f>
        <v>V</v>
      </c>
      <c r="G146" s="10" t="str">
        <f>'2020'!G52</f>
        <v>H</v>
      </c>
      <c r="H146" s="10" t="str">
        <f>'2020'!H52</f>
        <v>K</v>
      </c>
      <c r="I146" s="10" t="str">
        <f>'2020'!I52</f>
        <v>Sze</v>
      </c>
      <c r="J146" s="10" t="str">
        <f>'2020'!J52</f>
        <v>Cs</v>
      </c>
      <c r="K146" s="10" t="str">
        <f>'2020'!K52</f>
        <v>P</v>
      </c>
      <c r="L146" s="10" t="str">
        <f>'2020'!L52</f>
        <v>Szo</v>
      </c>
      <c r="M146" s="10" t="str">
        <f>'2020'!M52</f>
        <v>V</v>
      </c>
      <c r="N146" s="10" t="str">
        <f>'2020'!N52</f>
        <v>H</v>
      </c>
      <c r="O146" s="10" t="str">
        <f>'2020'!O52</f>
        <v>K</v>
      </c>
      <c r="P146" s="10" t="str">
        <f>'2020'!P52</f>
        <v>Sze</v>
      </c>
      <c r="Q146" s="10" t="str">
        <f>'2020'!Q52</f>
        <v>Cs</v>
      </c>
      <c r="R146" s="10" t="str">
        <f>'2020'!R52</f>
        <v>P</v>
      </c>
      <c r="S146" s="10" t="str">
        <f>'2020'!S52</f>
        <v>Szo</v>
      </c>
      <c r="T146" s="10" t="str">
        <f>'2020'!T52</f>
        <v>V</v>
      </c>
      <c r="U146" s="10" t="str">
        <f>'2020'!U52</f>
        <v>H</v>
      </c>
      <c r="V146" s="10" t="str">
        <f>'2020'!V52</f>
        <v>K</v>
      </c>
      <c r="W146" s="10" t="str">
        <f>'2020'!W52</f>
        <v>Sze</v>
      </c>
      <c r="X146" s="10" t="str">
        <f>'2020'!X52</f>
        <v>Cs</v>
      </c>
      <c r="Y146" s="10" t="str">
        <f>'2020'!Y52</f>
        <v>P</v>
      </c>
      <c r="Z146" s="10" t="str">
        <f>'2020'!Z52</f>
        <v>Szo</v>
      </c>
      <c r="AA146" s="10" t="str">
        <f>'2020'!AA52</f>
        <v>V</v>
      </c>
      <c r="AB146" s="10" t="str">
        <f>'2020'!AB52</f>
        <v>H</v>
      </c>
      <c r="AC146" s="10" t="str">
        <f>'2020'!AC52</f>
        <v>K</v>
      </c>
      <c r="AD146" s="10" t="str">
        <f>'2020'!AD52</f>
        <v>Sze</v>
      </c>
      <c r="AE146" s="10" t="str">
        <f>'2020'!AE52</f>
        <v>Cs</v>
      </c>
      <c r="AF146" s="10" t="str">
        <f>'2020'!AF52</f>
        <v>P</v>
      </c>
      <c r="AH146" s="94"/>
      <c r="AI146" s="94"/>
    </row>
    <row r="147" spans="1:35" ht="20.100000000000001" customHeight="1">
      <c r="A147" s="92"/>
      <c r="B147" s="10">
        <f>'2020'!B54</f>
        <v>2</v>
      </c>
      <c r="C147" s="10">
        <f>'2020'!C54</f>
        <v>2</v>
      </c>
      <c r="D147" s="10" t="str">
        <f>'2020'!D54</f>
        <v>X</v>
      </c>
      <c r="E147" s="10" t="str">
        <f>'2020'!E54</f>
        <v>X</v>
      </c>
      <c r="F147" s="10">
        <f>'2020'!F54</f>
        <v>1</v>
      </c>
      <c r="G147" s="10">
        <f>'2020'!G54</f>
        <v>1</v>
      </c>
      <c r="H147" s="10">
        <f>'2020'!H54</f>
        <v>1</v>
      </c>
      <c r="I147" s="10">
        <f>'2020'!I54</f>
        <v>1</v>
      </c>
      <c r="J147" s="10">
        <f>'2020'!J54</f>
        <v>1</v>
      </c>
      <c r="K147" s="10">
        <f>'2020'!K54</f>
        <v>1</v>
      </c>
      <c r="L147" s="10" t="str">
        <f>'2020'!L54</f>
        <v>X</v>
      </c>
      <c r="M147" s="10" t="str">
        <f>'2020'!M54</f>
        <v>X</v>
      </c>
      <c r="N147" s="10">
        <f>'2020'!N54</f>
        <v>3</v>
      </c>
      <c r="O147" s="10">
        <f>'2020'!O54</f>
        <v>3</v>
      </c>
      <c r="P147" s="10">
        <f>'2020'!P54</f>
        <v>3</v>
      </c>
      <c r="Q147" s="10">
        <f>'2020'!Q54</f>
        <v>3</v>
      </c>
      <c r="R147" s="10">
        <f>'2020'!R54</f>
        <v>3</v>
      </c>
      <c r="S147" s="10">
        <f>'2020'!S54</f>
        <v>3</v>
      </c>
      <c r="T147" s="10" t="str">
        <f>'2020'!T54</f>
        <v>X</v>
      </c>
      <c r="U147" s="10" t="str">
        <f>'2020'!U54</f>
        <v>X</v>
      </c>
      <c r="V147" s="10">
        <f>'2020'!V54</f>
        <v>2</v>
      </c>
      <c r="W147" s="10">
        <f>'2020'!W54</f>
        <v>2</v>
      </c>
      <c r="X147" s="10">
        <f>'2020'!X54</f>
        <v>2</v>
      </c>
      <c r="Y147" s="10">
        <f>'2020'!Y54</f>
        <v>2</v>
      </c>
      <c r="Z147" s="10">
        <f>'2020'!Z54</f>
        <v>2</v>
      </c>
      <c r="AA147" s="10">
        <f>'2020'!AA54</f>
        <v>2</v>
      </c>
      <c r="AB147" s="10" t="str">
        <f>'2020'!AB54</f>
        <v>X</v>
      </c>
      <c r="AC147" s="10" t="str">
        <f>'2020'!AC54</f>
        <v>X</v>
      </c>
      <c r="AD147" s="10">
        <f>'2020'!AD54</f>
        <v>1</v>
      </c>
      <c r="AE147" s="10">
        <f>'2020'!AE54</f>
        <v>1</v>
      </c>
      <c r="AF147" s="10">
        <f>'2020'!AF54</f>
        <v>1</v>
      </c>
      <c r="AH147" s="94"/>
      <c r="AI147" s="94"/>
    </row>
    <row r="148" spans="1:35" ht="20.100000000000001" customHeight="1">
      <c r="A148" s="18" t="str">
        <f>ÖSSZES!$A$26</f>
        <v>Katona László</v>
      </c>
      <c r="B148" s="33"/>
      <c r="C148" s="33"/>
      <c r="D148" s="58" t="s">
        <v>2</v>
      </c>
      <c r="E148" s="58" t="s">
        <v>2</v>
      </c>
      <c r="F148" s="14"/>
      <c r="G148" s="14"/>
      <c r="H148" s="14"/>
      <c r="I148" s="14"/>
      <c r="J148" s="33"/>
      <c r="K148" s="33"/>
      <c r="L148" s="58" t="s">
        <v>2</v>
      </c>
      <c r="M148" s="58" t="s">
        <v>2</v>
      </c>
      <c r="N148" s="14"/>
      <c r="O148" s="14"/>
      <c r="P148" s="14"/>
      <c r="Q148" s="14"/>
      <c r="R148" s="33"/>
      <c r="S148" s="33"/>
      <c r="T148" s="58" t="s">
        <v>2</v>
      </c>
      <c r="U148" s="58" t="s">
        <v>2</v>
      </c>
      <c r="V148" s="14"/>
      <c r="W148" s="14"/>
      <c r="X148" s="14"/>
      <c r="Y148" s="14"/>
      <c r="Z148" s="33"/>
      <c r="AA148" s="33"/>
      <c r="AB148" s="58" t="s">
        <v>2</v>
      </c>
      <c r="AC148" s="58" t="s">
        <v>2</v>
      </c>
      <c r="AD148" s="14"/>
      <c r="AE148" s="14"/>
      <c r="AF148" s="14"/>
      <c r="AH148" s="16">
        <f>1*COUNTIF(A148:AF148,"+")</f>
        <v>0</v>
      </c>
      <c r="AI148" s="16">
        <f t="shared" ref="AI148" si="17">1*COUNTIF(B148:AF148,"szf")</f>
        <v>0</v>
      </c>
    </row>
    <row r="149" spans="1:35" ht="20.100000000000001" customHeight="1">
      <c r="A149" s="18" t="str">
        <f>ÖSSZES!$A$27</f>
        <v>Kiss János Tamás</v>
      </c>
      <c r="B149" s="33"/>
      <c r="C149" s="33"/>
      <c r="D149" s="58" t="s">
        <v>2</v>
      </c>
      <c r="E149" s="58" t="s">
        <v>2</v>
      </c>
      <c r="F149" s="14"/>
      <c r="G149" s="14"/>
      <c r="H149" s="14"/>
      <c r="I149" s="14"/>
      <c r="J149" s="33"/>
      <c r="K149" s="33"/>
      <c r="L149" s="58" t="s">
        <v>2</v>
      </c>
      <c r="M149" s="58" t="s">
        <v>2</v>
      </c>
      <c r="N149" s="14"/>
      <c r="O149" s="14"/>
      <c r="P149" s="14"/>
      <c r="Q149" s="14"/>
      <c r="R149" s="33"/>
      <c r="S149" s="33"/>
      <c r="T149" s="58" t="s">
        <v>2</v>
      </c>
      <c r="U149" s="58" t="s">
        <v>2</v>
      </c>
      <c r="V149" s="14"/>
      <c r="W149" s="14"/>
      <c r="X149" s="14"/>
      <c r="Y149" s="14"/>
      <c r="Z149" s="33"/>
      <c r="AA149" s="33"/>
      <c r="AB149" s="58" t="s">
        <v>2</v>
      </c>
      <c r="AC149" s="58" t="s">
        <v>2</v>
      </c>
      <c r="AD149" s="14"/>
      <c r="AE149" s="14"/>
      <c r="AF149" s="14"/>
      <c r="AH149" s="16">
        <f t="shared" ref="AH149:AH167" si="18">1*COUNTIF(A149:AF149,"+")</f>
        <v>0</v>
      </c>
      <c r="AI149" s="16">
        <f t="shared" ref="AI149:AI167" si="19">1*COUNTIF(B149:AF149,"szf")</f>
        <v>0</v>
      </c>
    </row>
    <row r="150" spans="1:35" ht="20.100000000000001" customHeight="1">
      <c r="A150" s="18" t="str">
        <f>ÖSSZES!$A$28</f>
        <v>Habara Gábor</v>
      </c>
      <c r="B150" s="33"/>
      <c r="C150" s="33"/>
      <c r="D150" s="58" t="s">
        <v>2</v>
      </c>
      <c r="E150" s="58" t="s">
        <v>2</v>
      </c>
      <c r="F150" s="14"/>
      <c r="G150" s="14"/>
      <c r="H150" s="14"/>
      <c r="I150" s="14"/>
      <c r="J150" s="33"/>
      <c r="K150" s="33"/>
      <c r="L150" s="58" t="s">
        <v>2</v>
      </c>
      <c r="M150" s="58" t="s">
        <v>2</v>
      </c>
      <c r="N150" s="14"/>
      <c r="O150" s="14"/>
      <c r="P150" s="14"/>
      <c r="Q150" s="14"/>
      <c r="R150" s="33"/>
      <c r="S150" s="33"/>
      <c r="T150" s="58" t="s">
        <v>2</v>
      </c>
      <c r="U150" s="58" t="s">
        <v>2</v>
      </c>
      <c r="V150" s="14"/>
      <c r="W150" s="14"/>
      <c r="X150" s="14"/>
      <c r="Y150" s="14"/>
      <c r="Z150" s="33"/>
      <c r="AA150" s="33"/>
      <c r="AB150" s="58" t="s">
        <v>2</v>
      </c>
      <c r="AC150" s="58" t="s">
        <v>2</v>
      </c>
      <c r="AD150" s="14"/>
      <c r="AE150" s="14"/>
      <c r="AF150" s="14"/>
      <c r="AH150" s="16">
        <f t="shared" si="18"/>
        <v>0</v>
      </c>
      <c r="AI150" s="16">
        <f t="shared" si="19"/>
        <v>0</v>
      </c>
    </row>
    <row r="151" spans="1:35" ht="20.100000000000001" customHeight="1">
      <c r="A151" s="18" t="str">
        <f>ÖSSZES!$A$29</f>
        <v>Holba Imre</v>
      </c>
      <c r="B151" s="33"/>
      <c r="C151" s="33"/>
      <c r="D151" s="58" t="s">
        <v>2</v>
      </c>
      <c r="E151" s="58" t="s">
        <v>2</v>
      </c>
      <c r="F151" s="14"/>
      <c r="G151" s="14"/>
      <c r="H151" s="14"/>
      <c r="I151" s="14"/>
      <c r="J151" s="33"/>
      <c r="K151" s="33"/>
      <c r="L151" s="58" t="s">
        <v>2</v>
      </c>
      <c r="M151" s="58" t="s">
        <v>2</v>
      </c>
      <c r="N151" s="14"/>
      <c r="O151" s="14"/>
      <c r="P151" s="14"/>
      <c r="Q151" s="14"/>
      <c r="R151" s="33"/>
      <c r="S151" s="33"/>
      <c r="T151" s="58" t="s">
        <v>2</v>
      </c>
      <c r="U151" s="58" t="s">
        <v>2</v>
      </c>
      <c r="V151" s="14"/>
      <c r="W151" s="14"/>
      <c r="X151" s="14"/>
      <c r="Y151" s="14"/>
      <c r="Z151" s="33"/>
      <c r="AA151" s="33"/>
      <c r="AB151" s="58" t="s">
        <v>2</v>
      </c>
      <c r="AC151" s="58" t="s">
        <v>2</v>
      </c>
      <c r="AD151" s="14"/>
      <c r="AE151" s="14"/>
      <c r="AF151" s="14"/>
      <c r="AH151" s="16">
        <f t="shared" si="18"/>
        <v>0</v>
      </c>
      <c r="AI151" s="16">
        <f t="shared" si="19"/>
        <v>0</v>
      </c>
    </row>
    <row r="152" spans="1:35" ht="20.100000000000001" customHeight="1">
      <c r="A152" s="18" t="str">
        <f>ÖSSZES!$A$30</f>
        <v>Keresztes Gyula</v>
      </c>
      <c r="B152" s="61">
        <v>27</v>
      </c>
      <c r="C152" s="61">
        <v>28</v>
      </c>
      <c r="D152" s="61">
        <v>29</v>
      </c>
      <c r="E152" s="61">
        <v>30</v>
      </c>
      <c r="F152" s="61">
        <v>31</v>
      </c>
      <c r="G152" s="61">
        <v>32</v>
      </c>
      <c r="H152" s="61">
        <v>33</v>
      </c>
      <c r="I152" s="61">
        <v>34</v>
      </c>
      <c r="J152" s="61">
        <v>35</v>
      </c>
      <c r="K152" s="61">
        <v>36</v>
      </c>
      <c r="L152" s="61">
        <v>37</v>
      </c>
      <c r="M152" s="61">
        <v>38</v>
      </c>
      <c r="N152" s="61">
        <v>39</v>
      </c>
      <c r="O152" s="61">
        <v>40</v>
      </c>
      <c r="P152" s="61">
        <v>41</v>
      </c>
      <c r="Q152" s="61">
        <v>42</v>
      </c>
      <c r="R152" s="61">
        <v>43</v>
      </c>
      <c r="S152" s="61">
        <v>44</v>
      </c>
      <c r="T152" s="61">
        <v>45</v>
      </c>
      <c r="U152" s="61">
        <v>46</v>
      </c>
      <c r="V152" s="61">
        <v>47</v>
      </c>
      <c r="W152" s="61">
        <v>48</v>
      </c>
      <c r="X152" s="61">
        <v>49</v>
      </c>
      <c r="Y152" s="61">
        <v>50</v>
      </c>
      <c r="Z152" s="61">
        <v>51</v>
      </c>
      <c r="AA152" s="61">
        <v>52</v>
      </c>
      <c r="AB152" s="61">
        <v>53</v>
      </c>
      <c r="AC152" s="61">
        <v>54</v>
      </c>
      <c r="AD152" s="61">
        <v>55</v>
      </c>
      <c r="AE152" s="61">
        <v>56</v>
      </c>
      <c r="AF152" s="61">
        <v>57</v>
      </c>
      <c r="AH152" s="16">
        <f t="shared" si="18"/>
        <v>0</v>
      </c>
      <c r="AI152" s="16">
        <f t="shared" si="19"/>
        <v>0</v>
      </c>
    </row>
    <row r="153" spans="1:35" ht="20.100000000000001" customHeight="1">
      <c r="A153" s="18" t="str">
        <f>ÖSSZES!$A$31</f>
        <v>Király Bálint Donát</v>
      </c>
      <c r="B153" s="33"/>
      <c r="C153" s="33"/>
      <c r="D153" s="58" t="s">
        <v>2</v>
      </c>
      <c r="E153" s="58" t="s">
        <v>2</v>
      </c>
      <c r="F153" s="14"/>
      <c r="G153" s="14"/>
      <c r="H153" s="14"/>
      <c r="I153" s="14"/>
      <c r="J153" s="33"/>
      <c r="K153" s="33"/>
      <c r="L153" s="58" t="s">
        <v>2</v>
      </c>
      <c r="M153" s="58" t="s">
        <v>2</v>
      </c>
      <c r="N153" s="14"/>
      <c r="O153" s="14"/>
      <c r="P153" s="14"/>
      <c r="Q153" s="14"/>
      <c r="R153" s="33"/>
      <c r="S153" s="33"/>
      <c r="T153" s="58" t="s">
        <v>2</v>
      </c>
      <c r="U153" s="58" t="s">
        <v>2</v>
      </c>
      <c r="V153" s="14"/>
      <c r="W153" s="14"/>
      <c r="X153" s="14"/>
      <c r="Y153" s="14"/>
      <c r="Z153" s="33"/>
      <c r="AA153" s="33"/>
      <c r="AB153" s="58" t="s">
        <v>2</v>
      </c>
      <c r="AC153" s="58" t="s">
        <v>2</v>
      </c>
      <c r="AD153" s="14"/>
      <c r="AE153" s="14"/>
      <c r="AF153" s="14"/>
      <c r="AH153" s="16">
        <f t="shared" si="18"/>
        <v>0</v>
      </c>
      <c r="AI153" s="16">
        <f t="shared" si="19"/>
        <v>0</v>
      </c>
    </row>
    <row r="154" spans="1:35" ht="20.100000000000001" customHeight="1">
      <c r="A154" s="18" t="str">
        <f>ÖSSZES!$A$32</f>
        <v>Mezei Lajos</v>
      </c>
      <c r="B154" s="33"/>
      <c r="C154" s="33"/>
      <c r="D154" s="58" t="s">
        <v>2</v>
      </c>
      <c r="E154" s="58" t="s">
        <v>2</v>
      </c>
      <c r="F154" s="14"/>
      <c r="G154" s="14"/>
      <c r="H154" s="14"/>
      <c r="I154" s="14"/>
      <c r="J154" s="33"/>
      <c r="K154" s="33"/>
      <c r="L154" s="58" t="s">
        <v>2</v>
      </c>
      <c r="M154" s="58" t="s">
        <v>2</v>
      </c>
      <c r="N154" s="14"/>
      <c r="O154" s="14"/>
      <c r="P154" s="14"/>
      <c r="Q154" s="14"/>
      <c r="R154" s="33"/>
      <c r="S154" s="33"/>
      <c r="T154" s="58" t="s">
        <v>2</v>
      </c>
      <c r="U154" s="58" t="s">
        <v>2</v>
      </c>
      <c r="V154" s="14"/>
      <c r="W154" s="14"/>
      <c r="X154" s="14"/>
      <c r="Y154" s="14"/>
      <c r="Z154" s="33"/>
      <c r="AA154" s="33"/>
      <c r="AB154" s="58" t="s">
        <v>2</v>
      </c>
      <c r="AC154" s="58" t="s">
        <v>2</v>
      </c>
      <c r="AD154" s="14"/>
      <c r="AE154" s="14"/>
      <c r="AF154" s="14"/>
      <c r="AH154" s="16">
        <f t="shared" si="18"/>
        <v>0</v>
      </c>
      <c r="AI154" s="16">
        <f t="shared" si="19"/>
        <v>0</v>
      </c>
    </row>
    <row r="155" spans="1:35" ht="20.100000000000001" hidden="1" customHeight="1">
      <c r="A155" s="18" t="str">
        <f>ÖSSZES!$A$33</f>
        <v>Fényi László</v>
      </c>
      <c r="B155" s="33"/>
      <c r="C155" s="33"/>
      <c r="D155" s="58" t="s">
        <v>2</v>
      </c>
      <c r="E155" s="58" t="s">
        <v>2</v>
      </c>
      <c r="F155" s="14"/>
      <c r="G155" s="14"/>
      <c r="H155" s="14"/>
      <c r="I155" s="14"/>
      <c r="J155" s="33"/>
      <c r="K155" s="33"/>
      <c r="L155" s="58" t="s">
        <v>2</v>
      </c>
      <c r="M155" s="58" t="s">
        <v>2</v>
      </c>
      <c r="N155" s="14"/>
      <c r="O155" s="14"/>
      <c r="P155" s="14"/>
      <c r="Q155" s="14"/>
      <c r="R155" s="33"/>
      <c r="S155" s="33"/>
      <c r="T155" s="58" t="s">
        <v>2</v>
      </c>
      <c r="U155" s="58" t="s">
        <v>2</v>
      </c>
      <c r="V155" s="14"/>
      <c r="W155" s="14"/>
      <c r="X155" s="14"/>
      <c r="Y155" s="14"/>
      <c r="Z155" s="33"/>
      <c r="AA155" s="33"/>
      <c r="AB155" s="58" t="s">
        <v>2</v>
      </c>
      <c r="AC155" s="58" t="s">
        <v>2</v>
      </c>
      <c r="AD155" s="14"/>
      <c r="AE155" s="14"/>
      <c r="AF155" s="14"/>
      <c r="AH155" s="16">
        <f t="shared" si="18"/>
        <v>0</v>
      </c>
      <c r="AI155" s="16">
        <f t="shared" si="19"/>
        <v>0</v>
      </c>
    </row>
    <row r="156" spans="1:35" ht="20.100000000000001" hidden="1" customHeight="1">
      <c r="A156" s="18" t="str">
        <f>ÖSSZES!$A$34</f>
        <v>Név9</v>
      </c>
      <c r="B156" s="33"/>
      <c r="C156" s="33"/>
      <c r="D156" s="58" t="s">
        <v>2</v>
      </c>
      <c r="E156" s="58" t="s">
        <v>2</v>
      </c>
      <c r="F156" s="14"/>
      <c r="G156" s="14"/>
      <c r="H156" s="14"/>
      <c r="I156" s="14"/>
      <c r="J156" s="33"/>
      <c r="K156" s="33"/>
      <c r="L156" s="58" t="s">
        <v>2</v>
      </c>
      <c r="M156" s="58" t="s">
        <v>2</v>
      </c>
      <c r="N156" s="14"/>
      <c r="O156" s="14"/>
      <c r="P156" s="14"/>
      <c r="Q156" s="14"/>
      <c r="R156" s="33"/>
      <c r="S156" s="33"/>
      <c r="T156" s="58" t="s">
        <v>2</v>
      </c>
      <c r="U156" s="58" t="s">
        <v>2</v>
      </c>
      <c r="V156" s="14"/>
      <c r="W156" s="14"/>
      <c r="X156" s="14"/>
      <c r="Y156" s="14"/>
      <c r="Z156" s="33"/>
      <c r="AA156" s="33"/>
      <c r="AB156" s="58" t="s">
        <v>2</v>
      </c>
      <c r="AC156" s="58" t="s">
        <v>2</v>
      </c>
      <c r="AD156" s="14"/>
      <c r="AE156" s="14"/>
      <c r="AF156" s="14"/>
      <c r="AH156" s="16">
        <f t="shared" si="18"/>
        <v>0</v>
      </c>
      <c r="AI156" s="16">
        <f t="shared" si="19"/>
        <v>0</v>
      </c>
    </row>
    <row r="157" spans="1:35" ht="20.100000000000001" hidden="1" customHeight="1">
      <c r="A157" s="18" t="str">
        <f>ÖSSZES!$A$35</f>
        <v>Név10</v>
      </c>
      <c r="B157" s="33"/>
      <c r="C157" s="33"/>
      <c r="D157" s="58" t="s">
        <v>2</v>
      </c>
      <c r="E157" s="58" t="s">
        <v>2</v>
      </c>
      <c r="F157" s="14"/>
      <c r="G157" s="14"/>
      <c r="H157" s="14"/>
      <c r="I157" s="14"/>
      <c r="J157" s="33"/>
      <c r="K157" s="33"/>
      <c r="L157" s="58" t="s">
        <v>2</v>
      </c>
      <c r="M157" s="58" t="s">
        <v>2</v>
      </c>
      <c r="N157" s="14"/>
      <c r="O157" s="14"/>
      <c r="P157" s="14"/>
      <c r="Q157" s="14"/>
      <c r="R157" s="33"/>
      <c r="S157" s="33"/>
      <c r="T157" s="58" t="s">
        <v>2</v>
      </c>
      <c r="U157" s="58" t="s">
        <v>2</v>
      </c>
      <c r="V157" s="14"/>
      <c r="W157" s="14"/>
      <c r="X157" s="14"/>
      <c r="Y157" s="14"/>
      <c r="Z157" s="33"/>
      <c r="AA157" s="33"/>
      <c r="AB157" s="58" t="s">
        <v>2</v>
      </c>
      <c r="AC157" s="58" t="s">
        <v>2</v>
      </c>
      <c r="AD157" s="14"/>
      <c r="AE157" s="14"/>
      <c r="AF157" s="14"/>
      <c r="AH157" s="16">
        <f t="shared" si="18"/>
        <v>0</v>
      </c>
      <c r="AI157" s="16">
        <f t="shared" si="19"/>
        <v>0</v>
      </c>
    </row>
    <row r="158" spans="1:35" ht="20.100000000000001" hidden="1" customHeight="1">
      <c r="A158" s="18" t="str">
        <f>ÖSSZES!$A$36</f>
        <v>Név11</v>
      </c>
      <c r="B158" s="33"/>
      <c r="C158" s="33"/>
      <c r="D158" s="58" t="s">
        <v>2</v>
      </c>
      <c r="E158" s="58" t="s">
        <v>2</v>
      </c>
      <c r="F158" s="14"/>
      <c r="G158" s="14"/>
      <c r="H158" s="14"/>
      <c r="I158" s="14"/>
      <c r="J158" s="33"/>
      <c r="K158" s="33"/>
      <c r="L158" s="58" t="s">
        <v>2</v>
      </c>
      <c r="M158" s="58" t="s">
        <v>2</v>
      </c>
      <c r="N158" s="14"/>
      <c r="O158" s="14"/>
      <c r="P158" s="14"/>
      <c r="Q158" s="14"/>
      <c r="R158" s="33"/>
      <c r="S158" s="33"/>
      <c r="T158" s="58" t="s">
        <v>2</v>
      </c>
      <c r="U158" s="58" t="s">
        <v>2</v>
      </c>
      <c r="V158" s="14"/>
      <c r="W158" s="14"/>
      <c r="X158" s="14"/>
      <c r="Y158" s="14"/>
      <c r="Z158" s="33"/>
      <c r="AA158" s="33"/>
      <c r="AB158" s="58" t="s">
        <v>2</v>
      </c>
      <c r="AC158" s="58" t="s">
        <v>2</v>
      </c>
      <c r="AD158" s="14"/>
      <c r="AE158" s="14"/>
      <c r="AF158" s="14"/>
      <c r="AH158" s="16">
        <f t="shared" si="18"/>
        <v>0</v>
      </c>
      <c r="AI158" s="16">
        <f t="shared" si="19"/>
        <v>0</v>
      </c>
    </row>
    <row r="159" spans="1:35" ht="20.100000000000001" hidden="1" customHeight="1">
      <c r="A159" s="18" t="str">
        <f>ÖSSZES!$A$37</f>
        <v>Név12</v>
      </c>
      <c r="B159" s="33"/>
      <c r="C159" s="33"/>
      <c r="D159" s="58" t="s">
        <v>2</v>
      </c>
      <c r="E159" s="58" t="s">
        <v>2</v>
      </c>
      <c r="F159" s="14"/>
      <c r="G159" s="14"/>
      <c r="H159" s="14"/>
      <c r="I159" s="14"/>
      <c r="J159" s="33"/>
      <c r="K159" s="33"/>
      <c r="L159" s="58" t="s">
        <v>2</v>
      </c>
      <c r="M159" s="58" t="s">
        <v>2</v>
      </c>
      <c r="N159" s="14"/>
      <c r="O159" s="14"/>
      <c r="P159" s="14"/>
      <c r="Q159" s="14"/>
      <c r="R159" s="33"/>
      <c r="S159" s="33"/>
      <c r="T159" s="58" t="s">
        <v>2</v>
      </c>
      <c r="U159" s="58" t="s">
        <v>2</v>
      </c>
      <c r="V159" s="14"/>
      <c r="W159" s="14"/>
      <c r="X159" s="14"/>
      <c r="Y159" s="14"/>
      <c r="Z159" s="33"/>
      <c r="AA159" s="33"/>
      <c r="AB159" s="58" t="s">
        <v>2</v>
      </c>
      <c r="AC159" s="58" t="s">
        <v>2</v>
      </c>
      <c r="AD159" s="14"/>
      <c r="AE159" s="14"/>
      <c r="AF159" s="14"/>
      <c r="AH159" s="16">
        <f t="shared" si="18"/>
        <v>0</v>
      </c>
      <c r="AI159" s="16">
        <f t="shared" si="19"/>
        <v>0</v>
      </c>
    </row>
    <row r="160" spans="1:35" ht="20.100000000000001" hidden="1" customHeight="1">
      <c r="A160" s="18" t="str">
        <f>ÖSSZES!$A$38</f>
        <v>Név13</v>
      </c>
      <c r="B160" s="33"/>
      <c r="C160" s="33"/>
      <c r="D160" s="58" t="s">
        <v>2</v>
      </c>
      <c r="E160" s="58" t="s">
        <v>2</v>
      </c>
      <c r="F160" s="14"/>
      <c r="G160" s="14"/>
      <c r="H160" s="14"/>
      <c r="I160" s="14"/>
      <c r="J160" s="33"/>
      <c r="K160" s="33"/>
      <c r="L160" s="58" t="s">
        <v>2</v>
      </c>
      <c r="M160" s="58" t="s">
        <v>2</v>
      </c>
      <c r="N160" s="14"/>
      <c r="O160" s="14"/>
      <c r="P160" s="14"/>
      <c r="Q160" s="14"/>
      <c r="R160" s="33"/>
      <c r="S160" s="33"/>
      <c r="T160" s="58" t="s">
        <v>2</v>
      </c>
      <c r="U160" s="58" t="s">
        <v>2</v>
      </c>
      <c r="V160" s="14"/>
      <c r="W160" s="14"/>
      <c r="X160" s="14"/>
      <c r="Y160" s="14"/>
      <c r="Z160" s="33"/>
      <c r="AA160" s="33"/>
      <c r="AB160" s="58" t="s">
        <v>2</v>
      </c>
      <c r="AC160" s="58" t="s">
        <v>2</v>
      </c>
      <c r="AD160" s="14"/>
      <c r="AE160" s="14"/>
      <c r="AF160" s="14"/>
      <c r="AH160" s="16">
        <f t="shared" si="18"/>
        <v>0</v>
      </c>
      <c r="AI160" s="16">
        <f t="shared" si="19"/>
        <v>0</v>
      </c>
    </row>
    <row r="161" spans="1:35" ht="20.100000000000001" hidden="1" customHeight="1">
      <c r="A161" s="18" t="str">
        <f>ÖSSZES!$A$39</f>
        <v>Név14</v>
      </c>
      <c r="B161" s="33"/>
      <c r="C161" s="33"/>
      <c r="D161" s="58" t="s">
        <v>2</v>
      </c>
      <c r="E161" s="58" t="s">
        <v>2</v>
      </c>
      <c r="F161" s="14"/>
      <c r="G161" s="14"/>
      <c r="H161" s="14"/>
      <c r="I161" s="14"/>
      <c r="J161" s="33"/>
      <c r="K161" s="33"/>
      <c r="L161" s="58" t="s">
        <v>2</v>
      </c>
      <c r="M161" s="58" t="s">
        <v>2</v>
      </c>
      <c r="N161" s="14"/>
      <c r="O161" s="14"/>
      <c r="P161" s="14"/>
      <c r="Q161" s="14"/>
      <c r="R161" s="33"/>
      <c r="S161" s="33"/>
      <c r="T161" s="58" t="s">
        <v>2</v>
      </c>
      <c r="U161" s="58" t="s">
        <v>2</v>
      </c>
      <c r="V161" s="14"/>
      <c r="W161" s="14"/>
      <c r="X161" s="14"/>
      <c r="Y161" s="14"/>
      <c r="Z161" s="33"/>
      <c r="AA161" s="33"/>
      <c r="AB161" s="58" t="s">
        <v>2</v>
      </c>
      <c r="AC161" s="58" t="s">
        <v>2</v>
      </c>
      <c r="AD161" s="14"/>
      <c r="AE161" s="14"/>
      <c r="AF161" s="14"/>
      <c r="AH161" s="16">
        <f t="shared" si="18"/>
        <v>0</v>
      </c>
      <c r="AI161" s="16">
        <f t="shared" si="19"/>
        <v>0</v>
      </c>
    </row>
    <row r="162" spans="1:35" ht="20.100000000000001" hidden="1" customHeight="1">
      <c r="A162" s="18" t="str">
        <f>ÖSSZES!$A$40</f>
        <v>Név15</v>
      </c>
      <c r="B162" s="33"/>
      <c r="C162" s="33"/>
      <c r="D162" s="58" t="s">
        <v>2</v>
      </c>
      <c r="E162" s="58" t="s">
        <v>2</v>
      </c>
      <c r="F162" s="14"/>
      <c r="G162" s="14"/>
      <c r="H162" s="14"/>
      <c r="I162" s="14"/>
      <c r="J162" s="33"/>
      <c r="K162" s="33"/>
      <c r="L162" s="58" t="s">
        <v>2</v>
      </c>
      <c r="M162" s="58" t="s">
        <v>2</v>
      </c>
      <c r="N162" s="14"/>
      <c r="O162" s="14"/>
      <c r="P162" s="14"/>
      <c r="Q162" s="14"/>
      <c r="R162" s="33"/>
      <c r="S162" s="33"/>
      <c r="T162" s="58" t="s">
        <v>2</v>
      </c>
      <c r="U162" s="58" t="s">
        <v>2</v>
      </c>
      <c r="V162" s="14"/>
      <c r="W162" s="14"/>
      <c r="X162" s="14"/>
      <c r="Y162" s="14"/>
      <c r="Z162" s="33"/>
      <c r="AA162" s="33"/>
      <c r="AB162" s="58" t="s">
        <v>2</v>
      </c>
      <c r="AC162" s="58" t="s">
        <v>2</v>
      </c>
      <c r="AD162" s="14"/>
      <c r="AE162" s="14"/>
      <c r="AF162" s="14"/>
      <c r="AH162" s="16">
        <f t="shared" si="18"/>
        <v>0</v>
      </c>
      <c r="AI162" s="16">
        <f t="shared" si="19"/>
        <v>0</v>
      </c>
    </row>
    <row r="163" spans="1:35" ht="20.100000000000001" hidden="1" customHeight="1">
      <c r="A163" s="18" t="str">
        <f>ÖSSZES!$A$41</f>
        <v>Név16</v>
      </c>
      <c r="B163" s="33"/>
      <c r="C163" s="33"/>
      <c r="D163" s="58" t="s">
        <v>2</v>
      </c>
      <c r="E163" s="58" t="s">
        <v>2</v>
      </c>
      <c r="F163" s="14"/>
      <c r="G163" s="14"/>
      <c r="H163" s="14"/>
      <c r="I163" s="14"/>
      <c r="J163" s="33"/>
      <c r="K163" s="33"/>
      <c r="L163" s="58" t="s">
        <v>2</v>
      </c>
      <c r="M163" s="58" t="s">
        <v>2</v>
      </c>
      <c r="N163" s="14"/>
      <c r="O163" s="14"/>
      <c r="P163" s="14"/>
      <c r="Q163" s="14"/>
      <c r="R163" s="33"/>
      <c r="S163" s="33"/>
      <c r="T163" s="58" t="s">
        <v>2</v>
      </c>
      <c r="U163" s="58" t="s">
        <v>2</v>
      </c>
      <c r="V163" s="14"/>
      <c r="W163" s="14"/>
      <c r="X163" s="14"/>
      <c r="Y163" s="14"/>
      <c r="Z163" s="33"/>
      <c r="AA163" s="33"/>
      <c r="AB163" s="58" t="s">
        <v>2</v>
      </c>
      <c r="AC163" s="58" t="s">
        <v>2</v>
      </c>
      <c r="AD163" s="14"/>
      <c r="AE163" s="14"/>
      <c r="AF163" s="14"/>
      <c r="AH163" s="16">
        <f t="shared" si="18"/>
        <v>0</v>
      </c>
      <c r="AI163" s="16">
        <f t="shared" si="19"/>
        <v>0</v>
      </c>
    </row>
    <row r="164" spans="1:35" ht="20.100000000000001" hidden="1" customHeight="1">
      <c r="A164" s="18" t="str">
        <f>ÖSSZES!$A$42</f>
        <v>Név17</v>
      </c>
      <c r="B164" s="33"/>
      <c r="C164" s="33"/>
      <c r="D164" s="58" t="s">
        <v>2</v>
      </c>
      <c r="E164" s="58" t="s">
        <v>2</v>
      </c>
      <c r="F164" s="14"/>
      <c r="G164" s="14"/>
      <c r="H164" s="14"/>
      <c r="I164" s="14"/>
      <c r="J164" s="33"/>
      <c r="K164" s="33"/>
      <c r="L164" s="58" t="s">
        <v>2</v>
      </c>
      <c r="M164" s="58" t="s">
        <v>2</v>
      </c>
      <c r="N164" s="14"/>
      <c r="O164" s="14"/>
      <c r="P164" s="14"/>
      <c r="Q164" s="14"/>
      <c r="R164" s="33"/>
      <c r="S164" s="33"/>
      <c r="T164" s="58" t="s">
        <v>2</v>
      </c>
      <c r="U164" s="58" t="s">
        <v>2</v>
      </c>
      <c r="V164" s="14"/>
      <c r="W164" s="14"/>
      <c r="X164" s="14"/>
      <c r="Y164" s="14"/>
      <c r="Z164" s="33"/>
      <c r="AA164" s="33"/>
      <c r="AB164" s="58" t="s">
        <v>2</v>
      </c>
      <c r="AC164" s="58" t="s">
        <v>2</v>
      </c>
      <c r="AD164" s="14"/>
      <c r="AE164" s="14"/>
      <c r="AF164" s="14"/>
      <c r="AH164" s="16">
        <f t="shared" si="18"/>
        <v>0</v>
      </c>
      <c r="AI164" s="16">
        <f t="shared" si="19"/>
        <v>0</v>
      </c>
    </row>
    <row r="165" spans="1:35" ht="20.100000000000001" hidden="1" customHeight="1">
      <c r="A165" s="18" t="str">
        <f>ÖSSZES!$A$43</f>
        <v>Név18</v>
      </c>
      <c r="B165" s="33"/>
      <c r="C165" s="33"/>
      <c r="D165" s="58" t="s">
        <v>2</v>
      </c>
      <c r="E165" s="58" t="s">
        <v>2</v>
      </c>
      <c r="F165" s="14"/>
      <c r="G165" s="14"/>
      <c r="H165" s="14"/>
      <c r="I165" s="14"/>
      <c r="J165" s="33"/>
      <c r="K165" s="33"/>
      <c r="L165" s="58" t="s">
        <v>2</v>
      </c>
      <c r="M165" s="58" t="s">
        <v>2</v>
      </c>
      <c r="N165" s="14"/>
      <c r="O165" s="14"/>
      <c r="P165" s="14"/>
      <c r="Q165" s="14"/>
      <c r="R165" s="33"/>
      <c r="S165" s="33"/>
      <c r="T165" s="58" t="s">
        <v>2</v>
      </c>
      <c r="U165" s="58" t="s">
        <v>2</v>
      </c>
      <c r="V165" s="14"/>
      <c r="W165" s="14"/>
      <c r="X165" s="14"/>
      <c r="Y165" s="14"/>
      <c r="Z165" s="33"/>
      <c r="AA165" s="33"/>
      <c r="AB165" s="58" t="s">
        <v>2</v>
      </c>
      <c r="AC165" s="58" t="s">
        <v>2</v>
      </c>
      <c r="AD165" s="14"/>
      <c r="AE165" s="14"/>
      <c r="AF165" s="14"/>
      <c r="AH165" s="16">
        <f t="shared" si="18"/>
        <v>0</v>
      </c>
      <c r="AI165" s="16">
        <f t="shared" si="19"/>
        <v>0</v>
      </c>
    </row>
    <row r="166" spans="1:35" ht="20.100000000000001" hidden="1" customHeight="1">
      <c r="A166" s="18" t="str">
        <f>ÖSSZES!$A$44</f>
        <v>Név19</v>
      </c>
      <c r="B166" s="33"/>
      <c r="C166" s="33"/>
      <c r="D166" s="58" t="s">
        <v>2</v>
      </c>
      <c r="E166" s="58" t="s">
        <v>2</v>
      </c>
      <c r="F166" s="14"/>
      <c r="G166" s="14"/>
      <c r="H166" s="14"/>
      <c r="I166" s="14"/>
      <c r="J166" s="33"/>
      <c r="K166" s="33"/>
      <c r="L166" s="58" t="s">
        <v>2</v>
      </c>
      <c r="M166" s="58" t="s">
        <v>2</v>
      </c>
      <c r="N166" s="14"/>
      <c r="O166" s="14"/>
      <c r="P166" s="14"/>
      <c r="Q166" s="14"/>
      <c r="R166" s="33"/>
      <c r="S166" s="33"/>
      <c r="T166" s="58" t="s">
        <v>2</v>
      </c>
      <c r="U166" s="58" t="s">
        <v>2</v>
      </c>
      <c r="V166" s="14"/>
      <c r="W166" s="14"/>
      <c r="X166" s="14"/>
      <c r="Y166" s="14"/>
      <c r="Z166" s="33"/>
      <c r="AA166" s="33"/>
      <c r="AB166" s="58" t="s">
        <v>2</v>
      </c>
      <c r="AC166" s="58" t="s">
        <v>2</v>
      </c>
      <c r="AD166" s="14"/>
      <c r="AE166" s="14"/>
      <c r="AF166" s="14"/>
      <c r="AH166" s="16">
        <f t="shared" si="18"/>
        <v>0</v>
      </c>
      <c r="AI166" s="16">
        <f t="shared" si="19"/>
        <v>0</v>
      </c>
    </row>
    <row r="167" spans="1:35" ht="20.100000000000001" hidden="1" customHeight="1">
      <c r="A167" s="18" t="str">
        <f>ÖSSZES!$A$45</f>
        <v>Név20</v>
      </c>
      <c r="B167" s="33"/>
      <c r="C167" s="33"/>
      <c r="D167" s="58" t="s">
        <v>2</v>
      </c>
      <c r="E167" s="58" t="s">
        <v>2</v>
      </c>
      <c r="F167" s="14"/>
      <c r="G167" s="14"/>
      <c r="H167" s="14"/>
      <c r="I167" s="14"/>
      <c r="J167" s="33"/>
      <c r="K167" s="33"/>
      <c r="L167" s="58" t="s">
        <v>2</v>
      </c>
      <c r="M167" s="58" t="s">
        <v>2</v>
      </c>
      <c r="N167" s="14"/>
      <c r="O167" s="14"/>
      <c r="P167" s="14"/>
      <c r="Q167" s="14"/>
      <c r="R167" s="33"/>
      <c r="S167" s="33"/>
      <c r="T167" s="58" t="s">
        <v>2</v>
      </c>
      <c r="U167" s="58" t="s">
        <v>2</v>
      </c>
      <c r="V167" s="14"/>
      <c r="W167" s="14"/>
      <c r="X167" s="14"/>
      <c r="Y167" s="14"/>
      <c r="Z167" s="33"/>
      <c r="AA167" s="33"/>
      <c r="AB167" s="58" t="s">
        <v>2</v>
      </c>
      <c r="AC167" s="58" t="s">
        <v>2</v>
      </c>
      <c r="AD167" s="14"/>
      <c r="AE167" s="14"/>
      <c r="AF167" s="14"/>
      <c r="AH167" s="16">
        <f t="shared" si="18"/>
        <v>0</v>
      </c>
      <c r="AI167" s="16">
        <f t="shared" si="19"/>
        <v>0</v>
      </c>
    </row>
    <row r="168" spans="1:35" ht="20.100000000000001" customHeight="1"/>
    <row r="169" spans="1:35" s="6" customFormat="1" ht="20.100000000000001" customHeight="1">
      <c r="A169" s="91" t="s">
        <v>12</v>
      </c>
      <c r="B169" s="17">
        <v>1</v>
      </c>
      <c r="C169" s="17">
        <v>2</v>
      </c>
      <c r="D169" s="17">
        <v>3</v>
      </c>
      <c r="E169" s="17">
        <v>4</v>
      </c>
      <c r="F169" s="17">
        <v>5</v>
      </c>
      <c r="G169" s="17">
        <v>6</v>
      </c>
      <c r="H169" s="17">
        <v>7</v>
      </c>
      <c r="I169" s="17">
        <v>8</v>
      </c>
      <c r="J169" s="17">
        <v>9</v>
      </c>
      <c r="K169" s="17">
        <v>10</v>
      </c>
      <c r="L169" s="17">
        <v>11</v>
      </c>
      <c r="M169" s="17">
        <v>12</v>
      </c>
      <c r="N169" s="17">
        <v>13</v>
      </c>
      <c r="O169" s="17">
        <v>14</v>
      </c>
      <c r="P169" s="17">
        <v>15</v>
      </c>
      <c r="Q169" s="17">
        <v>16</v>
      </c>
      <c r="R169" s="17">
        <v>17</v>
      </c>
      <c r="S169" s="17">
        <v>18</v>
      </c>
      <c r="T169" s="17">
        <v>19</v>
      </c>
      <c r="U169" s="19">
        <v>20</v>
      </c>
      <c r="V169" s="17">
        <v>21</v>
      </c>
      <c r="W169" s="17">
        <v>22</v>
      </c>
      <c r="X169" s="17">
        <v>23</v>
      </c>
      <c r="Y169" s="17">
        <v>24</v>
      </c>
      <c r="Z169" s="17">
        <v>25</v>
      </c>
      <c r="AA169" s="17">
        <v>26</v>
      </c>
      <c r="AB169" s="17">
        <v>27</v>
      </c>
      <c r="AC169" s="17">
        <v>28</v>
      </c>
      <c r="AD169" s="17">
        <v>29</v>
      </c>
      <c r="AE169" s="17">
        <v>30</v>
      </c>
      <c r="AF169" s="17">
        <v>31</v>
      </c>
      <c r="AH169" s="93" t="s">
        <v>18</v>
      </c>
      <c r="AI169" s="93" t="s">
        <v>19</v>
      </c>
    </row>
    <row r="170" spans="1:35" ht="20.100000000000001" customHeight="1">
      <c r="A170" s="92"/>
      <c r="B170" s="10" t="str">
        <f>'2020'!B60</f>
        <v>Szo</v>
      </c>
      <c r="C170" s="10" t="str">
        <f>'2020'!C60</f>
        <v>V</v>
      </c>
      <c r="D170" s="10" t="str">
        <f>'2020'!D60</f>
        <v>H</v>
      </c>
      <c r="E170" s="10" t="str">
        <f>'2020'!E60</f>
        <v>K</v>
      </c>
      <c r="F170" s="10" t="str">
        <f>'2020'!F60</f>
        <v>Sze</v>
      </c>
      <c r="G170" s="10" t="str">
        <f>'2020'!G60</f>
        <v>Cs</v>
      </c>
      <c r="H170" s="10" t="str">
        <f>'2020'!H60</f>
        <v>P</v>
      </c>
      <c r="I170" s="10" t="str">
        <f>'2020'!I60</f>
        <v>Szo</v>
      </c>
      <c r="J170" s="10" t="str">
        <f>'2020'!J60</f>
        <v>V</v>
      </c>
      <c r="K170" s="10" t="str">
        <f>'2020'!K60</f>
        <v>H</v>
      </c>
      <c r="L170" s="10" t="str">
        <f>'2020'!L60</f>
        <v>K</v>
      </c>
      <c r="M170" s="10" t="str">
        <f>'2020'!M60</f>
        <v>Sze</v>
      </c>
      <c r="N170" s="10" t="str">
        <f>'2020'!N60</f>
        <v>Cs</v>
      </c>
      <c r="O170" s="10" t="str">
        <f>'2020'!O60</f>
        <v>P</v>
      </c>
      <c r="P170" s="10" t="str">
        <f>'2020'!P60</f>
        <v>Szo</v>
      </c>
      <c r="Q170" s="10" t="str">
        <f>'2020'!Q60</f>
        <v>V</v>
      </c>
      <c r="R170" s="10" t="str">
        <f>'2020'!R60</f>
        <v>H</v>
      </c>
      <c r="S170" s="10" t="str">
        <f>'2020'!S60</f>
        <v>K</v>
      </c>
      <c r="T170" s="10" t="str">
        <f>'2020'!T60</f>
        <v>Sze</v>
      </c>
      <c r="U170" s="10" t="str">
        <f>'2020'!U60</f>
        <v>Cs</v>
      </c>
      <c r="V170" s="10" t="str">
        <f>'2020'!V60</f>
        <v>P</v>
      </c>
      <c r="W170" s="10" t="str">
        <f>'2020'!W60</f>
        <v>Szo</v>
      </c>
      <c r="X170" s="10" t="str">
        <f>'2020'!X60</f>
        <v>V</v>
      </c>
      <c r="Y170" s="10" t="str">
        <f>'2020'!Y60</f>
        <v>H</v>
      </c>
      <c r="Z170" s="10" t="str">
        <f>'2020'!Z60</f>
        <v>K</v>
      </c>
      <c r="AA170" s="10" t="str">
        <f>'2020'!AA60</f>
        <v>Sze</v>
      </c>
      <c r="AB170" s="10" t="str">
        <f>'2020'!AB60</f>
        <v>Cs</v>
      </c>
      <c r="AC170" s="10" t="str">
        <f>'2020'!AC60</f>
        <v>P</v>
      </c>
      <c r="AD170" s="10" t="str">
        <f>'2020'!AD60</f>
        <v>Szo</v>
      </c>
      <c r="AE170" s="10" t="str">
        <f>'2020'!AE60</f>
        <v>V</v>
      </c>
      <c r="AF170" s="10" t="str">
        <f>'2020'!AF60</f>
        <v>H</v>
      </c>
      <c r="AH170" s="94"/>
      <c r="AI170" s="94"/>
    </row>
    <row r="171" spans="1:35" ht="20.100000000000001" customHeight="1">
      <c r="A171" s="92"/>
      <c r="B171" s="10">
        <f>'2020'!B62</f>
        <v>1</v>
      </c>
      <c r="C171" s="10">
        <f>'2020'!C62</f>
        <v>1</v>
      </c>
      <c r="D171" s="10">
        <f>'2020'!D62</f>
        <v>1</v>
      </c>
      <c r="E171" s="10" t="str">
        <f>'2020'!E62</f>
        <v>X</v>
      </c>
      <c r="F171" s="10" t="str">
        <f>'2020'!F62</f>
        <v>X</v>
      </c>
      <c r="G171" s="10">
        <f>'2020'!G62</f>
        <v>3</v>
      </c>
      <c r="H171" s="10">
        <f>'2020'!H62</f>
        <v>3</v>
      </c>
      <c r="I171" s="10">
        <f>'2020'!I62</f>
        <v>3</v>
      </c>
      <c r="J171" s="10">
        <f>'2020'!J62</f>
        <v>3</v>
      </c>
      <c r="K171" s="10">
        <f>'2020'!K62</f>
        <v>3</v>
      </c>
      <c r="L171" s="10">
        <f>'2020'!L62</f>
        <v>3</v>
      </c>
      <c r="M171" s="10" t="str">
        <f>'2020'!M62</f>
        <v>X</v>
      </c>
      <c r="N171" s="10" t="str">
        <f>'2020'!N62</f>
        <v>X</v>
      </c>
      <c r="O171" s="10">
        <f>'2020'!O62</f>
        <v>2</v>
      </c>
      <c r="P171" s="10">
        <f>'2020'!P62</f>
        <v>2</v>
      </c>
      <c r="Q171" s="10">
        <f>'2020'!Q62</f>
        <v>2</v>
      </c>
      <c r="R171" s="10">
        <f>'2020'!R62</f>
        <v>2</v>
      </c>
      <c r="S171" s="10">
        <f>'2020'!S62</f>
        <v>2</v>
      </c>
      <c r="T171" s="10">
        <f>'2020'!T62</f>
        <v>2</v>
      </c>
      <c r="U171" s="10" t="str">
        <f>'2020'!U62</f>
        <v>X</v>
      </c>
      <c r="V171" s="10" t="str">
        <f>'2020'!V62</f>
        <v>X</v>
      </c>
      <c r="W171" s="10">
        <f>'2020'!W62</f>
        <v>1</v>
      </c>
      <c r="X171" s="10">
        <f>'2020'!X62</f>
        <v>1</v>
      </c>
      <c r="Y171" s="10">
        <f>'2020'!Y62</f>
        <v>1</v>
      </c>
      <c r="Z171" s="10">
        <f>'2020'!Z62</f>
        <v>1</v>
      </c>
      <c r="AA171" s="10">
        <f>'2020'!AA62</f>
        <v>1</v>
      </c>
      <c r="AB171" s="10">
        <f>'2020'!AB62</f>
        <v>1</v>
      </c>
      <c r="AC171" s="10" t="str">
        <f>'2020'!AC62</f>
        <v>X</v>
      </c>
      <c r="AD171" s="10" t="str">
        <f>'2020'!AD62</f>
        <v>X</v>
      </c>
      <c r="AE171" s="10">
        <f>'2020'!AE62</f>
        <v>3</v>
      </c>
      <c r="AF171" s="10">
        <f>'2020'!AF62</f>
        <v>3</v>
      </c>
      <c r="AH171" s="94"/>
      <c r="AI171" s="94"/>
    </row>
    <row r="172" spans="1:35" ht="20.100000000000001" customHeight="1">
      <c r="A172" s="18" t="str">
        <f>ÖSSZES!$A$26</f>
        <v>Katona László</v>
      </c>
      <c r="B172" s="14"/>
      <c r="C172" s="33"/>
      <c r="D172" s="33"/>
      <c r="E172" s="58" t="s">
        <v>2</v>
      </c>
      <c r="F172" s="58" t="s">
        <v>2</v>
      </c>
      <c r="G172" s="14"/>
      <c r="H172" s="14"/>
      <c r="I172" s="14"/>
      <c r="J172" s="14"/>
      <c r="K172" s="33"/>
      <c r="L172" s="33"/>
      <c r="M172" s="58" t="s">
        <v>2</v>
      </c>
      <c r="N172" s="58" t="s">
        <v>2</v>
      </c>
      <c r="O172" s="14"/>
      <c r="P172" s="14"/>
      <c r="Q172" s="14"/>
      <c r="R172" s="14"/>
      <c r="S172" s="33"/>
      <c r="T172" s="33"/>
      <c r="U172" s="58" t="s">
        <v>2</v>
      </c>
      <c r="V172" s="58" t="s">
        <v>2</v>
      </c>
      <c r="W172" s="14"/>
      <c r="X172" s="14"/>
      <c r="Y172" s="14"/>
      <c r="Z172" s="14"/>
      <c r="AA172" s="33"/>
      <c r="AB172" s="33"/>
      <c r="AC172" s="58" t="s">
        <v>2</v>
      </c>
      <c r="AD172" s="58" t="s">
        <v>2</v>
      </c>
      <c r="AE172" s="14"/>
      <c r="AF172" s="14"/>
      <c r="AH172" s="16">
        <f>1*COUNTIF(A172:AF172,"+")</f>
        <v>0</v>
      </c>
      <c r="AI172" s="16">
        <f t="shared" ref="AI172" si="20">1*COUNTIF(B172:AF172,"szf")</f>
        <v>0</v>
      </c>
    </row>
    <row r="173" spans="1:35" ht="20.100000000000001" customHeight="1">
      <c r="A173" s="18" t="str">
        <f>ÖSSZES!$A$27</f>
        <v>Kiss János Tamás</v>
      </c>
      <c r="B173" s="14"/>
      <c r="C173" s="33"/>
      <c r="D173" s="33"/>
      <c r="E173" s="58" t="s">
        <v>2</v>
      </c>
      <c r="F173" s="58" t="s">
        <v>2</v>
      </c>
      <c r="G173" s="14"/>
      <c r="H173" s="14"/>
      <c r="I173" s="14"/>
      <c r="J173" s="14"/>
      <c r="K173" s="33"/>
      <c r="L173" s="33"/>
      <c r="M173" s="58" t="s">
        <v>2</v>
      </c>
      <c r="N173" s="58" t="s">
        <v>2</v>
      </c>
      <c r="O173" s="14"/>
      <c r="P173" s="14"/>
      <c r="Q173" s="14"/>
      <c r="R173" s="14"/>
      <c r="S173" s="33"/>
      <c r="T173" s="33"/>
      <c r="U173" s="58" t="s">
        <v>2</v>
      </c>
      <c r="V173" s="58" t="s">
        <v>2</v>
      </c>
      <c r="W173" s="14"/>
      <c r="X173" s="14"/>
      <c r="Y173" s="14"/>
      <c r="Z173" s="14"/>
      <c r="AA173" s="33"/>
      <c r="AB173" s="33"/>
      <c r="AC173" s="58" t="s">
        <v>2</v>
      </c>
      <c r="AD173" s="58" t="s">
        <v>2</v>
      </c>
      <c r="AE173" s="14"/>
      <c r="AF173" s="14"/>
      <c r="AH173" s="16">
        <f t="shared" ref="AH173:AH191" si="21">1*COUNTIF(A173:AF173,"+")</f>
        <v>0</v>
      </c>
      <c r="AI173" s="16">
        <f t="shared" ref="AI173:AI191" si="22">1*COUNTIF(B173:AF173,"szf")</f>
        <v>0</v>
      </c>
    </row>
    <row r="174" spans="1:35" ht="20.100000000000001" customHeight="1">
      <c r="A174" s="18" t="str">
        <f>ÖSSZES!$A$28</f>
        <v>Habara Gábor</v>
      </c>
      <c r="B174" s="14"/>
      <c r="C174" s="33"/>
      <c r="D174" s="33"/>
      <c r="E174" s="58" t="s">
        <v>2</v>
      </c>
      <c r="F174" s="58" t="s">
        <v>2</v>
      </c>
      <c r="G174" s="14"/>
      <c r="H174" s="14"/>
      <c r="I174" s="14"/>
      <c r="J174" s="14"/>
      <c r="K174" s="33"/>
      <c r="L174" s="33"/>
      <c r="M174" s="58" t="s">
        <v>2</v>
      </c>
      <c r="N174" s="58" t="s">
        <v>2</v>
      </c>
      <c r="O174" s="14"/>
      <c r="P174" s="14"/>
      <c r="Q174" s="14"/>
      <c r="R174" s="14"/>
      <c r="S174" s="33"/>
      <c r="T174" s="33"/>
      <c r="U174" s="58" t="s">
        <v>2</v>
      </c>
      <c r="V174" s="58" t="s">
        <v>2</v>
      </c>
      <c r="W174" s="14"/>
      <c r="X174" s="14"/>
      <c r="Y174" s="14"/>
      <c r="Z174" s="14"/>
      <c r="AA174" s="33"/>
      <c r="AB174" s="33"/>
      <c r="AC174" s="58" t="s">
        <v>2</v>
      </c>
      <c r="AD174" s="58" t="s">
        <v>2</v>
      </c>
      <c r="AE174" s="14"/>
      <c r="AF174" s="14"/>
      <c r="AH174" s="16">
        <f t="shared" si="21"/>
        <v>0</v>
      </c>
      <c r="AI174" s="16">
        <f t="shared" si="22"/>
        <v>0</v>
      </c>
    </row>
    <row r="175" spans="1:35" ht="20.100000000000001" customHeight="1">
      <c r="A175" s="18" t="str">
        <f>ÖSSZES!$A$29</f>
        <v>Holba Imre</v>
      </c>
      <c r="B175" s="14"/>
      <c r="C175" s="33"/>
      <c r="D175" s="33"/>
      <c r="E175" s="58" t="s">
        <v>2</v>
      </c>
      <c r="F175" s="58" t="s">
        <v>2</v>
      </c>
      <c r="G175" s="14"/>
      <c r="H175" s="14"/>
      <c r="I175" s="14"/>
      <c r="J175" s="14"/>
      <c r="K175" s="33"/>
      <c r="L175" s="33"/>
      <c r="M175" s="58" t="s">
        <v>2</v>
      </c>
      <c r="N175" s="58" t="s">
        <v>2</v>
      </c>
      <c r="O175" s="14"/>
      <c r="P175" s="14"/>
      <c r="Q175" s="14"/>
      <c r="R175" s="14"/>
      <c r="S175" s="33"/>
      <c r="T175" s="33"/>
      <c r="U175" s="58" t="s">
        <v>2</v>
      </c>
      <c r="V175" s="58" t="s">
        <v>2</v>
      </c>
      <c r="W175" s="14"/>
      <c r="X175" s="14"/>
      <c r="Y175" s="14"/>
      <c r="Z175" s="14"/>
      <c r="AA175" s="33"/>
      <c r="AB175" s="33"/>
      <c r="AC175" s="58" t="s">
        <v>2</v>
      </c>
      <c r="AD175" s="58" t="s">
        <v>2</v>
      </c>
      <c r="AE175" s="14"/>
      <c r="AF175" s="14"/>
      <c r="AH175" s="16">
        <f t="shared" si="21"/>
        <v>0</v>
      </c>
      <c r="AI175" s="16">
        <f t="shared" si="22"/>
        <v>0</v>
      </c>
    </row>
    <row r="176" spans="1:35" ht="20.100000000000001" customHeight="1">
      <c r="A176" s="18" t="str">
        <f>ÖSSZES!$A$30</f>
        <v>Keresztes Gyula</v>
      </c>
      <c r="B176" s="61">
        <v>58</v>
      </c>
      <c r="C176" s="62">
        <v>59</v>
      </c>
      <c r="D176" s="62">
        <v>60</v>
      </c>
      <c r="E176" s="58" t="s">
        <v>2</v>
      </c>
      <c r="F176" s="58" t="s">
        <v>2</v>
      </c>
      <c r="G176" s="14"/>
      <c r="H176" s="14"/>
      <c r="I176" s="14"/>
      <c r="J176" s="14"/>
      <c r="K176" s="33"/>
      <c r="L176" s="33"/>
      <c r="M176" s="58" t="s">
        <v>2</v>
      </c>
      <c r="N176" s="58" t="s">
        <v>2</v>
      </c>
      <c r="O176" s="14"/>
      <c r="P176" s="14"/>
      <c r="Q176" s="14"/>
      <c r="R176" s="14"/>
      <c r="S176" s="33"/>
      <c r="T176" s="33"/>
      <c r="U176" s="58" t="s">
        <v>2</v>
      </c>
      <c r="V176" s="58" t="s">
        <v>2</v>
      </c>
      <c r="W176" s="14"/>
      <c r="X176" s="14"/>
      <c r="Y176" s="14"/>
      <c r="Z176" s="14"/>
      <c r="AA176" s="33"/>
      <c r="AB176" s="33"/>
      <c r="AC176" s="58" t="s">
        <v>2</v>
      </c>
      <c r="AD176" s="58" t="s">
        <v>2</v>
      </c>
      <c r="AE176" s="14"/>
      <c r="AF176" s="14"/>
      <c r="AH176" s="16">
        <f t="shared" si="21"/>
        <v>0</v>
      </c>
      <c r="AI176" s="16">
        <f t="shared" si="22"/>
        <v>0</v>
      </c>
    </row>
    <row r="177" spans="1:35" ht="20.100000000000001" customHeight="1">
      <c r="A177" s="18" t="str">
        <f>ÖSSZES!$A$31</f>
        <v>Király Bálint Donát</v>
      </c>
      <c r="B177" s="14"/>
      <c r="C177" s="33"/>
      <c r="D177" s="33"/>
      <c r="E177" s="58" t="s">
        <v>2</v>
      </c>
      <c r="F177" s="58" t="s">
        <v>2</v>
      </c>
      <c r="G177" s="14"/>
      <c r="H177" s="14"/>
      <c r="I177" s="14"/>
      <c r="J177" s="14"/>
      <c r="K177" s="33"/>
      <c r="L177" s="33"/>
      <c r="M177" s="58" t="s">
        <v>2</v>
      </c>
      <c r="N177" s="58" t="s">
        <v>2</v>
      </c>
      <c r="O177" s="14"/>
      <c r="P177" s="14"/>
      <c r="Q177" s="14"/>
      <c r="R177" s="14"/>
      <c r="S177" s="33"/>
      <c r="T177" s="33"/>
      <c r="U177" s="58" t="s">
        <v>2</v>
      </c>
      <c r="V177" s="58" t="s">
        <v>2</v>
      </c>
      <c r="W177" s="14"/>
      <c r="X177" s="14"/>
      <c r="Y177" s="14"/>
      <c r="Z177" s="14"/>
      <c r="AA177" s="33"/>
      <c r="AB177" s="33"/>
      <c r="AC177" s="58" t="s">
        <v>2</v>
      </c>
      <c r="AD177" s="58" t="s">
        <v>2</v>
      </c>
      <c r="AE177" s="14"/>
      <c r="AF177" s="14"/>
      <c r="AH177" s="16">
        <f t="shared" si="21"/>
        <v>0</v>
      </c>
      <c r="AI177" s="16">
        <f t="shared" si="22"/>
        <v>0</v>
      </c>
    </row>
    <row r="178" spans="1:35" ht="20.100000000000001" customHeight="1">
      <c r="A178" s="18" t="str">
        <f>ÖSSZES!$A$32</f>
        <v>Mezei Lajos</v>
      </c>
      <c r="B178" s="14"/>
      <c r="C178" s="33"/>
      <c r="D178" s="33"/>
      <c r="E178" s="58" t="s">
        <v>2</v>
      </c>
      <c r="F178" s="58" t="s">
        <v>2</v>
      </c>
      <c r="G178" s="14"/>
      <c r="H178" s="14"/>
      <c r="I178" s="14"/>
      <c r="J178" s="14"/>
      <c r="K178" s="33"/>
      <c r="L178" s="33"/>
      <c r="M178" s="58" t="s">
        <v>2</v>
      </c>
      <c r="N178" s="58" t="s">
        <v>2</v>
      </c>
      <c r="O178" s="14"/>
      <c r="P178" s="14"/>
      <c r="Q178" s="14"/>
      <c r="R178" s="14"/>
      <c r="S178" s="33"/>
      <c r="T178" s="33"/>
      <c r="U178" s="58" t="s">
        <v>2</v>
      </c>
      <c r="V178" s="58" t="s">
        <v>2</v>
      </c>
      <c r="W178" s="14"/>
      <c r="X178" s="14"/>
      <c r="Y178" s="14"/>
      <c r="Z178" s="14"/>
      <c r="AA178" s="33"/>
      <c r="AB178" s="33"/>
      <c r="AC178" s="58" t="s">
        <v>2</v>
      </c>
      <c r="AD178" s="58" t="s">
        <v>2</v>
      </c>
      <c r="AE178" s="14"/>
      <c r="AF178" s="14"/>
      <c r="AH178" s="16">
        <f t="shared" si="21"/>
        <v>0</v>
      </c>
      <c r="AI178" s="16">
        <f t="shared" si="22"/>
        <v>0</v>
      </c>
    </row>
    <row r="179" spans="1:35" ht="20.100000000000001" hidden="1" customHeight="1">
      <c r="A179" s="18" t="str">
        <f>ÖSSZES!$A$33</f>
        <v>Fényi László</v>
      </c>
      <c r="B179" s="14"/>
      <c r="C179" s="33"/>
      <c r="D179" s="33"/>
      <c r="E179" s="58" t="s">
        <v>2</v>
      </c>
      <c r="F179" s="58" t="s">
        <v>2</v>
      </c>
      <c r="G179" s="14"/>
      <c r="H179" s="14"/>
      <c r="I179" s="14"/>
      <c r="J179" s="14"/>
      <c r="K179" s="33"/>
      <c r="L179" s="33"/>
      <c r="M179" s="58" t="s">
        <v>2</v>
      </c>
      <c r="N179" s="58" t="s">
        <v>2</v>
      </c>
      <c r="O179" s="14"/>
      <c r="P179" s="14"/>
      <c r="Q179" s="14"/>
      <c r="R179" s="14"/>
      <c r="S179" s="33"/>
      <c r="T179" s="33"/>
      <c r="U179" s="58" t="s">
        <v>2</v>
      </c>
      <c r="V179" s="58" t="s">
        <v>2</v>
      </c>
      <c r="W179" s="14"/>
      <c r="X179" s="14"/>
      <c r="Y179" s="14"/>
      <c r="Z179" s="14"/>
      <c r="AA179" s="33"/>
      <c r="AB179" s="33"/>
      <c r="AC179" s="58" t="s">
        <v>2</v>
      </c>
      <c r="AD179" s="58" t="s">
        <v>2</v>
      </c>
      <c r="AE179" s="14"/>
      <c r="AF179" s="14"/>
      <c r="AH179" s="16">
        <f t="shared" si="21"/>
        <v>0</v>
      </c>
      <c r="AI179" s="16">
        <f t="shared" si="22"/>
        <v>0</v>
      </c>
    </row>
    <row r="180" spans="1:35" ht="20.100000000000001" hidden="1" customHeight="1">
      <c r="A180" s="18" t="str">
        <f>ÖSSZES!$A$34</f>
        <v>Név9</v>
      </c>
      <c r="B180" s="14"/>
      <c r="C180" s="33"/>
      <c r="D180" s="33"/>
      <c r="E180" s="58" t="s">
        <v>2</v>
      </c>
      <c r="F180" s="58" t="s">
        <v>2</v>
      </c>
      <c r="G180" s="14"/>
      <c r="H180" s="14"/>
      <c r="I180" s="14"/>
      <c r="J180" s="14"/>
      <c r="K180" s="33"/>
      <c r="L180" s="33"/>
      <c r="M180" s="58" t="s">
        <v>2</v>
      </c>
      <c r="N180" s="58" t="s">
        <v>2</v>
      </c>
      <c r="O180" s="14"/>
      <c r="P180" s="14"/>
      <c r="Q180" s="14"/>
      <c r="R180" s="14"/>
      <c r="S180" s="33"/>
      <c r="T180" s="33"/>
      <c r="U180" s="58" t="s">
        <v>2</v>
      </c>
      <c r="V180" s="58" t="s">
        <v>2</v>
      </c>
      <c r="W180" s="14"/>
      <c r="X180" s="14"/>
      <c r="Y180" s="14"/>
      <c r="Z180" s="14"/>
      <c r="AA180" s="33"/>
      <c r="AB180" s="33"/>
      <c r="AC180" s="58" t="s">
        <v>2</v>
      </c>
      <c r="AD180" s="58" t="s">
        <v>2</v>
      </c>
      <c r="AE180" s="14"/>
      <c r="AF180" s="14"/>
      <c r="AH180" s="16">
        <f t="shared" si="21"/>
        <v>0</v>
      </c>
      <c r="AI180" s="16">
        <f t="shared" si="22"/>
        <v>0</v>
      </c>
    </row>
    <row r="181" spans="1:35" ht="20.100000000000001" hidden="1" customHeight="1">
      <c r="A181" s="18" t="str">
        <f>ÖSSZES!$A$35</f>
        <v>Név10</v>
      </c>
      <c r="B181" s="14"/>
      <c r="C181" s="33"/>
      <c r="D181" s="33"/>
      <c r="E181" s="58" t="s">
        <v>2</v>
      </c>
      <c r="F181" s="58" t="s">
        <v>2</v>
      </c>
      <c r="G181" s="14"/>
      <c r="H181" s="14"/>
      <c r="I181" s="14"/>
      <c r="J181" s="14"/>
      <c r="K181" s="33"/>
      <c r="L181" s="33"/>
      <c r="M181" s="58" t="s">
        <v>2</v>
      </c>
      <c r="N181" s="58" t="s">
        <v>2</v>
      </c>
      <c r="O181" s="14"/>
      <c r="P181" s="14"/>
      <c r="Q181" s="14"/>
      <c r="R181" s="14"/>
      <c r="S181" s="33"/>
      <c r="T181" s="33"/>
      <c r="U181" s="58" t="s">
        <v>2</v>
      </c>
      <c r="V181" s="58" t="s">
        <v>2</v>
      </c>
      <c r="W181" s="14"/>
      <c r="X181" s="14"/>
      <c r="Y181" s="14"/>
      <c r="Z181" s="14"/>
      <c r="AA181" s="33"/>
      <c r="AB181" s="33"/>
      <c r="AC181" s="58" t="s">
        <v>2</v>
      </c>
      <c r="AD181" s="58" t="s">
        <v>2</v>
      </c>
      <c r="AE181" s="14"/>
      <c r="AF181" s="14"/>
      <c r="AH181" s="16">
        <f t="shared" si="21"/>
        <v>0</v>
      </c>
      <c r="AI181" s="16">
        <f t="shared" si="22"/>
        <v>0</v>
      </c>
    </row>
    <row r="182" spans="1:35" ht="20.100000000000001" hidden="1" customHeight="1">
      <c r="A182" s="18" t="str">
        <f>ÖSSZES!$A$36</f>
        <v>Név11</v>
      </c>
      <c r="B182" s="14"/>
      <c r="C182" s="33"/>
      <c r="D182" s="33"/>
      <c r="E182" s="58" t="s">
        <v>2</v>
      </c>
      <c r="F182" s="58" t="s">
        <v>2</v>
      </c>
      <c r="G182" s="14"/>
      <c r="H182" s="14"/>
      <c r="I182" s="14"/>
      <c r="J182" s="14"/>
      <c r="K182" s="33"/>
      <c r="L182" s="33"/>
      <c r="M182" s="58" t="s">
        <v>2</v>
      </c>
      <c r="N182" s="58" t="s">
        <v>2</v>
      </c>
      <c r="O182" s="14"/>
      <c r="P182" s="14"/>
      <c r="Q182" s="14"/>
      <c r="R182" s="14"/>
      <c r="S182" s="33"/>
      <c r="T182" s="33"/>
      <c r="U182" s="58" t="s">
        <v>2</v>
      </c>
      <c r="V182" s="58" t="s">
        <v>2</v>
      </c>
      <c r="W182" s="14"/>
      <c r="X182" s="14"/>
      <c r="Y182" s="14"/>
      <c r="Z182" s="14"/>
      <c r="AA182" s="33"/>
      <c r="AB182" s="33"/>
      <c r="AC182" s="58" t="s">
        <v>2</v>
      </c>
      <c r="AD182" s="58" t="s">
        <v>2</v>
      </c>
      <c r="AE182" s="14"/>
      <c r="AF182" s="14"/>
      <c r="AH182" s="16">
        <f t="shared" si="21"/>
        <v>0</v>
      </c>
      <c r="AI182" s="16">
        <f t="shared" si="22"/>
        <v>0</v>
      </c>
    </row>
    <row r="183" spans="1:35" ht="20.100000000000001" hidden="1" customHeight="1">
      <c r="A183" s="18" t="str">
        <f>ÖSSZES!$A$37</f>
        <v>Név12</v>
      </c>
      <c r="B183" s="14"/>
      <c r="C183" s="33"/>
      <c r="D183" s="33"/>
      <c r="E183" s="58" t="s">
        <v>2</v>
      </c>
      <c r="F183" s="58" t="s">
        <v>2</v>
      </c>
      <c r="G183" s="14"/>
      <c r="H183" s="14"/>
      <c r="I183" s="14"/>
      <c r="J183" s="14"/>
      <c r="K183" s="33"/>
      <c r="L183" s="33"/>
      <c r="M183" s="58" t="s">
        <v>2</v>
      </c>
      <c r="N183" s="58" t="s">
        <v>2</v>
      </c>
      <c r="O183" s="14"/>
      <c r="P183" s="14"/>
      <c r="Q183" s="14"/>
      <c r="R183" s="14"/>
      <c r="S183" s="33"/>
      <c r="T183" s="33"/>
      <c r="U183" s="58" t="s">
        <v>2</v>
      </c>
      <c r="V183" s="58" t="s">
        <v>2</v>
      </c>
      <c r="W183" s="14"/>
      <c r="X183" s="14"/>
      <c r="Y183" s="14"/>
      <c r="Z183" s="14"/>
      <c r="AA183" s="33"/>
      <c r="AB183" s="33"/>
      <c r="AC183" s="58" t="s">
        <v>2</v>
      </c>
      <c r="AD183" s="58" t="s">
        <v>2</v>
      </c>
      <c r="AE183" s="14"/>
      <c r="AF183" s="14"/>
      <c r="AH183" s="16">
        <f t="shared" si="21"/>
        <v>0</v>
      </c>
      <c r="AI183" s="16">
        <f t="shared" si="22"/>
        <v>0</v>
      </c>
    </row>
    <row r="184" spans="1:35" ht="20.100000000000001" hidden="1" customHeight="1">
      <c r="A184" s="18" t="str">
        <f>ÖSSZES!$A$38</f>
        <v>Név13</v>
      </c>
      <c r="B184" s="14"/>
      <c r="C184" s="33"/>
      <c r="D184" s="33"/>
      <c r="E184" s="58" t="s">
        <v>2</v>
      </c>
      <c r="F184" s="58" t="s">
        <v>2</v>
      </c>
      <c r="G184" s="14"/>
      <c r="H184" s="14"/>
      <c r="I184" s="14"/>
      <c r="J184" s="14"/>
      <c r="K184" s="33"/>
      <c r="L184" s="33"/>
      <c r="M184" s="58" t="s">
        <v>2</v>
      </c>
      <c r="N184" s="58" t="s">
        <v>2</v>
      </c>
      <c r="O184" s="14"/>
      <c r="P184" s="14"/>
      <c r="Q184" s="14"/>
      <c r="R184" s="14"/>
      <c r="S184" s="33"/>
      <c r="T184" s="33"/>
      <c r="U184" s="58" t="s">
        <v>2</v>
      </c>
      <c r="V184" s="58" t="s">
        <v>2</v>
      </c>
      <c r="W184" s="14"/>
      <c r="X184" s="14"/>
      <c r="Y184" s="14"/>
      <c r="Z184" s="14"/>
      <c r="AA184" s="33"/>
      <c r="AB184" s="33"/>
      <c r="AC184" s="58" t="s">
        <v>2</v>
      </c>
      <c r="AD184" s="58" t="s">
        <v>2</v>
      </c>
      <c r="AE184" s="14"/>
      <c r="AF184" s="14"/>
      <c r="AH184" s="16">
        <f t="shared" si="21"/>
        <v>0</v>
      </c>
      <c r="AI184" s="16">
        <f t="shared" si="22"/>
        <v>0</v>
      </c>
    </row>
    <row r="185" spans="1:35" ht="20.100000000000001" hidden="1" customHeight="1">
      <c r="A185" s="18" t="str">
        <f>ÖSSZES!$A$39</f>
        <v>Név14</v>
      </c>
      <c r="B185" s="14"/>
      <c r="C185" s="33"/>
      <c r="D185" s="33"/>
      <c r="E185" s="58" t="s">
        <v>2</v>
      </c>
      <c r="F185" s="58" t="s">
        <v>2</v>
      </c>
      <c r="G185" s="14"/>
      <c r="H185" s="14"/>
      <c r="I185" s="14"/>
      <c r="J185" s="14"/>
      <c r="K185" s="33"/>
      <c r="L185" s="33"/>
      <c r="M185" s="58" t="s">
        <v>2</v>
      </c>
      <c r="N185" s="58" t="s">
        <v>2</v>
      </c>
      <c r="O185" s="14"/>
      <c r="P185" s="14"/>
      <c r="Q185" s="14"/>
      <c r="R185" s="14"/>
      <c r="S185" s="33"/>
      <c r="T185" s="33"/>
      <c r="U185" s="58" t="s">
        <v>2</v>
      </c>
      <c r="V185" s="58" t="s">
        <v>2</v>
      </c>
      <c r="W185" s="14"/>
      <c r="X185" s="14"/>
      <c r="Y185" s="14"/>
      <c r="Z185" s="14"/>
      <c r="AA185" s="33"/>
      <c r="AB185" s="33"/>
      <c r="AC185" s="58" t="s">
        <v>2</v>
      </c>
      <c r="AD185" s="58" t="s">
        <v>2</v>
      </c>
      <c r="AE185" s="14"/>
      <c r="AF185" s="14"/>
      <c r="AH185" s="16">
        <f t="shared" si="21"/>
        <v>0</v>
      </c>
      <c r="AI185" s="16">
        <f t="shared" si="22"/>
        <v>0</v>
      </c>
    </row>
    <row r="186" spans="1:35" ht="20.100000000000001" hidden="1" customHeight="1">
      <c r="A186" s="18" t="str">
        <f>ÖSSZES!$A$40</f>
        <v>Név15</v>
      </c>
      <c r="B186" s="14"/>
      <c r="C186" s="33"/>
      <c r="D186" s="33"/>
      <c r="E186" s="58" t="s">
        <v>2</v>
      </c>
      <c r="F186" s="58" t="s">
        <v>2</v>
      </c>
      <c r="G186" s="14"/>
      <c r="H186" s="14"/>
      <c r="I186" s="14"/>
      <c r="J186" s="14"/>
      <c r="K186" s="33"/>
      <c r="L186" s="33"/>
      <c r="M186" s="58" t="s">
        <v>2</v>
      </c>
      <c r="N186" s="58" t="s">
        <v>2</v>
      </c>
      <c r="O186" s="14"/>
      <c r="P186" s="14"/>
      <c r="Q186" s="14"/>
      <c r="R186" s="14"/>
      <c r="S186" s="33"/>
      <c r="T186" s="33"/>
      <c r="U186" s="58" t="s">
        <v>2</v>
      </c>
      <c r="V186" s="58" t="s">
        <v>2</v>
      </c>
      <c r="W186" s="14"/>
      <c r="X186" s="14"/>
      <c r="Y186" s="14"/>
      <c r="Z186" s="14"/>
      <c r="AA186" s="33"/>
      <c r="AB186" s="33"/>
      <c r="AC186" s="58" t="s">
        <v>2</v>
      </c>
      <c r="AD186" s="58" t="s">
        <v>2</v>
      </c>
      <c r="AE186" s="14"/>
      <c r="AF186" s="14"/>
      <c r="AH186" s="16">
        <f t="shared" si="21"/>
        <v>0</v>
      </c>
      <c r="AI186" s="16">
        <f t="shared" si="22"/>
        <v>0</v>
      </c>
    </row>
    <row r="187" spans="1:35" ht="20.100000000000001" hidden="1" customHeight="1">
      <c r="A187" s="18" t="str">
        <f>ÖSSZES!$A$41</f>
        <v>Név16</v>
      </c>
      <c r="B187" s="14"/>
      <c r="C187" s="33"/>
      <c r="D187" s="33"/>
      <c r="E187" s="58" t="s">
        <v>2</v>
      </c>
      <c r="F187" s="58" t="s">
        <v>2</v>
      </c>
      <c r="G187" s="14"/>
      <c r="H187" s="14"/>
      <c r="I187" s="14"/>
      <c r="J187" s="14"/>
      <c r="K187" s="33"/>
      <c r="L187" s="33"/>
      <c r="M187" s="58" t="s">
        <v>2</v>
      </c>
      <c r="N187" s="58" t="s">
        <v>2</v>
      </c>
      <c r="O187" s="14"/>
      <c r="P187" s="14"/>
      <c r="Q187" s="14"/>
      <c r="R187" s="14"/>
      <c r="S187" s="33"/>
      <c r="T187" s="33"/>
      <c r="U187" s="58" t="s">
        <v>2</v>
      </c>
      <c r="V187" s="58" t="s">
        <v>2</v>
      </c>
      <c r="W187" s="14"/>
      <c r="X187" s="14"/>
      <c r="Y187" s="14"/>
      <c r="Z187" s="14"/>
      <c r="AA187" s="33"/>
      <c r="AB187" s="33"/>
      <c r="AC187" s="58" t="s">
        <v>2</v>
      </c>
      <c r="AD187" s="58" t="s">
        <v>2</v>
      </c>
      <c r="AE187" s="14"/>
      <c r="AF187" s="14"/>
      <c r="AH187" s="16">
        <f t="shared" si="21"/>
        <v>0</v>
      </c>
      <c r="AI187" s="16">
        <f t="shared" si="22"/>
        <v>0</v>
      </c>
    </row>
    <row r="188" spans="1:35" ht="20.100000000000001" hidden="1" customHeight="1">
      <c r="A188" s="18" t="str">
        <f>ÖSSZES!$A$42</f>
        <v>Név17</v>
      </c>
      <c r="B188" s="14"/>
      <c r="C188" s="33"/>
      <c r="D188" s="33"/>
      <c r="E188" s="58" t="s">
        <v>2</v>
      </c>
      <c r="F188" s="58" t="s">
        <v>2</v>
      </c>
      <c r="G188" s="14"/>
      <c r="H188" s="14"/>
      <c r="I188" s="14"/>
      <c r="J188" s="14"/>
      <c r="K188" s="33"/>
      <c r="L188" s="33"/>
      <c r="M188" s="58" t="s">
        <v>2</v>
      </c>
      <c r="N188" s="58" t="s">
        <v>2</v>
      </c>
      <c r="O188" s="14"/>
      <c r="P188" s="14"/>
      <c r="Q188" s="14"/>
      <c r="R188" s="14"/>
      <c r="S188" s="33"/>
      <c r="T188" s="33"/>
      <c r="U188" s="58" t="s">
        <v>2</v>
      </c>
      <c r="V188" s="58" t="s">
        <v>2</v>
      </c>
      <c r="W188" s="14"/>
      <c r="X188" s="14"/>
      <c r="Y188" s="14"/>
      <c r="Z188" s="14"/>
      <c r="AA188" s="33"/>
      <c r="AB188" s="33"/>
      <c r="AC188" s="58" t="s">
        <v>2</v>
      </c>
      <c r="AD188" s="58" t="s">
        <v>2</v>
      </c>
      <c r="AE188" s="14"/>
      <c r="AF188" s="14"/>
      <c r="AH188" s="16">
        <f t="shared" si="21"/>
        <v>0</v>
      </c>
      <c r="AI188" s="16">
        <f t="shared" si="22"/>
        <v>0</v>
      </c>
    </row>
    <row r="189" spans="1:35" ht="20.100000000000001" hidden="1" customHeight="1">
      <c r="A189" s="18" t="str">
        <f>ÖSSZES!$A$43</f>
        <v>Név18</v>
      </c>
      <c r="B189" s="14"/>
      <c r="C189" s="33"/>
      <c r="D189" s="33"/>
      <c r="E189" s="58" t="s">
        <v>2</v>
      </c>
      <c r="F189" s="58" t="s">
        <v>2</v>
      </c>
      <c r="G189" s="14"/>
      <c r="H189" s="14"/>
      <c r="I189" s="14"/>
      <c r="J189" s="14"/>
      <c r="K189" s="33"/>
      <c r="L189" s="33"/>
      <c r="M189" s="58" t="s">
        <v>2</v>
      </c>
      <c r="N189" s="58" t="s">
        <v>2</v>
      </c>
      <c r="O189" s="14"/>
      <c r="P189" s="14"/>
      <c r="Q189" s="14"/>
      <c r="R189" s="14"/>
      <c r="S189" s="33"/>
      <c r="T189" s="33"/>
      <c r="U189" s="58" t="s">
        <v>2</v>
      </c>
      <c r="V189" s="58" t="s">
        <v>2</v>
      </c>
      <c r="W189" s="14"/>
      <c r="X189" s="14"/>
      <c r="Y189" s="14"/>
      <c r="Z189" s="14"/>
      <c r="AA189" s="33"/>
      <c r="AB189" s="33"/>
      <c r="AC189" s="58" t="s">
        <v>2</v>
      </c>
      <c r="AD189" s="58" t="s">
        <v>2</v>
      </c>
      <c r="AE189" s="14"/>
      <c r="AF189" s="14"/>
      <c r="AH189" s="16">
        <f t="shared" si="21"/>
        <v>0</v>
      </c>
      <c r="AI189" s="16">
        <f t="shared" si="22"/>
        <v>0</v>
      </c>
    </row>
    <row r="190" spans="1:35" ht="20.100000000000001" hidden="1" customHeight="1">
      <c r="A190" s="18" t="str">
        <f>ÖSSZES!$A$44</f>
        <v>Név19</v>
      </c>
      <c r="B190" s="14"/>
      <c r="C190" s="33"/>
      <c r="D190" s="33"/>
      <c r="E190" s="58" t="s">
        <v>2</v>
      </c>
      <c r="F190" s="58" t="s">
        <v>2</v>
      </c>
      <c r="G190" s="14"/>
      <c r="H190" s="14"/>
      <c r="I190" s="14"/>
      <c r="J190" s="14"/>
      <c r="K190" s="33"/>
      <c r="L190" s="33"/>
      <c r="M190" s="58" t="s">
        <v>2</v>
      </c>
      <c r="N190" s="58" t="s">
        <v>2</v>
      </c>
      <c r="O190" s="14"/>
      <c r="P190" s="14"/>
      <c r="Q190" s="14"/>
      <c r="R190" s="14"/>
      <c r="S190" s="33"/>
      <c r="T190" s="33"/>
      <c r="U190" s="58" t="s">
        <v>2</v>
      </c>
      <c r="V190" s="58" t="s">
        <v>2</v>
      </c>
      <c r="W190" s="14"/>
      <c r="X190" s="14"/>
      <c r="Y190" s="14"/>
      <c r="Z190" s="14"/>
      <c r="AA190" s="33"/>
      <c r="AB190" s="33"/>
      <c r="AC190" s="58" t="s">
        <v>2</v>
      </c>
      <c r="AD190" s="58" t="s">
        <v>2</v>
      </c>
      <c r="AE190" s="14"/>
      <c r="AF190" s="14"/>
      <c r="AH190" s="16">
        <f t="shared" si="21"/>
        <v>0</v>
      </c>
      <c r="AI190" s="16">
        <f t="shared" si="22"/>
        <v>0</v>
      </c>
    </row>
    <row r="191" spans="1:35" ht="20.100000000000001" hidden="1" customHeight="1">
      <c r="A191" s="18" t="str">
        <f>ÖSSZES!$A$45</f>
        <v>Név20</v>
      </c>
      <c r="B191" s="14"/>
      <c r="C191" s="33"/>
      <c r="D191" s="33"/>
      <c r="E191" s="58" t="s">
        <v>2</v>
      </c>
      <c r="F191" s="58" t="s">
        <v>2</v>
      </c>
      <c r="G191" s="14"/>
      <c r="H191" s="14"/>
      <c r="I191" s="14"/>
      <c r="J191" s="14"/>
      <c r="K191" s="33"/>
      <c r="L191" s="33"/>
      <c r="M191" s="58" t="s">
        <v>2</v>
      </c>
      <c r="N191" s="58" t="s">
        <v>2</v>
      </c>
      <c r="O191" s="14"/>
      <c r="P191" s="14"/>
      <c r="Q191" s="14"/>
      <c r="R191" s="14"/>
      <c r="S191" s="33"/>
      <c r="T191" s="33"/>
      <c r="U191" s="58" t="s">
        <v>2</v>
      </c>
      <c r="V191" s="58" t="s">
        <v>2</v>
      </c>
      <c r="W191" s="14"/>
      <c r="X191" s="14"/>
      <c r="Y191" s="14"/>
      <c r="Z191" s="14"/>
      <c r="AA191" s="33"/>
      <c r="AB191" s="33"/>
      <c r="AC191" s="58" t="s">
        <v>2</v>
      </c>
      <c r="AD191" s="58" t="s">
        <v>2</v>
      </c>
      <c r="AE191" s="14"/>
      <c r="AF191" s="14"/>
      <c r="AH191" s="16">
        <f t="shared" si="21"/>
        <v>0</v>
      </c>
      <c r="AI191" s="16">
        <f t="shared" si="22"/>
        <v>0</v>
      </c>
    </row>
    <row r="192" spans="1:35" ht="20.100000000000001" customHeight="1"/>
    <row r="193" spans="1:35" s="6" customFormat="1" ht="20.100000000000001" customHeight="1">
      <c r="A193" s="91" t="s">
        <v>13</v>
      </c>
      <c r="B193" s="17">
        <v>1</v>
      </c>
      <c r="C193" s="17">
        <v>2</v>
      </c>
      <c r="D193" s="17">
        <v>3</v>
      </c>
      <c r="E193" s="17">
        <v>4</v>
      </c>
      <c r="F193" s="17">
        <v>5</v>
      </c>
      <c r="G193" s="17">
        <v>6</v>
      </c>
      <c r="H193" s="17">
        <v>7</v>
      </c>
      <c r="I193" s="17">
        <v>8</v>
      </c>
      <c r="J193" s="17">
        <v>9</v>
      </c>
      <c r="K193" s="17">
        <v>10</v>
      </c>
      <c r="L193" s="17">
        <v>11</v>
      </c>
      <c r="M193" s="17">
        <v>12</v>
      </c>
      <c r="N193" s="17">
        <v>13</v>
      </c>
      <c r="O193" s="17">
        <v>14</v>
      </c>
      <c r="P193" s="17">
        <v>15</v>
      </c>
      <c r="Q193" s="17">
        <v>16</v>
      </c>
      <c r="R193" s="17">
        <v>17</v>
      </c>
      <c r="S193" s="17">
        <v>18</v>
      </c>
      <c r="T193" s="17">
        <v>19</v>
      </c>
      <c r="U193" s="17">
        <v>20</v>
      </c>
      <c r="V193" s="17">
        <v>21</v>
      </c>
      <c r="W193" s="17">
        <v>22</v>
      </c>
      <c r="X193" s="17">
        <v>23</v>
      </c>
      <c r="Y193" s="17">
        <v>24</v>
      </c>
      <c r="Z193" s="17">
        <v>25</v>
      </c>
      <c r="AA193" s="17">
        <v>26</v>
      </c>
      <c r="AB193" s="17">
        <v>27</v>
      </c>
      <c r="AC193" s="17">
        <v>28</v>
      </c>
      <c r="AD193" s="17">
        <v>29</v>
      </c>
      <c r="AE193" s="17">
        <v>30</v>
      </c>
      <c r="AH193" s="93" t="s">
        <v>18</v>
      </c>
      <c r="AI193" s="93" t="s">
        <v>19</v>
      </c>
    </row>
    <row r="194" spans="1:35" ht="20.100000000000001" customHeight="1">
      <c r="A194" s="92"/>
      <c r="B194" s="10" t="str">
        <f>'2020'!B68</f>
        <v>K</v>
      </c>
      <c r="C194" s="10" t="str">
        <f>'2020'!C68</f>
        <v>Sze</v>
      </c>
      <c r="D194" s="10" t="str">
        <f>'2020'!D68</f>
        <v>Cs</v>
      </c>
      <c r="E194" s="10" t="str">
        <f>'2020'!E68</f>
        <v>P</v>
      </c>
      <c r="F194" s="10" t="str">
        <f>'2020'!F68</f>
        <v>Szo</v>
      </c>
      <c r="G194" s="10" t="str">
        <f>'2020'!G68</f>
        <v>V</v>
      </c>
      <c r="H194" s="10" t="str">
        <f>'2020'!H68</f>
        <v>H</v>
      </c>
      <c r="I194" s="10" t="str">
        <f>'2020'!I68</f>
        <v>K</v>
      </c>
      <c r="J194" s="10" t="str">
        <f>'2020'!J68</f>
        <v>Sze</v>
      </c>
      <c r="K194" s="10" t="str">
        <f>'2020'!K68</f>
        <v>Cs</v>
      </c>
      <c r="L194" s="10" t="str">
        <f>'2020'!L68</f>
        <v>P</v>
      </c>
      <c r="M194" s="10" t="str">
        <f>'2020'!M68</f>
        <v>Szo</v>
      </c>
      <c r="N194" s="10" t="str">
        <f>'2020'!N68</f>
        <v>V</v>
      </c>
      <c r="O194" s="10" t="str">
        <f>'2020'!O68</f>
        <v>H</v>
      </c>
      <c r="P194" s="10" t="str">
        <f>'2020'!P68</f>
        <v>K</v>
      </c>
      <c r="Q194" s="10" t="str">
        <f>'2020'!Q68</f>
        <v>Sze</v>
      </c>
      <c r="R194" s="10" t="str">
        <f>'2020'!R68</f>
        <v>Cs</v>
      </c>
      <c r="S194" s="10" t="str">
        <f>'2020'!S68</f>
        <v>P</v>
      </c>
      <c r="T194" s="10" t="str">
        <f>'2020'!T68</f>
        <v>Szo</v>
      </c>
      <c r="U194" s="10" t="str">
        <f>'2020'!U68</f>
        <v>V</v>
      </c>
      <c r="V194" s="10" t="str">
        <f>'2020'!V68</f>
        <v>H</v>
      </c>
      <c r="W194" s="10" t="str">
        <f>'2020'!W68</f>
        <v>K</v>
      </c>
      <c r="X194" s="10" t="str">
        <f>'2020'!X68</f>
        <v>Sze</v>
      </c>
      <c r="Y194" s="10" t="str">
        <f>'2020'!Y68</f>
        <v>Cs</v>
      </c>
      <c r="Z194" s="10" t="str">
        <f>'2020'!Z68</f>
        <v>P</v>
      </c>
      <c r="AA194" s="10" t="str">
        <f>'2020'!AA68</f>
        <v>Szo</v>
      </c>
      <c r="AB194" s="10" t="str">
        <f>'2020'!AB68</f>
        <v>V</v>
      </c>
      <c r="AC194" s="10" t="str">
        <f>'2020'!AC68</f>
        <v>H</v>
      </c>
      <c r="AD194" s="10" t="str">
        <f>'2020'!AD68</f>
        <v>K</v>
      </c>
      <c r="AE194" s="10" t="str">
        <f>'2020'!AE68</f>
        <v>Sze</v>
      </c>
      <c r="AF194" s="1"/>
      <c r="AH194" s="94"/>
      <c r="AI194" s="94"/>
    </row>
    <row r="195" spans="1:35" ht="20.100000000000001" customHeight="1">
      <c r="A195" s="92"/>
      <c r="B195" s="10">
        <f>'2020'!B70</f>
        <v>3</v>
      </c>
      <c r="C195" s="10">
        <f>'2020'!C70</f>
        <v>3</v>
      </c>
      <c r="D195" s="10">
        <f>'2020'!D70</f>
        <v>3</v>
      </c>
      <c r="E195" s="10">
        <f>'2020'!E70</f>
        <v>3</v>
      </c>
      <c r="F195" s="10" t="str">
        <f>'2020'!F70</f>
        <v>X</v>
      </c>
      <c r="G195" s="10" t="str">
        <f>'2020'!G70</f>
        <v>X</v>
      </c>
      <c r="H195" s="10">
        <f>'2020'!H70</f>
        <v>2</v>
      </c>
      <c r="I195" s="10">
        <f>'2020'!I70</f>
        <v>2</v>
      </c>
      <c r="J195" s="10">
        <f>'2020'!J70</f>
        <v>2</v>
      </c>
      <c r="K195" s="10">
        <f>'2020'!K70</f>
        <v>2</v>
      </c>
      <c r="L195" s="10">
        <f>'2020'!L70</f>
        <v>2</v>
      </c>
      <c r="M195" s="10">
        <f>'2020'!M70</f>
        <v>2</v>
      </c>
      <c r="N195" s="10" t="str">
        <f>'2020'!N70</f>
        <v>X</v>
      </c>
      <c r="O195" s="10" t="str">
        <f>'2020'!O70</f>
        <v>X</v>
      </c>
      <c r="P195" s="10">
        <f>'2020'!P70</f>
        <v>1</v>
      </c>
      <c r="Q195" s="10">
        <f>'2020'!Q70</f>
        <v>1</v>
      </c>
      <c r="R195" s="10">
        <f>'2020'!R70</f>
        <v>1</v>
      </c>
      <c r="S195" s="10">
        <f>'2020'!S70</f>
        <v>1</v>
      </c>
      <c r="T195" s="10">
        <f>'2020'!T70</f>
        <v>1</v>
      </c>
      <c r="U195" s="10">
        <f>'2020'!U70</f>
        <v>1</v>
      </c>
      <c r="V195" s="10" t="str">
        <f>'2020'!V70</f>
        <v>X</v>
      </c>
      <c r="W195" s="10" t="str">
        <f>'2020'!W70</f>
        <v>X</v>
      </c>
      <c r="X195" s="10">
        <f>'2020'!X70</f>
        <v>3</v>
      </c>
      <c r="Y195" s="10">
        <f>'2020'!Y70</f>
        <v>3</v>
      </c>
      <c r="Z195" s="10">
        <f>'2020'!Z70</f>
        <v>3</v>
      </c>
      <c r="AA195" s="10">
        <f>'2020'!AA70</f>
        <v>3</v>
      </c>
      <c r="AB195" s="10">
        <f>'2020'!AB70</f>
        <v>3</v>
      </c>
      <c r="AC195" s="10">
        <f>'2020'!AC70</f>
        <v>3</v>
      </c>
      <c r="AD195" s="10" t="str">
        <f>'2020'!AD70</f>
        <v>X</v>
      </c>
      <c r="AE195" s="10" t="str">
        <f>'2020'!AE70</f>
        <v>X</v>
      </c>
      <c r="AF195" s="1"/>
      <c r="AH195" s="94"/>
      <c r="AI195" s="94"/>
    </row>
    <row r="196" spans="1:35" ht="20.100000000000001" customHeight="1">
      <c r="A196" s="18" t="str">
        <f>ÖSSZES!$A$26</f>
        <v>Katona László</v>
      </c>
      <c r="B196" s="33"/>
      <c r="C196" s="33"/>
      <c r="D196" s="33"/>
      <c r="E196" s="33"/>
      <c r="F196" s="58" t="s">
        <v>2</v>
      </c>
      <c r="G196" s="58" t="s">
        <v>2</v>
      </c>
      <c r="H196" s="33"/>
      <c r="I196" s="33"/>
      <c r="J196" s="33"/>
      <c r="K196" s="33"/>
      <c r="L196" s="33"/>
      <c r="M196" s="33"/>
      <c r="N196" s="58" t="s">
        <v>2</v>
      </c>
      <c r="O196" s="58" t="s">
        <v>2</v>
      </c>
      <c r="P196" s="33"/>
      <c r="Q196" s="33"/>
      <c r="R196" s="33"/>
      <c r="S196" s="33"/>
      <c r="T196" s="33"/>
      <c r="U196" s="33"/>
      <c r="V196" s="58" t="s">
        <v>2</v>
      </c>
      <c r="W196" s="58" t="s">
        <v>2</v>
      </c>
      <c r="X196" s="33"/>
      <c r="Y196" s="33"/>
      <c r="Z196" s="33"/>
      <c r="AA196" s="33"/>
      <c r="AB196" s="33"/>
      <c r="AC196" s="33"/>
      <c r="AD196" s="58" t="s">
        <v>2</v>
      </c>
      <c r="AE196" s="58" t="s">
        <v>2</v>
      </c>
      <c r="AF196" s="1"/>
      <c r="AH196" s="16">
        <f>1*COUNTIF(A196:AF196,"+")</f>
        <v>0</v>
      </c>
      <c r="AI196" s="16">
        <f t="shared" ref="AI196" si="23">1*COUNTIF(B196:AF196,"szf")</f>
        <v>0</v>
      </c>
    </row>
    <row r="197" spans="1:35" ht="20.100000000000001" customHeight="1">
      <c r="A197" s="18" t="str">
        <f>ÖSSZES!$A$27</f>
        <v>Kiss János Tamás</v>
      </c>
      <c r="B197" s="33"/>
      <c r="C197" s="33"/>
      <c r="D197" s="33"/>
      <c r="E197" s="33"/>
      <c r="F197" s="58" t="s">
        <v>2</v>
      </c>
      <c r="G197" s="58" t="s">
        <v>2</v>
      </c>
      <c r="H197" s="33"/>
      <c r="I197" s="33"/>
      <c r="J197" s="33"/>
      <c r="K197" s="33"/>
      <c r="L197" s="33"/>
      <c r="M197" s="33"/>
      <c r="N197" s="58" t="s">
        <v>2</v>
      </c>
      <c r="O197" s="58" t="s">
        <v>2</v>
      </c>
      <c r="P197" s="33"/>
      <c r="Q197" s="33"/>
      <c r="R197" s="33"/>
      <c r="S197" s="33"/>
      <c r="T197" s="33"/>
      <c r="U197" s="33"/>
      <c r="V197" s="58" t="s">
        <v>2</v>
      </c>
      <c r="W197" s="58" t="s">
        <v>2</v>
      </c>
      <c r="X197" s="33"/>
      <c r="Y197" s="33"/>
      <c r="Z197" s="33"/>
      <c r="AA197" s="33"/>
      <c r="AB197" s="33"/>
      <c r="AC197" s="33"/>
      <c r="AD197" s="58" t="s">
        <v>2</v>
      </c>
      <c r="AE197" s="58" t="s">
        <v>2</v>
      </c>
      <c r="AF197" s="1"/>
      <c r="AH197" s="16">
        <f t="shared" ref="AH197:AH215" si="24">1*COUNTIF(A197:AF197,"+")</f>
        <v>0</v>
      </c>
      <c r="AI197" s="16">
        <f t="shared" ref="AI197:AI215" si="25">1*COUNTIF(B197:AF197,"szf")</f>
        <v>0</v>
      </c>
    </row>
    <row r="198" spans="1:35" ht="20.100000000000001" customHeight="1">
      <c r="A198" s="18" t="str">
        <f>ÖSSZES!$A$28</f>
        <v>Habara Gábor</v>
      </c>
      <c r="B198" s="33"/>
      <c r="C198" s="33"/>
      <c r="D198" s="33"/>
      <c r="E198" s="33"/>
      <c r="F198" s="58" t="s">
        <v>2</v>
      </c>
      <c r="G198" s="58" t="s">
        <v>2</v>
      </c>
      <c r="H198" s="33"/>
      <c r="I198" s="33"/>
      <c r="J198" s="33"/>
      <c r="K198" s="33"/>
      <c r="L198" s="33"/>
      <c r="M198" s="33"/>
      <c r="N198" s="58" t="s">
        <v>2</v>
      </c>
      <c r="O198" s="58" t="s">
        <v>2</v>
      </c>
      <c r="P198" s="33"/>
      <c r="Q198" s="33"/>
      <c r="R198" s="33"/>
      <c r="S198" s="33"/>
      <c r="T198" s="33"/>
      <c r="U198" s="33"/>
      <c r="V198" s="58" t="s">
        <v>2</v>
      </c>
      <c r="W198" s="58" t="s">
        <v>2</v>
      </c>
      <c r="X198" s="33"/>
      <c r="Y198" s="33"/>
      <c r="Z198" s="33"/>
      <c r="AA198" s="33"/>
      <c r="AB198" s="33"/>
      <c r="AC198" s="33"/>
      <c r="AD198" s="58" t="s">
        <v>2</v>
      </c>
      <c r="AE198" s="58" t="s">
        <v>2</v>
      </c>
      <c r="AF198" s="1"/>
      <c r="AH198" s="16">
        <f t="shared" si="24"/>
        <v>0</v>
      </c>
      <c r="AI198" s="16">
        <f t="shared" si="25"/>
        <v>0</v>
      </c>
    </row>
    <row r="199" spans="1:35" ht="20.100000000000001" customHeight="1">
      <c r="A199" s="18" t="str">
        <f>ÖSSZES!$A$29</f>
        <v>Holba Imre</v>
      </c>
      <c r="B199" s="33"/>
      <c r="C199" s="33"/>
      <c r="D199" s="33"/>
      <c r="E199" s="33"/>
      <c r="F199" s="58" t="s">
        <v>2</v>
      </c>
      <c r="G199" s="58" t="s">
        <v>2</v>
      </c>
      <c r="H199" s="33"/>
      <c r="I199" s="33"/>
      <c r="J199" s="33"/>
      <c r="K199" s="33"/>
      <c r="L199" s="33"/>
      <c r="M199" s="33"/>
      <c r="N199" s="58" t="s">
        <v>2</v>
      </c>
      <c r="O199" s="58" t="s">
        <v>2</v>
      </c>
      <c r="P199" s="33"/>
      <c r="Q199" s="33"/>
      <c r="R199" s="33"/>
      <c r="S199" s="33"/>
      <c r="T199" s="33"/>
      <c r="U199" s="33"/>
      <c r="V199" s="58" t="s">
        <v>2</v>
      </c>
      <c r="W199" s="58" t="s">
        <v>2</v>
      </c>
      <c r="X199" s="33"/>
      <c r="Y199" s="33"/>
      <c r="Z199" s="33"/>
      <c r="AA199" s="33"/>
      <c r="AB199" s="33"/>
      <c r="AC199" s="33"/>
      <c r="AD199" s="58" t="s">
        <v>2</v>
      </c>
      <c r="AE199" s="58" t="s">
        <v>2</v>
      </c>
      <c r="AF199" s="1"/>
      <c r="AH199" s="16">
        <f t="shared" si="24"/>
        <v>0</v>
      </c>
      <c r="AI199" s="16">
        <f t="shared" si="25"/>
        <v>0</v>
      </c>
    </row>
    <row r="200" spans="1:35" ht="20.100000000000001" customHeight="1">
      <c r="A200" s="18" t="str">
        <f>ÖSSZES!$A$30</f>
        <v>Keresztes Gyula</v>
      </c>
      <c r="B200" s="33"/>
      <c r="C200" s="33"/>
      <c r="D200" s="33"/>
      <c r="E200" s="33"/>
      <c r="F200" s="58" t="s">
        <v>2</v>
      </c>
      <c r="G200" s="58" t="s">
        <v>2</v>
      </c>
      <c r="H200" s="33"/>
      <c r="I200" s="33"/>
      <c r="J200" s="33"/>
      <c r="K200" s="33"/>
      <c r="L200" s="33"/>
      <c r="M200" s="33"/>
      <c r="N200" s="58" t="s">
        <v>2</v>
      </c>
      <c r="O200" s="58" t="s">
        <v>2</v>
      </c>
      <c r="P200" s="33"/>
      <c r="Q200" s="33"/>
      <c r="R200" s="33"/>
      <c r="S200" s="33"/>
      <c r="T200" s="33"/>
      <c r="U200" s="33"/>
      <c r="V200" s="58" t="s">
        <v>2</v>
      </c>
      <c r="W200" s="58" t="s">
        <v>2</v>
      </c>
      <c r="X200" s="33"/>
      <c r="Y200" s="33"/>
      <c r="Z200" s="33"/>
      <c r="AA200" s="33"/>
      <c r="AB200" s="33"/>
      <c r="AC200" s="33"/>
      <c r="AD200" s="58" t="s">
        <v>2</v>
      </c>
      <c r="AE200" s="58" t="s">
        <v>2</v>
      </c>
      <c r="AF200" s="1"/>
      <c r="AH200" s="16">
        <f t="shared" si="24"/>
        <v>0</v>
      </c>
      <c r="AI200" s="16">
        <f t="shared" si="25"/>
        <v>0</v>
      </c>
    </row>
    <row r="201" spans="1:35" ht="20.100000000000001" customHeight="1">
      <c r="A201" s="18" t="str">
        <f>ÖSSZES!$A$31</f>
        <v>Király Bálint Donát</v>
      </c>
      <c r="B201" s="33"/>
      <c r="C201" s="33"/>
      <c r="D201" s="33"/>
      <c r="E201" s="33"/>
      <c r="F201" s="58" t="s">
        <v>2</v>
      </c>
      <c r="G201" s="58" t="s">
        <v>2</v>
      </c>
      <c r="H201" s="33"/>
      <c r="I201" s="33"/>
      <c r="J201" s="33"/>
      <c r="K201" s="33"/>
      <c r="L201" s="33"/>
      <c r="M201" s="33"/>
      <c r="N201" s="58" t="s">
        <v>2</v>
      </c>
      <c r="O201" s="58" t="s">
        <v>2</v>
      </c>
      <c r="P201" s="33"/>
      <c r="Q201" s="33"/>
      <c r="R201" s="33"/>
      <c r="S201" s="33"/>
      <c r="T201" s="33"/>
      <c r="U201" s="33"/>
      <c r="V201" s="58" t="s">
        <v>2</v>
      </c>
      <c r="W201" s="58" t="s">
        <v>2</v>
      </c>
      <c r="X201" s="33"/>
      <c r="Y201" s="33"/>
      <c r="Z201" s="33"/>
      <c r="AA201" s="33"/>
      <c r="AB201" s="33"/>
      <c r="AC201" s="33"/>
      <c r="AD201" s="58" t="s">
        <v>2</v>
      </c>
      <c r="AE201" s="58" t="s">
        <v>2</v>
      </c>
      <c r="AF201" s="1"/>
      <c r="AH201" s="16">
        <f t="shared" si="24"/>
        <v>0</v>
      </c>
      <c r="AI201" s="16">
        <f t="shared" si="25"/>
        <v>0</v>
      </c>
    </row>
    <row r="202" spans="1:35" ht="20.100000000000001" customHeight="1">
      <c r="A202" s="18" t="str">
        <f>ÖSSZES!$A$32</f>
        <v>Mezei Lajos</v>
      </c>
      <c r="B202" s="33"/>
      <c r="C202" s="33"/>
      <c r="D202" s="33"/>
      <c r="E202" s="33"/>
      <c r="F202" s="58" t="s">
        <v>2</v>
      </c>
      <c r="G202" s="58" t="s">
        <v>2</v>
      </c>
      <c r="H202" s="33"/>
      <c r="I202" s="33"/>
      <c r="J202" s="33"/>
      <c r="K202" s="33"/>
      <c r="L202" s="33"/>
      <c r="M202" s="33"/>
      <c r="N202" s="58" t="s">
        <v>2</v>
      </c>
      <c r="O202" s="58" t="s">
        <v>2</v>
      </c>
      <c r="P202" s="33"/>
      <c r="Q202" s="33"/>
      <c r="R202" s="33"/>
      <c r="S202" s="33"/>
      <c r="T202" s="33"/>
      <c r="U202" s="33"/>
      <c r="V202" s="58" t="s">
        <v>2</v>
      </c>
      <c r="W202" s="58" t="s">
        <v>2</v>
      </c>
      <c r="X202" s="33"/>
      <c r="Y202" s="33"/>
      <c r="Z202" s="33"/>
      <c r="AA202" s="33"/>
      <c r="AB202" s="33"/>
      <c r="AC202" s="33"/>
      <c r="AD202" s="58" t="s">
        <v>2</v>
      </c>
      <c r="AE202" s="58" t="s">
        <v>2</v>
      </c>
      <c r="AF202" s="1"/>
      <c r="AH202" s="16">
        <f t="shared" si="24"/>
        <v>0</v>
      </c>
      <c r="AI202" s="16">
        <f t="shared" si="25"/>
        <v>0</v>
      </c>
    </row>
    <row r="203" spans="1:35" ht="20.100000000000001" hidden="1" customHeight="1">
      <c r="A203" s="18" t="str">
        <f>ÖSSZES!$A$33</f>
        <v>Fényi László</v>
      </c>
      <c r="B203" s="33"/>
      <c r="C203" s="33"/>
      <c r="D203" s="33"/>
      <c r="E203" s="33"/>
      <c r="F203" s="58" t="s">
        <v>2</v>
      </c>
      <c r="G203" s="58" t="s">
        <v>2</v>
      </c>
      <c r="H203" s="33"/>
      <c r="I203" s="33"/>
      <c r="J203" s="33"/>
      <c r="K203" s="33"/>
      <c r="L203" s="33"/>
      <c r="M203" s="33"/>
      <c r="N203" s="58" t="s">
        <v>2</v>
      </c>
      <c r="O203" s="58" t="s">
        <v>2</v>
      </c>
      <c r="P203" s="33"/>
      <c r="Q203" s="33"/>
      <c r="R203" s="33"/>
      <c r="S203" s="33"/>
      <c r="T203" s="33"/>
      <c r="U203" s="33"/>
      <c r="V203" s="58" t="s">
        <v>2</v>
      </c>
      <c r="W203" s="58" t="s">
        <v>2</v>
      </c>
      <c r="X203" s="33"/>
      <c r="Y203" s="33"/>
      <c r="Z203" s="33"/>
      <c r="AA203" s="33"/>
      <c r="AB203" s="33"/>
      <c r="AC203" s="33"/>
      <c r="AD203" s="58" t="s">
        <v>2</v>
      </c>
      <c r="AE203" s="58" t="s">
        <v>2</v>
      </c>
      <c r="AF203" s="1"/>
      <c r="AH203" s="16">
        <f t="shared" si="24"/>
        <v>0</v>
      </c>
      <c r="AI203" s="16">
        <f t="shared" si="25"/>
        <v>0</v>
      </c>
    </row>
    <row r="204" spans="1:35" ht="20.100000000000001" hidden="1" customHeight="1">
      <c r="A204" s="18" t="str">
        <f>ÖSSZES!$A$34</f>
        <v>Név9</v>
      </c>
      <c r="B204" s="33"/>
      <c r="C204" s="33"/>
      <c r="D204" s="33"/>
      <c r="E204" s="33"/>
      <c r="F204" s="58" t="s">
        <v>2</v>
      </c>
      <c r="G204" s="58" t="s">
        <v>2</v>
      </c>
      <c r="H204" s="33"/>
      <c r="I204" s="33"/>
      <c r="J204" s="33"/>
      <c r="K204" s="33"/>
      <c r="L204" s="33"/>
      <c r="M204" s="33"/>
      <c r="N204" s="58" t="s">
        <v>2</v>
      </c>
      <c r="O204" s="58" t="s">
        <v>2</v>
      </c>
      <c r="P204" s="33"/>
      <c r="Q204" s="33"/>
      <c r="R204" s="33"/>
      <c r="S204" s="33"/>
      <c r="T204" s="33"/>
      <c r="U204" s="33"/>
      <c r="V204" s="58" t="s">
        <v>2</v>
      </c>
      <c r="W204" s="58" t="s">
        <v>2</v>
      </c>
      <c r="X204" s="33"/>
      <c r="Y204" s="33"/>
      <c r="Z204" s="33"/>
      <c r="AA204" s="33"/>
      <c r="AB204" s="33"/>
      <c r="AC204" s="33"/>
      <c r="AD204" s="58" t="s">
        <v>2</v>
      </c>
      <c r="AE204" s="58" t="s">
        <v>2</v>
      </c>
      <c r="AF204" s="1"/>
      <c r="AH204" s="16">
        <f t="shared" si="24"/>
        <v>0</v>
      </c>
      <c r="AI204" s="16">
        <f t="shared" si="25"/>
        <v>0</v>
      </c>
    </row>
    <row r="205" spans="1:35" ht="20.100000000000001" hidden="1" customHeight="1">
      <c r="A205" s="18" t="str">
        <f>ÖSSZES!$A$35</f>
        <v>Név10</v>
      </c>
      <c r="B205" s="33"/>
      <c r="C205" s="33"/>
      <c r="D205" s="33"/>
      <c r="E205" s="33"/>
      <c r="F205" s="58" t="s">
        <v>2</v>
      </c>
      <c r="G205" s="58" t="s">
        <v>2</v>
      </c>
      <c r="H205" s="33"/>
      <c r="I205" s="33"/>
      <c r="J205" s="33"/>
      <c r="K205" s="33"/>
      <c r="L205" s="33"/>
      <c r="M205" s="33"/>
      <c r="N205" s="58" t="s">
        <v>2</v>
      </c>
      <c r="O205" s="58" t="s">
        <v>2</v>
      </c>
      <c r="P205" s="33"/>
      <c r="Q205" s="33"/>
      <c r="R205" s="33"/>
      <c r="S205" s="33"/>
      <c r="T205" s="33"/>
      <c r="U205" s="33"/>
      <c r="V205" s="58" t="s">
        <v>2</v>
      </c>
      <c r="W205" s="58" t="s">
        <v>2</v>
      </c>
      <c r="X205" s="33"/>
      <c r="Y205" s="33"/>
      <c r="Z205" s="33"/>
      <c r="AA205" s="33"/>
      <c r="AB205" s="33"/>
      <c r="AC205" s="33"/>
      <c r="AD205" s="58" t="s">
        <v>2</v>
      </c>
      <c r="AE205" s="58" t="s">
        <v>2</v>
      </c>
      <c r="AF205" s="1"/>
      <c r="AH205" s="16">
        <f t="shared" si="24"/>
        <v>0</v>
      </c>
      <c r="AI205" s="16">
        <f t="shared" si="25"/>
        <v>0</v>
      </c>
    </row>
    <row r="206" spans="1:35" ht="20.100000000000001" hidden="1" customHeight="1">
      <c r="A206" s="18" t="str">
        <f>ÖSSZES!$A$36</f>
        <v>Név11</v>
      </c>
      <c r="B206" s="33"/>
      <c r="C206" s="33"/>
      <c r="D206" s="33"/>
      <c r="E206" s="33"/>
      <c r="F206" s="58" t="s">
        <v>2</v>
      </c>
      <c r="G206" s="58" t="s">
        <v>2</v>
      </c>
      <c r="H206" s="33"/>
      <c r="I206" s="33"/>
      <c r="J206" s="33"/>
      <c r="K206" s="33"/>
      <c r="L206" s="33"/>
      <c r="M206" s="33"/>
      <c r="N206" s="58" t="s">
        <v>2</v>
      </c>
      <c r="O206" s="58" t="s">
        <v>2</v>
      </c>
      <c r="P206" s="33"/>
      <c r="Q206" s="33"/>
      <c r="R206" s="33"/>
      <c r="S206" s="33"/>
      <c r="T206" s="33"/>
      <c r="U206" s="33"/>
      <c r="V206" s="58" t="s">
        <v>2</v>
      </c>
      <c r="W206" s="58" t="s">
        <v>2</v>
      </c>
      <c r="X206" s="33"/>
      <c r="Y206" s="33"/>
      <c r="Z206" s="33"/>
      <c r="AA206" s="33"/>
      <c r="AB206" s="33"/>
      <c r="AC206" s="33"/>
      <c r="AD206" s="58" t="s">
        <v>2</v>
      </c>
      <c r="AE206" s="58" t="s">
        <v>2</v>
      </c>
      <c r="AF206" s="1"/>
      <c r="AH206" s="16">
        <f t="shared" si="24"/>
        <v>0</v>
      </c>
      <c r="AI206" s="16">
        <f t="shared" si="25"/>
        <v>0</v>
      </c>
    </row>
    <row r="207" spans="1:35" ht="20.100000000000001" hidden="1" customHeight="1">
      <c r="A207" s="18" t="str">
        <f>ÖSSZES!$A$37</f>
        <v>Név12</v>
      </c>
      <c r="B207" s="33"/>
      <c r="C207" s="33"/>
      <c r="D207" s="33"/>
      <c r="E207" s="33"/>
      <c r="F207" s="58" t="s">
        <v>2</v>
      </c>
      <c r="G207" s="58" t="s">
        <v>2</v>
      </c>
      <c r="H207" s="33"/>
      <c r="I207" s="33"/>
      <c r="J207" s="33"/>
      <c r="K207" s="33"/>
      <c r="L207" s="33"/>
      <c r="M207" s="33"/>
      <c r="N207" s="58" t="s">
        <v>2</v>
      </c>
      <c r="O207" s="58" t="s">
        <v>2</v>
      </c>
      <c r="P207" s="33"/>
      <c r="Q207" s="33"/>
      <c r="R207" s="33"/>
      <c r="S207" s="33"/>
      <c r="T207" s="33"/>
      <c r="U207" s="33"/>
      <c r="V207" s="58" t="s">
        <v>2</v>
      </c>
      <c r="W207" s="58" t="s">
        <v>2</v>
      </c>
      <c r="X207" s="33"/>
      <c r="Y207" s="33"/>
      <c r="Z207" s="33"/>
      <c r="AA207" s="33"/>
      <c r="AB207" s="33"/>
      <c r="AC207" s="33"/>
      <c r="AD207" s="58" t="s">
        <v>2</v>
      </c>
      <c r="AE207" s="58" t="s">
        <v>2</v>
      </c>
      <c r="AF207" s="1"/>
      <c r="AH207" s="16">
        <f t="shared" si="24"/>
        <v>0</v>
      </c>
      <c r="AI207" s="16">
        <f t="shared" si="25"/>
        <v>0</v>
      </c>
    </row>
    <row r="208" spans="1:35" ht="20.100000000000001" hidden="1" customHeight="1">
      <c r="A208" s="18" t="str">
        <f>ÖSSZES!$A$38</f>
        <v>Név13</v>
      </c>
      <c r="B208" s="33"/>
      <c r="C208" s="33"/>
      <c r="D208" s="33"/>
      <c r="E208" s="33"/>
      <c r="F208" s="58" t="s">
        <v>2</v>
      </c>
      <c r="G208" s="58" t="s">
        <v>2</v>
      </c>
      <c r="H208" s="33"/>
      <c r="I208" s="33"/>
      <c r="J208" s="33"/>
      <c r="K208" s="33"/>
      <c r="L208" s="33"/>
      <c r="M208" s="33"/>
      <c r="N208" s="58" t="s">
        <v>2</v>
      </c>
      <c r="O208" s="58" t="s">
        <v>2</v>
      </c>
      <c r="P208" s="33"/>
      <c r="Q208" s="33"/>
      <c r="R208" s="33"/>
      <c r="S208" s="33"/>
      <c r="T208" s="33"/>
      <c r="U208" s="33"/>
      <c r="V208" s="58" t="s">
        <v>2</v>
      </c>
      <c r="W208" s="58" t="s">
        <v>2</v>
      </c>
      <c r="X208" s="33"/>
      <c r="Y208" s="33"/>
      <c r="Z208" s="33"/>
      <c r="AA208" s="33"/>
      <c r="AB208" s="33"/>
      <c r="AC208" s="33"/>
      <c r="AD208" s="58" t="s">
        <v>2</v>
      </c>
      <c r="AE208" s="58" t="s">
        <v>2</v>
      </c>
      <c r="AF208" s="1"/>
      <c r="AH208" s="16">
        <f t="shared" si="24"/>
        <v>0</v>
      </c>
      <c r="AI208" s="16">
        <f t="shared" si="25"/>
        <v>0</v>
      </c>
    </row>
    <row r="209" spans="1:35" ht="20.100000000000001" hidden="1" customHeight="1">
      <c r="A209" s="18" t="str">
        <f>ÖSSZES!$A$39</f>
        <v>Név14</v>
      </c>
      <c r="B209" s="33"/>
      <c r="C209" s="33"/>
      <c r="D209" s="33"/>
      <c r="E209" s="33"/>
      <c r="F209" s="58" t="s">
        <v>2</v>
      </c>
      <c r="G209" s="58" t="s">
        <v>2</v>
      </c>
      <c r="H209" s="33"/>
      <c r="I209" s="33"/>
      <c r="J209" s="33"/>
      <c r="K209" s="33"/>
      <c r="L209" s="33"/>
      <c r="M209" s="33"/>
      <c r="N209" s="58" t="s">
        <v>2</v>
      </c>
      <c r="O209" s="58" t="s">
        <v>2</v>
      </c>
      <c r="P209" s="33"/>
      <c r="Q209" s="33"/>
      <c r="R209" s="33"/>
      <c r="S209" s="33"/>
      <c r="T209" s="33"/>
      <c r="U209" s="33"/>
      <c r="V209" s="58" t="s">
        <v>2</v>
      </c>
      <c r="W209" s="58" t="s">
        <v>2</v>
      </c>
      <c r="X209" s="33"/>
      <c r="Y209" s="33"/>
      <c r="Z209" s="33"/>
      <c r="AA209" s="33"/>
      <c r="AB209" s="33"/>
      <c r="AC209" s="33"/>
      <c r="AD209" s="58" t="s">
        <v>2</v>
      </c>
      <c r="AE209" s="58" t="s">
        <v>2</v>
      </c>
      <c r="AF209" s="1"/>
      <c r="AH209" s="16">
        <f t="shared" si="24"/>
        <v>0</v>
      </c>
      <c r="AI209" s="16">
        <f t="shared" si="25"/>
        <v>0</v>
      </c>
    </row>
    <row r="210" spans="1:35" ht="20.100000000000001" hidden="1" customHeight="1">
      <c r="A210" s="18" t="str">
        <f>ÖSSZES!$A$40</f>
        <v>Név15</v>
      </c>
      <c r="B210" s="33"/>
      <c r="C210" s="33"/>
      <c r="D210" s="33"/>
      <c r="E210" s="33"/>
      <c r="F210" s="58" t="s">
        <v>2</v>
      </c>
      <c r="G210" s="58" t="s">
        <v>2</v>
      </c>
      <c r="H210" s="33"/>
      <c r="I210" s="33"/>
      <c r="J210" s="33"/>
      <c r="K210" s="33"/>
      <c r="L210" s="33"/>
      <c r="M210" s="33"/>
      <c r="N210" s="58" t="s">
        <v>2</v>
      </c>
      <c r="O210" s="58" t="s">
        <v>2</v>
      </c>
      <c r="P210" s="33"/>
      <c r="Q210" s="33"/>
      <c r="R210" s="33"/>
      <c r="S210" s="33"/>
      <c r="T210" s="33"/>
      <c r="U210" s="33"/>
      <c r="V210" s="58" t="s">
        <v>2</v>
      </c>
      <c r="W210" s="58" t="s">
        <v>2</v>
      </c>
      <c r="X210" s="33"/>
      <c r="Y210" s="33"/>
      <c r="Z210" s="33"/>
      <c r="AA210" s="33"/>
      <c r="AB210" s="33"/>
      <c r="AC210" s="33"/>
      <c r="AD210" s="58" t="s">
        <v>2</v>
      </c>
      <c r="AE210" s="58" t="s">
        <v>2</v>
      </c>
      <c r="AF210" s="1"/>
      <c r="AH210" s="16">
        <f t="shared" si="24"/>
        <v>0</v>
      </c>
      <c r="AI210" s="16">
        <f t="shared" si="25"/>
        <v>0</v>
      </c>
    </row>
    <row r="211" spans="1:35" ht="20.100000000000001" hidden="1" customHeight="1">
      <c r="A211" s="18" t="str">
        <f>ÖSSZES!$A$41</f>
        <v>Név16</v>
      </c>
      <c r="B211" s="33"/>
      <c r="C211" s="33"/>
      <c r="D211" s="33"/>
      <c r="E211" s="33"/>
      <c r="F211" s="58" t="s">
        <v>2</v>
      </c>
      <c r="G211" s="58" t="s">
        <v>2</v>
      </c>
      <c r="H211" s="33"/>
      <c r="I211" s="33"/>
      <c r="J211" s="33"/>
      <c r="K211" s="33"/>
      <c r="L211" s="33"/>
      <c r="M211" s="33"/>
      <c r="N211" s="58" t="s">
        <v>2</v>
      </c>
      <c r="O211" s="58" t="s">
        <v>2</v>
      </c>
      <c r="P211" s="33"/>
      <c r="Q211" s="33"/>
      <c r="R211" s="33"/>
      <c r="S211" s="33"/>
      <c r="T211" s="33"/>
      <c r="U211" s="33"/>
      <c r="V211" s="58" t="s">
        <v>2</v>
      </c>
      <c r="W211" s="58" t="s">
        <v>2</v>
      </c>
      <c r="X211" s="33"/>
      <c r="Y211" s="33"/>
      <c r="Z211" s="33"/>
      <c r="AA211" s="33"/>
      <c r="AB211" s="33"/>
      <c r="AC211" s="33"/>
      <c r="AD211" s="58" t="s">
        <v>2</v>
      </c>
      <c r="AE211" s="58" t="s">
        <v>2</v>
      </c>
      <c r="AF211" s="1"/>
      <c r="AH211" s="16">
        <f t="shared" si="24"/>
        <v>0</v>
      </c>
      <c r="AI211" s="16">
        <f t="shared" si="25"/>
        <v>0</v>
      </c>
    </row>
    <row r="212" spans="1:35" ht="20.100000000000001" hidden="1" customHeight="1">
      <c r="A212" s="18" t="str">
        <f>ÖSSZES!$A$42</f>
        <v>Név17</v>
      </c>
      <c r="B212" s="33"/>
      <c r="C212" s="33"/>
      <c r="D212" s="33"/>
      <c r="E212" s="33"/>
      <c r="F212" s="58" t="s">
        <v>2</v>
      </c>
      <c r="G212" s="58" t="s">
        <v>2</v>
      </c>
      <c r="H212" s="33"/>
      <c r="I212" s="33"/>
      <c r="J212" s="33"/>
      <c r="K212" s="33"/>
      <c r="L212" s="33"/>
      <c r="M212" s="33"/>
      <c r="N212" s="58" t="s">
        <v>2</v>
      </c>
      <c r="O212" s="58" t="s">
        <v>2</v>
      </c>
      <c r="P212" s="33"/>
      <c r="Q212" s="33"/>
      <c r="R212" s="33"/>
      <c r="S212" s="33"/>
      <c r="T212" s="33"/>
      <c r="U212" s="33"/>
      <c r="V212" s="58" t="s">
        <v>2</v>
      </c>
      <c r="W212" s="58" t="s">
        <v>2</v>
      </c>
      <c r="X212" s="33"/>
      <c r="Y212" s="33"/>
      <c r="Z212" s="33"/>
      <c r="AA212" s="33"/>
      <c r="AB212" s="33"/>
      <c r="AC212" s="33"/>
      <c r="AD212" s="58" t="s">
        <v>2</v>
      </c>
      <c r="AE212" s="58" t="s">
        <v>2</v>
      </c>
      <c r="AF212" s="1"/>
      <c r="AH212" s="16">
        <f t="shared" si="24"/>
        <v>0</v>
      </c>
      <c r="AI212" s="16">
        <f t="shared" si="25"/>
        <v>0</v>
      </c>
    </row>
    <row r="213" spans="1:35" ht="20.100000000000001" hidden="1" customHeight="1">
      <c r="A213" s="18" t="str">
        <f>ÖSSZES!$A$43</f>
        <v>Név18</v>
      </c>
      <c r="B213" s="33"/>
      <c r="C213" s="33"/>
      <c r="D213" s="33"/>
      <c r="E213" s="33"/>
      <c r="F213" s="58" t="s">
        <v>2</v>
      </c>
      <c r="G213" s="58" t="s">
        <v>2</v>
      </c>
      <c r="H213" s="33"/>
      <c r="I213" s="33"/>
      <c r="J213" s="33"/>
      <c r="K213" s="33"/>
      <c r="L213" s="33"/>
      <c r="M213" s="33"/>
      <c r="N213" s="58" t="s">
        <v>2</v>
      </c>
      <c r="O213" s="58" t="s">
        <v>2</v>
      </c>
      <c r="P213" s="33"/>
      <c r="Q213" s="33"/>
      <c r="R213" s="33"/>
      <c r="S213" s="33"/>
      <c r="T213" s="33"/>
      <c r="U213" s="33"/>
      <c r="V213" s="58" t="s">
        <v>2</v>
      </c>
      <c r="W213" s="58" t="s">
        <v>2</v>
      </c>
      <c r="X213" s="33"/>
      <c r="Y213" s="33"/>
      <c r="Z213" s="33"/>
      <c r="AA213" s="33"/>
      <c r="AB213" s="33"/>
      <c r="AC213" s="33"/>
      <c r="AD213" s="58" t="s">
        <v>2</v>
      </c>
      <c r="AE213" s="58" t="s">
        <v>2</v>
      </c>
      <c r="AF213" s="1"/>
      <c r="AH213" s="16">
        <f t="shared" si="24"/>
        <v>0</v>
      </c>
      <c r="AI213" s="16">
        <f t="shared" si="25"/>
        <v>0</v>
      </c>
    </row>
    <row r="214" spans="1:35" ht="20.100000000000001" hidden="1" customHeight="1">
      <c r="A214" s="18" t="str">
        <f>ÖSSZES!$A$44</f>
        <v>Név19</v>
      </c>
      <c r="B214" s="33"/>
      <c r="C214" s="33"/>
      <c r="D214" s="33"/>
      <c r="E214" s="33"/>
      <c r="F214" s="58" t="s">
        <v>2</v>
      </c>
      <c r="G214" s="58" t="s">
        <v>2</v>
      </c>
      <c r="H214" s="33"/>
      <c r="I214" s="33"/>
      <c r="J214" s="33"/>
      <c r="K214" s="33"/>
      <c r="L214" s="33"/>
      <c r="M214" s="33"/>
      <c r="N214" s="58" t="s">
        <v>2</v>
      </c>
      <c r="O214" s="58" t="s">
        <v>2</v>
      </c>
      <c r="P214" s="33"/>
      <c r="Q214" s="33"/>
      <c r="R214" s="33"/>
      <c r="S214" s="33"/>
      <c r="T214" s="33"/>
      <c r="U214" s="33"/>
      <c r="V214" s="58" t="s">
        <v>2</v>
      </c>
      <c r="W214" s="58" t="s">
        <v>2</v>
      </c>
      <c r="X214" s="33"/>
      <c r="Y214" s="33"/>
      <c r="Z214" s="33"/>
      <c r="AA214" s="33"/>
      <c r="AB214" s="33"/>
      <c r="AC214" s="33"/>
      <c r="AD214" s="58" t="s">
        <v>2</v>
      </c>
      <c r="AE214" s="58" t="s">
        <v>2</v>
      </c>
      <c r="AF214" s="1"/>
      <c r="AH214" s="16">
        <f t="shared" si="24"/>
        <v>0</v>
      </c>
      <c r="AI214" s="16">
        <f t="shared" si="25"/>
        <v>0</v>
      </c>
    </row>
    <row r="215" spans="1:35" ht="20.100000000000001" hidden="1" customHeight="1">
      <c r="A215" s="18" t="str">
        <f>ÖSSZES!$A$45</f>
        <v>Név20</v>
      </c>
      <c r="B215" s="33"/>
      <c r="C215" s="33"/>
      <c r="D215" s="33"/>
      <c r="E215" s="33"/>
      <c r="F215" s="58" t="s">
        <v>2</v>
      </c>
      <c r="G215" s="58" t="s">
        <v>2</v>
      </c>
      <c r="H215" s="33"/>
      <c r="I215" s="33"/>
      <c r="J215" s="33"/>
      <c r="K215" s="33"/>
      <c r="L215" s="33"/>
      <c r="M215" s="33"/>
      <c r="N215" s="58" t="s">
        <v>2</v>
      </c>
      <c r="O215" s="58" t="s">
        <v>2</v>
      </c>
      <c r="P215" s="33"/>
      <c r="Q215" s="33"/>
      <c r="R215" s="33"/>
      <c r="S215" s="33"/>
      <c r="T215" s="33"/>
      <c r="U215" s="33"/>
      <c r="V215" s="58" t="s">
        <v>2</v>
      </c>
      <c r="W215" s="58" t="s">
        <v>2</v>
      </c>
      <c r="X215" s="33"/>
      <c r="Y215" s="33"/>
      <c r="Z215" s="33"/>
      <c r="AA215" s="33"/>
      <c r="AB215" s="33"/>
      <c r="AC215" s="33"/>
      <c r="AD215" s="58" t="s">
        <v>2</v>
      </c>
      <c r="AE215" s="58" t="s">
        <v>2</v>
      </c>
      <c r="AF215" s="1"/>
      <c r="AH215" s="16">
        <f t="shared" si="24"/>
        <v>0</v>
      </c>
      <c r="AI215" s="16">
        <f t="shared" si="25"/>
        <v>0</v>
      </c>
    </row>
    <row r="216" spans="1:35" ht="20.100000000000001" customHeight="1"/>
    <row r="217" spans="1:35" s="6" customFormat="1" ht="20.100000000000001" customHeight="1">
      <c r="A217" s="91" t="s">
        <v>14</v>
      </c>
      <c r="B217" s="17">
        <v>1</v>
      </c>
      <c r="C217" s="17">
        <v>2</v>
      </c>
      <c r="D217" s="17">
        <v>3</v>
      </c>
      <c r="E217" s="17">
        <v>4</v>
      </c>
      <c r="F217" s="17">
        <v>5</v>
      </c>
      <c r="G217" s="17">
        <v>6</v>
      </c>
      <c r="H217" s="17">
        <v>7</v>
      </c>
      <c r="I217" s="17">
        <v>8</v>
      </c>
      <c r="J217" s="17">
        <v>9</v>
      </c>
      <c r="K217" s="17">
        <v>10</v>
      </c>
      <c r="L217" s="17">
        <v>11</v>
      </c>
      <c r="M217" s="17">
        <v>12</v>
      </c>
      <c r="N217" s="17">
        <v>13</v>
      </c>
      <c r="O217" s="17">
        <v>14</v>
      </c>
      <c r="P217" s="17">
        <v>15</v>
      </c>
      <c r="Q217" s="17">
        <v>16</v>
      </c>
      <c r="R217" s="17">
        <v>17</v>
      </c>
      <c r="S217" s="17">
        <v>18</v>
      </c>
      <c r="T217" s="17">
        <v>19</v>
      </c>
      <c r="U217" s="17">
        <v>20</v>
      </c>
      <c r="V217" s="17">
        <v>21</v>
      </c>
      <c r="W217" s="17">
        <v>22</v>
      </c>
      <c r="X217" s="19">
        <v>23</v>
      </c>
      <c r="Y217" s="17">
        <v>24</v>
      </c>
      <c r="Z217" s="17">
        <v>25</v>
      </c>
      <c r="AA217" s="17">
        <v>26</v>
      </c>
      <c r="AB217" s="17">
        <v>27</v>
      </c>
      <c r="AC217" s="17">
        <v>28</v>
      </c>
      <c r="AD217" s="17">
        <v>29</v>
      </c>
      <c r="AE217" s="17">
        <v>30</v>
      </c>
      <c r="AF217" s="17">
        <v>31</v>
      </c>
      <c r="AH217" s="93" t="s">
        <v>18</v>
      </c>
      <c r="AI217" s="93" t="s">
        <v>19</v>
      </c>
    </row>
    <row r="218" spans="1:35" ht="20.100000000000001" customHeight="1">
      <c r="A218" s="92"/>
      <c r="B218" s="10" t="str">
        <f>'2020'!B76</f>
        <v>Cs</v>
      </c>
      <c r="C218" s="10" t="str">
        <f>'2020'!C76</f>
        <v>P</v>
      </c>
      <c r="D218" s="10" t="str">
        <f>'2020'!D76</f>
        <v>Szo</v>
      </c>
      <c r="E218" s="10" t="str">
        <f>'2020'!E76</f>
        <v>V</v>
      </c>
      <c r="F218" s="10" t="str">
        <f>'2020'!F76</f>
        <v>H</v>
      </c>
      <c r="G218" s="10" t="str">
        <f>'2020'!G76</f>
        <v>K</v>
      </c>
      <c r="H218" s="10" t="str">
        <f>'2020'!H76</f>
        <v>Sze</v>
      </c>
      <c r="I218" s="10" t="str">
        <f>'2020'!I76</f>
        <v>Cs</v>
      </c>
      <c r="J218" s="10" t="str">
        <f>'2020'!J76</f>
        <v>P</v>
      </c>
      <c r="K218" s="10" t="str">
        <f>'2020'!K76</f>
        <v>Szo</v>
      </c>
      <c r="L218" s="10" t="str">
        <f>'2020'!L76</f>
        <v>V</v>
      </c>
      <c r="M218" s="10" t="str">
        <f>'2020'!M76</f>
        <v>H</v>
      </c>
      <c r="N218" s="10" t="str">
        <f>'2020'!N76</f>
        <v>K</v>
      </c>
      <c r="O218" s="10" t="str">
        <f>'2020'!O76</f>
        <v>Sze</v>
      </c>
      <c r="P218" s="10" t="str">
        <f>'2020'!P76</f>
        <v>Cs</v>
      </c>
      <c r="Q218" s="10" t="str">
        <f>'2020'!Q76</f>
        <v>P</v>
      </c>
      <c r="R218" s="10" t="str">
        <f>'2020'!R76</f>
        <v>Szo</v>
      </c>
      <c r="S218" s="10" t="str">
        <f>'2020'!S76</f>
        <v>V</v>
      </c>
      <c r="T218" s="10" t="str">
        <f>'2020'!T76</f>
        <v>H</v>
      </c>
      <c r="U218" s="10" t="str">
        <f>'2020'!U76</f>
        <v>K</v>
      </c>
      <c r="V218" s="10" t="str">
        <f>'2020'!V76</f>
        <v>Sze</v>
      </c>
      <c r="W218" s="10" t="str">
        <f>'2020'!W76</f>
        <v>Cs</v>
      </c>
      <c r="X218" s="10" t="str">
        <f>'2020'!X76</f>
        <v>P</v>
      </c>
      <c r="Y218" s="10" t="str">
        <f>'2020'!Y76</f>
        <v>Szo</v>
      </c>
      <c r="Z218" s="10" t="str">
        <f>'2020'!Z76</f>
        <v>V</v>
      </c>
      <c r="AA218" s="10" t="str">
        <f>'2020'!AA76</f>
        <v>H</v>
      </c>
      <c r="AB218" s="10" t="str">
        <f>'2020'!AB76</f>
        <v>K</v>
      </c>
      <c r="AC218" s="10" t="str">
        <f>'2020'!AC76</f>
        <v>Sze</v>
      </c>
      <c r="AD218" s="10" t="str">
        <f>'2020'!AD76</f>
        <v>Cs</v>
      </c>
      <c r="AE218" s="10" t="str">
        <f>'2020'!AE76</f>
        <v>P</v>
      </c>
      <c r="AF218" s="10" t="str">
        <f>'2020'!AF76</f>
        <v>Szo</v>
      </c>
      <c r="AH218" s="94"/>
      <c r="AI218" s="94"/>
    </row>
    <row r="219" spans="1:35" ht="20.100000000000001" customHeight="1">
      <c r="A219" s="92"/>
      <c r="B219" s="10">
        <f>'2020'!B78</f>
        <v>2</v>
      </c>
      <c r="C219" s="10">
        <f>'2020'!C78</f>
        <v>2</v>
      </c>
      <c r="D219" s="10">
        <f>'2020'!D78</f>
        <v>2</v>
      </c>
      <c r="E219" s="10">
        <f>'2020'!E78</f>
        <v>2</v>
      </c>
      <c r="F219" s="10">
        <f>'2020'!F78</f>
        <v>2</v>
      </c>
      <c r="G219" s="10">
        <f>'2020'!G78</f>
        <v>2</v>
      </c>
      <c r="H219" s="10" t="str">
        <f>'2020'!H78</f>
        <v>X</v>
      </c>
      <c r="I219" s="10" t="str">
        <f>'2020'!I78</f>
        <v>X</v>
      </c>
      <c r="J219" s="10">
        <f>'2020'!J78</f>
        <v>1</v>
      </c>
      <c r="K219" s="10">
        <f>'2020'!K78</f>
        <v>1</v>
      </c>
      <c r="L219" s="10">
        <f>'2020'!L78</f>
        <v>1</v>
      </c>
      <c r="M219" s="10">
        <f>'2020'!M78</f>
        <v>1</v>
      </c>
      <c r="N219" s="10">
        <f>'2020'!N78</f>
        <v>1</v>
      </c>
      <c r="O219" s="10">
        <f>'2020'!O78</f>
        <v>1</v>
      </c>
      <c r="P219" s="10" t="str">
        <f>'2020'!P78</f>
        <v>X</v>
      </c>
      <c r="Q219" s="10" t="str">
        <f>'2020'!Q78</f>
        <v>X</v>
      </c>
      <c r="R219" s="10">
        <f>'2020'!R78</f>
        <v>3</v>
      </c>
      <c r="S219" s="10">
        <f>'2020'!S78</f>
        <v>3</v>
      </c>
      <c r="T219" s="10">
        <f>'2020'!T78</f>
        <v>3</v>
      </c>
      <c r="U219" s="10">
        <f>'2020'!U78</f>
        <v>3</v>
      </c>
      <c r="V219" s="10">
        <f>'2020'!V78</f>
        <v>3</v>
      </c>
      <c r="W219" s="10">
        <f>'2020'!W78</f>
        <v>3</v>
      </c>
      <c r="X219" s="10" t="str">
        <f>'2020'!X78</f>
        <v>X</v>
      </c>
      <c r="Y219" s="10" t="str">
        <f>'2020'!Y78</f>
        <v>X</v>
      </c>
      <c r="Z219" s="10">
        <f>'2020'!Z78</f>
        <v>2</v>
      </c>
      <c r="AA219" s="10">
        <f>'2020'!AA78</f>
        <v>2</v>
      </c>
      <c r="AB219" s="10">
        <f>'2020'!AB78</f>
        <v>2</v>
      </c>
      <c r="AC219" s="10">
        <f>'2020'!AC78</f>
        <v>2</v>
      </c>
      <c r="AD219" s="10">
        <f>'2020'!AD78</f>
        <v>2</v>
      </c>
      <c r="AE219" s="10">
        <f>'2020'!AE78</f>
        <v>2</v>
      </c>
      <c r="AF219" s="10" t="str">
        <f>'2020'!AF78</f>
        <v>X</v>
      </c>
      <c r="AH219" s="94"/>
      <c r="AI219" s="94"/>
    </row>
    <row r="220" spans="1:35" ht="20.100000000000001" customHeight="1">
      <c r="A220" s="18" t="str">
        <f>ÖSSZES!$A$26</f>
        <v>Katona László</v>
      </c>
      <c r="B220" s="14"/>
      <c r="C220" s="14"/>
      <c r="D220" s="14"/>
      <c r="E220" s="14"/>
      <c r="F220" s="33"/>
      <c r="G220" s="33"/>
      <c r="H220" s="58" t="s">
        <v>2</v>
      </c>
      <c r="I220" s="58" t="s">
        <v>2</v>
      </c>
      <c r="J220" s="14"/>
      <c r="K220" s="14"/>
      <c r="L220" s="14"/>
      <c r="M220" s="14"/>
      <c r="N220" s="33"/>
      <c r="O220" s="33"/>
      <c r="P220" s="58" t="s">
        <v>2</v>
      </c>
      <c r="Q220" s="58" t="s">
        <v>2</v>
      </c>
      <c r="R220" s="14"/>
      <c r="S220" s="14"/>
      <c r="T220" s="14"/>
      <c r="U220" s="14"/>
      <c r="V220" s="33"/>
      <c r="W220" s="33"/>
      <c r="X220" s="58" t="s">
        <v>2</v>
      </c>
      <c r="Y220" s="58" t="s">
        <v>2</v>
      </c>
      <c r="Z220" s="14"/>
      <c r="AA220" s="14"/>
      <c r="AB220" s="14"/>
      <c r="AC220" s="14"/>
      <c r="AD220" s="33"/>
      <c r="AE220" s="33"/>
      <c r="AF220" s="58" t="s">
        <v>2</v>
      </c>
      <c r="AH220" s="16">
        <f>1*COUNTIF(A220:AF220,"+")</f>
        <v>0</v>
      </c>
      <c r="AI220" s="16">
        <f t="shared" ref="AI220" si="26">1*COUNTIF(B220:AF220,"szf")</f>
        <v>0</v>
      </c>
    </row>
    <row r="221" spans="1:35" ht="20.100000000000001" customHeight="1">
      <c r="A221" s="18" t="str">
        <f>ÖSSZES!$A$27</f>
        <v>Kiss János Tamás</v>
      </c>
      <c r="B221" s="14"/>
      <c r="C221" s="14"/>
      <c r="D221" s="14"/>
      <c r="E221" s="14"/>
      <c r="F221" s="33"/>
      <c r="G221" s="33"/>
      <c r="H221" s="58" t="s">
        <v>2</v>
      </c>
      <c r="I221" s="58" t="s">
        <v>2</v>
      </c>
      <c r="J221" s="14"/>
      <c r="K221" s="14"/>
      <c r="L221" s="14"/>
      <c r="M221" s="14"/>
      <c r="N221" s="33"/>
      <c r="O221" s="33"/>
      <c r="P221" s="58" t="s">
        <v>2</v>
      </c>
      <c r="Q221" s="58" t="s">
        <v>2</v>
      </c>
      <c r="R221" s="14"/>
      <c r="S221" s="14"/>
      <c r="T221" s="14"/>
      <c r="U221" s="14"/>
      <c r="V221" s="33"/>
      <c r="W221" s="33"/>
      <c r="X221" s="58" t="s">
        <v>2</v>
      </c>
      <c r="Y221" s="58" t="s">
        <v>2</v>
      </c>
      <c r="Z221" s="14"/>
      <c r="AA221" s="14"/>
      <c r="AB221" s="14"/>
      <c r="AC221" s="14"/>
      <c r="AD221" s="33"/>
      <c r="AE221" s="33"/>
      <c r="AF221" s="58" t="s">
        <v>2</v>
      </c>
      <c r="AH221" s="16">
        <f t="shared" ref="AH221:AH239" si="27">1*COUNTIF(A221:AF221,"+")</f>
        <v>0</v>
      </c>
      <c r="AI221" s="16">
        <f t="shared" ref="AI221:AI239" si="28">1*COUNTIF(B221:AF221,"szf")</f>
        <v>0</v>
      </c>
    </row>
    <row r="222" spans="1:35" ht="20.100000000000001" customHeight="1">
      <c r="A222" s="18" t="str">
        <f>ÖSSZES!$A$28</f>
        <v>Habara Gábor</v>
      </c>
      <c r="B222" s="14"/>
      <c r="C222" s="14"/>
      <c r="D222" s="14"/>
      <c r="E222" s="14"/>
      <c r="F222" s="33"/>
      <c r="G222" s="33"/>
      <c r="H222" s="58" t="s">
        <v>2</v>
      </c>
      <c r="I222" s="58" t="s">
        <v>2</v>
      </c>
      <c r="J222" s="14"/>
      <c r="K222" s="14"/>
      <c r="L222" s="14"/>
      <c r="M222" s="14"/>
      <c r="N222" s="33"/>
      <c r="O222" s="33"/>
      <c r="P222" s="58" t="s">
        <v>2</v>
      </c>
      <c r="Q222" s="58" t="s">
        <v>2</v>
      </c>
      <c r="R222" s="14"/>
      <c r="S222" s="14"/>
      <c r="T222" s="14"/>
      <c r="U222" s="14"/>
      <c r="V222" s="33"/>
      <c r="W222" s="33"/>
      <c r="X222" s="58" t="s">
        <v>2</v>
      </c>
      <c r="Y222" s="58" t="s">
        <v>2</v>
      </c>
      <c r="Z222" s="14"/>
      <c r="AA222" s="14"/>
      <c r="AB222" s="14"/>
      <c r="AC222" s="14"/>
      <c r="AD222" s="33"/>
      <c r="AE222" s="33"/>
      <c r="AF222" s="58" t="s">
        <v>2</v>
      </c>
      <c r="AH222" s="16">
        <f t="shared" si="27"/>
        <v>0</v>
      </c>
      <c r="AI222" s="16">
        <f t="shared" si="28"/>
        <v>0</v>
      </c>
    </row>
    <row r="223" spans="1:35" ht="20.100000000000001" customHeight="1">
      <c r="A223" s="18" t="str">
        <f>ÖSSZES!$A$29</f>
        <v>Holba Imre</v>
      </c>
      <c r="B223" s="14"/>
      <c r="C223" s="14"/>
      <c r="D223" s="14"/>
      <c r="E223" s="14"/>
      <c r="F223" s="33"/>
      <c r="G223" s="33"/>
      <c r="H223" s="58" t="s">
        <v>2</v>
      </c>
      <c r="I223" s="58" t="s">
        <v>2</v>
      </c>
      <c r="J223" s="14"/>
      <c r="K223" s="14"/>
      <c r="L223" s="14"/>
      <c r="M223" s="14"/>
      <c r="N223" s="33"/>
      <c r="O223" s="33"/>
      <c r="P223" s="58" t="s">
        <v>2</v>
      </c>
      <c r="Q223" s="58" t="s">
        <v>2</v>
      </c>
      <c r="R223" s="14"/>
      <c r="S223" s="14"/>
      <c r="T223" s="14"/>
      <c r="U223" s="14"/>
      <c r="V223" s="33"/>
      <c r="W223" s="33"/>
      <c r="X223" s="58" t="s">
        <v>2</v>
      </c>
      <c r="Y223" s="58" t="s">
        <v>2</v>
      </c>
      <c r="Z223" s="14"/>
      <c r="AA223" s="14"/>
      <c r="AB223" s="14"/>
      <c r="AC223" s="14"/>
      <c r="AD223" s="33"/>
      <c r="AE223" s="33"/>
      <c r="AF223" s="58" t="s">
        <v>2</v>
      </c>
      <c r="AH223" s="16">
        <f t="shared" si="27"/>
        <v>0</v>
      </c>
      <c r="AI223" s="16">
        <f t="shared" si="28"/>
        <v>0</v>
      </c>
    </row>
    <row r="224" spans="1:35" ht="20.100000000000001" customHeight="1">
      <c r="A224" s="18" t="str">
        <f>ÖSSZES!$A$30</f>
        <v>Keresztes Gyula</v>
      </c>
      <c r="B224" s="14"/>
      <c r="C224" s="14"/>
      <c r="D224" s="14"/>
      <c r="E224" s="14"/>
      <c r="F224" s="33"/>
      <c r="G224" s="33"/>
      <c r="H224" s="58" t="s">
        <v>2</v>
      </c>
      <c r="I224" s="58" t="s">
        <v>2</v>
      </c>
      <c r="J224" s="14"/>
      <c r="K224" s="14"/>
      <c r="L224" s="14"/>
      <c r="M224" s="14"/>
      <c r="N224" s="33"/>
      <c r="O224" s="33"/>
      <c r="P224" s="58" t="s">
        <v>2</v>
      </c>
      <c r="Q224" s="58" t="s">
        <v>2</v>
      </c>
      <c r="R224" s="14"/>
      <c r="S224" s="14"/>
      <c r="T224" s="14"/>
      <c r="U224" s="14"/>
      <c r="V224" s="33"/>
      <c r="W224" s="33"/>
      <c r="X224" s="58" t="s">
        <v>2</v>
      </c>
      <c r="Y224" s="58" t="s">
        <v>2</v>
      </c>
      <c r="Z224" s="14"/>
      <c r="AA224" s="14"/>
      <c r="AB224" s="14"/>
      <c r="AC224" s="14"/>
      <c r="AD224" s="33"/>
      <c r="AE224" s="33"/>
      <c r="AF224" s="58" t="s">
        <v>2</v>
      </c>
      <c r="AH224" s="16">
        <f t="shared" si="27"/>
        <v>0</v>
      </c>
      <c r="AI224" s="16">
        <f t="shared" si="28"/>
        <v>0</v>
      </c>
    </row>
    <row r="225" spans="1:35" ht="20.100000000000001" customHeight="1">
      <c r="A225" s="18" t="str">
        <f>ÖSSZES!$A$31</f>
        <v>Király Bálint Donát</v>
      </c>
      <c r="B225" s="14"/>
      <c r="C225" s="14"/>
      <c r="D225" s="14"/>
      <c r="E225" s="14"/>
      <c r="F225" s="33"/>
      <c r="G225" s="33"/>
      <c r="H225" s="58" t="s">
        <v>2</v>
      </c>
      <c r="I225" s="58" t="s">
        <v>2</v>
      </c>
      <c r="J225" s="14"/>
      <c r="K225" s="14"/>
      <c r="L225" s="14"/>
      <c r="M225" s="14"/>
      <c r="N225" s="33"/>
      <c r="O225" s="33"/>
      <c r="P225" s="58" t="s">
        <v>2</v>
      </c>
      <c r="Q225" s="58" t="s">
        <v>2</v>
      </c>
      <c r="R225" s="14"/>
      <c r="S225" s="14"/>
      <c r="T225" s="14"/>
      <c r="U225" s="14"/>
      <c r="V225" s="33"/>
      <c r="W225" s="33"/>
      <c r="X225" s="58" t="s">
        <v>2</v>
      </c>
      <c r="Y225" s="58" t="s">
        <v>2</v>
      </c>
      <c r="Z225" s="14"/>
      <c r="AA225" s="14"/>
      <c r="AB225" s="14"/>
      <c r="AC225" s="14"/>
      <c r="AD225" s="33"/>
      <c r="AE225" s="33"/>
      <c r="AF225" s="58" t="s">
        <v>2</v>
      </c>
      <c r="AH225" s="16">
        <f t="shared" si="27"/>
        <v>0</v>
      </c>
      <c r="AI225" s="16">
        <f t="shared" si="28"/>
        <v>0</v>
      </c>
    </row>
    <row r="226" spans="1:35" ht="20.100000000000001" customHeight="1">
      <c r="A226" s="18" t="str">
        <f>ÖSSZES!$A$32</f>
        <v>Mezei Lajos</v>
      </c>
      <c r="B226" s="14"/>
      <c r="C226" s="14"/>
      <c r="D226" s="14"/>
      <c r="E226" s="14"/>
      <c r="F226" s="33"/>
      <c r="G226" s="33"/>
      <c r="H226" s="58" t="s">
        <v>2</v>
      </c>
      <c r="I226" s="58" t="s">
        <v>2</v>
      </c>
      <c r="J226" s="14"/>
      <c r="K226" s="14"/>
      <c r="L226" s="14"/>
      <c r="M226" s="14"/>
      <c r="N226" s="33"/>
      <c r="O226" s="33"/>
      <c r="P226" s="58" t="s">
        <v>2</v>
      </c>
      <c r="Q226" s="58" t="s">
        <v>2</v>
      </c>
      <c r="R226" s="14"/>
      <c r="S226" s="14"/>
      <c r="T226" s="14"/>
      <c r="U226" s="14"/>
      <c r="V226" s="33"/>
      <c r="W226" s="33"/>
      <c r="X226" s="58" t="s">
        <v>2</v>
      </c>
      <c r="Y226" s="58" t="s">
        <v>2</v>
      </c>
      <c r="Z226" s="14"/>
      <c r="AA226" s="14"/>
      <c r="AB226" s="14"/>
      <c r="AC226" s="14"/>
      <c r="AD226" s="33"/>
      <c r="AE226" s="33"/>
      <c r="AF226" s="58" t="s">
        <v>2</v>
      </c>
      <c r="AH226" s="16">
        <f t="shared" si="27"/>
        <v>0</v>
      </c>
      <c r="AI226" s="16">
        <f t="shared" si="28"/>
        <v>0</v>
      </c>
    </row>
    <row r="227" spans="1:35" ht="20.100000000000001" hidden="1" customHeight="1">
      <c r="A227" s="18" t="str">
        <f>ÖSSZES!$A$33</f>
        <v>Fényi László</v>
      </c>
      <c r="B227" s="14"/>
      <c r="C227" s="14"/>
      <c r="D227" s="14"/>
      <c r="E227" s="14"/>
      <c r="F227" s="33"/>
      <c r="G227" s="33"/>
      <c r="H227" s="58" t="s">
        <v>2</v>
      </c>
      <c r="I227" s="58" t="s">
        <v>2</v>
      </c>
      <c r="J227" s="14"/>
      <c r="K227" s="14"/>
      <c r="L227" s="14"/>
      <c r="M227" s="14"/>
      <c r="N227" s="33"/>
      <c r="O227" s="33"/>
      <c r="P227" s="58" t="s">
        <v>2</v>
      </c>
      <c r="Q227" s="58" t="s">
        <v>2</v>
      </c>
      <c r="R227" s="14"/>
      <c r="S227" s="14"/>
      <c r="T227" s="14"/>
      <c r="U227" s="14"/>
      <c r="V227" s="33"/>
      <c r="W227" s="33"/>
      <c r="X227" s="58" t="s">
        <v>2</v>
      </c>
      <c r="Y227" s="58" t="s">
        <v>2</v>
      </c>
      <c r="Z227" s="14"/>
      <c r="AA227" s="14"/>
      <c r="AB227" s="14"/>
      <c r="AC227" s="14"/>
      <c r="AD227" s="33"/>
      <c r="AE227" s="33"/>
      <c r="AF227" s="58" t="s">
        <v>2</v>
      </c>
      <c r="AH227" s="16">
        <f t="shared" si="27"/>
        <v>0</v>
      </c>
      <c r="AI227" s="16">
        <f t="shared" si="28"/>
        <v>0</v>
      </c>
    </row>
    <row r="228" spans="1:35" ht="20.100000000000001" hidden="1" customHeight="1">
      <c r="A228" s="18" t="str">
        <f>ÖSSZES!$A$34</f>
        <v>Név9</v>
      </c>
      <c r="B228" s="14"/>
      <c r="C228" s="14"/>
      <c r="D228" s="14"/>
      <c r="E228" s="14"/>
      <c r="F228" s="33"/>
      <c r="G228" s="33"/>
      <c r="H228" s="58" t="s">
        <v>2</v>
      </c>
      <c r="I228" s="58" t="s">
        <v>2</v>
      </c>
      <c r="J228" s="14"/>
      <c r="K228" s="14"/>
      <c r="L228" s="14"/>
      <c r="M228" s="14"/>
      <c r="N228" s="33"/>
      <c r="O228" s="33"/>
      <c r="P228" s="58" t="s">
        <v>2</v>
      </c>
      <c r="Q228" s="58" t="s">
        <v>2</v>
      </c>
      <c r="R228" s="14"/>
      <c r="S228" s="14"/>
      <c r="T228" s="14"/>
      <c r="U228" s="14"/>
      <c r="V228" s="33"/>
      <c r="W228" s="33"/>
      <c r="X228" s="58" t="s">
        <v>2</v>
      </c>
      <c r="Y228" s="58" t="s">
        <v>2</v>
      </c>
      <c r="Z228" s="14"/>
      <c r="AA228" s="14"/>
      <c r="AB228" s="14"/>
      <c r="AC228" s="14"/>
      <c r="AD228" s="33"/>
      <c r="AE228" s="33"/>
      <c r="AF228" s="58" t="s">
        <v>2</v>
      </c>
      <c r="AH228" s="16">
        <f t="shared" si="27"/>
        <v>0</v>
      </c>
      <c r="AI228" s="16">
        <f t="shared" si="28"/>
        <v>0</v>
      </c>
    </row>
    <row r="229" spans="1:35" ht="20.100000000000001" hidden="1" customHeight="1">
      <c r="A229" s="18" t="str">
        <f>ÖSSZES!$A$35</f>
        <v>Név10</v>
      </c>
      <c r="B229" s="14"/>
      <c r="C229" s="14"/>
      <c r="D229" s="14"/>
      <c r="E229" s="14"/>
      <c r="F229" s="33"/>
      <c r="G229" s="33"/>
      <c r="H229" s="58" t="s">
        <v>2</v>
      </c>
      <c r="I229" s="58" t="s">
        <v>2</v>
      </c>
      <c r="J229" s="14"/>
      <c r="K229" s="14"/>
      <c r="L229" s="14"/>
      <c r="M229" s="14"/>
      <c r="N229" s="33"/>
      <c r="O229" s="33"/>
      <c r="P229" s="58" t="s">
        <v>2</v>
      </c>
      <c r="Q229" s="58" t="s">
        <v>2</v>
      </c>
      <c r="R229" s="14"/>
      <c r="S229" s="14"/>
      <c r="T229" s="14"/>
      <c r="U229" s="14"/>
      <c r="V229" s="33"/>
      <c r="W229" s="33"/>
      <c r="X229" s="58" t="s">
        <v>2</v>
      </c>
      <c r="Y229" s="58" t="s">
        <v>2</v>
      </c>
      <c r="Z229" s="14"/>
      <c r="AA229" s="14"/>
      <c r="AB229" s="14"/>
      <c r="AC229" s="14"/>
      <c r="AD229" s="33"/>
      <c r="AE229" s="33"/>
      <c r="AF229" s="58" t="s">
        <v>2</v>
      </c>
      <c r="AH229" s="16">
        <f t="shared" si="27"/>
        <v>0</v>
      </c>
      <c r="AI229" s="16">
        <f t="shared" si="28"/>
        <v>0</v>
      </c>
    </row>
    <row r="230" spans="1:35" ht="20.100000000000001" hidden="1" customHeight="1">
      <c r="A230" s="18" t="str">
        <f>ÖSSZES!$A$36</f>
        <v>Név11</v>
      </c>
      <c r="B230" s="14"/>
      <c r="C230" s="14"/>
      <c r="D230" s="14"/>
      <c r="E230" s="14"/>
      <c r="F230" s="33"/>
      <c r="G230" s="33"/>
      <c r="H230" s="58" t="s">
        <v>2</v>
      </c>
      <c r="I230" s="58" t="s">
        <v>2</v>
      </c>
      <c r="J230" s="14"/>
      <c r="K230" s="14"/>
      <c r="L230" s="14"/>
      <c r="M230" s="14"/>
      <c r="N230" s="33"/>
      <c r="O230" s="33"/>
      <c r="P230" s="58" t="s">
        <v>2</v>
      </c>
      <c r="Q230" s="58" t="s">
        <v>2</v>
      </c>
      <c r="R230" s="14"/>
      <c r="S230" s="14"/>
      <c r="T230" s="14"/>
      <c r="U230" s="14"/>
      <c r="V230" s="33"/>
      <c r="W230" s="33"/>
      <c r="X230" s="58" t="s">
        <v>2</v>
      </c>
      <c r="Y230" s="58" t="s">
        <v>2</v>
      </c>
      <c r="Z230" s="14"/>
      <c r="AA230" s="14"/>
      <c r="AB230" s="14"/>
      <c r="AC230" s="14"/>
      <c r="AD230" s="33"/>
      <c r="AE230" s="33"/>
      <c r="AF230" s="58" t="s">
        <v>2</v>
      </c>
      <c r="AH230" s="16">
        <f t="shared" si="27"/>
        <v>0</v>
      </c>
      <c r="AI230" s="16">
        <f t="shared" si="28"/>
        <v>0</v>
      </c>
    </row>
    <row r="231" spans="1:35" ht="20.100000000000001" hidden="1" customHeight="1">
      <c r="A231" s="18" t="str">
        <f>ÖSSZES!$A$37</f>
        <v>Név12</v>
      </c>
      <c r="B231" s="14"/>
      <c r="C231" s="14"/>
      <c r="D231" s="14"/>
      <c r="E231" s="14"/>
      <c r="F231" s="33"/>
      <c r="G231" s="33"/>
      <c r="H231" s="58" t="s">
        <v>2</v>
      </c>
      <c r="I231" s="58" t="s">
        <v>2</v>
      </c>
      <c r="J231" s="14"/>
      <c r="K231" s="14"/>
      <c r="L231" s="14"/>
      <c r="M231" s="14"/>
      <c r="N231" s="33"/>
      <c r="O231" s="33"/>
      <c r="P231" s="58" t="s">
        <v>2</v>
      </c>
      <c r="Q231" s="58" t="s">
        <v>2</v>
      </c>
      <c r="R231" s="14"/>
      <c r="S231" s="14"/>
      <c r="T231" s="14"/>
      <c r="U231" s="14"/>
      <c r="V231" s="33"/>
      <c r="W231" s="33"/>
      <c r="X231" s="58" t="s">
        <v>2</v>
      </c>
      <c r="Y231" s="58" t="s">
        <v>2</v>
      </c>
      <c r="Z231" s="14"/>
      <c r="AA231" s="14"/>
      <c r="AB231" s="14"/>
      <c r="AC231" s="14"/>
      <c r="AD231" s="33"/>
      <c r="AE231" s="33"/>
      <c r="AF231" s="58" t="s">
        <v>2</v>
      </c>
      <c r="AH231" s="16">
        <f t="shared" si="27"/>
        <v>0</v>
      </c>
      <c r="AI231" s="16">
        <f t="shared" si="28"/>
        <v>0</v>
      </c>
    </row>
    <row r="232" spans="1:35" ht="20.100000000000001" hidden="1" customHeight="1">
      <c r="A232" s="18" t="str">
        <f>ÖSSZES!$A$38</f>
        <v>Név13</v>
      </c>
      <c r="B232" s="14"/>
      <c r="C232" s="14"/>
      <c r="D232" s="14"/>
      <c r="E232" s="14"/>
      <c r="F232" s="33"/>
      <c r="G232" s="33"/>
      <c r="H232" s="58" t="s">
        <v>2</v>
      </c>
      <c r="I232" s="58" t="s">
        <v>2</v>
      </c>
      <c r="J232" s="14"/>
      <c r="K232" s="14"/>
      <c r="L232" s="14"/>
      <c r="M232" s="14"/>
      <c r="N232" s="33"/>
      <c r="O232" s="33"/>
      <c r="P232" s="58" t="s">
        <v>2</v>
      </c>
      <c r="Q232" s="58" t="s">
        <v>2</v>
      </c>
      <c r="R232" s="14"/>
      <c r="S232" s="14"/>
      <c r="T232" s="14"/>
      <c r="U232" s="14"/>
      <c r="V232" s="33"/>
      <c r="W232" s="33"/>
      <c r="X232" s="58" t="s">
        <v>2</v>
      </c>
      <c r="Y232" s="58" t="s">
        <v>2</v>
      </c>
      <c r="Z232" s="14"/>
      <c r="AA232" s="14"/>
      <c r="AB232" s="14"/>
      <c r="AC232" s="14"/>
      <c r="AD232" s="33"/>
      <c r="AE232" s="33"/>
      <c r="AF232" s="58" t="s">
        <v>2</v>
      </c>
      <c r="AH232" s="16">
        <f t="shared" si="27"/>
        <v>0</v>
      </c>
      <c r="AI232" s="16">
        <f t="shared" si="28"/>
        <v>0</v>
      </c>
    </row>
    <row r="233" spans="1:35" ht="20.100000000000001" hidden="1" customHeight="1">
      <c r="A233" s="18" t="str">
        <f>ÖSSZES!$A$39</f>
        <v>Név14</v>
      </c>
      <c r="B233" s="14"/>
      <c r="C233" s="14"/>
      <c r="D233" s="14"/>
      <c r="E233" s="14"/>
      <c r="F233" s="33"/>
      <c r="G233" s="33"/>
      <c r="H233" s="58" t="s">
        <v>2</v>
      </c>
      <c r="I233" s="58" t="s">
        <v>2</v>
      </c>
      <c r="J233" s="14"/>
      <c r="K233" s="14"/>
      <c r="L233" s="14"/>
      <c r="M233" s="14"/>
      <c r="N233" s="33"/>
      <c r="O233" s="33"/>
      <c r="P233" s="58" t="s">
        <v>2</v>
      </c>
      <c r="Q233" s="58" t="s">
        <v>2</v>
      </c>
      <c r="R233" s="14"/>
      <c r="S233" s="14"/>
      <c r="T233" s="14"/>
      <c r="U233" s="14"/>
      <c r="V233" s="33"/>
      <c r="W233" s="33"/>
      <c r="X233" s="58" t="s">
        <v>2</v>
      </c>
      <c r="Y233" s="58" t="s">
        <v>2</v>
      </c>
      <c r="Z233" s="14"/>
      <c r="AA233" s="14"/>
      <c r="AB233" s="14"/>
      <c r="AC233" s="14"/>
      <c r="AD233" s="33"/>
      <c r="AE233" s="33"/>
      <c r="AF233" s="58" t="s">
        <v>2</v>
      </c>
      <c r="AH233" s="16">
        <f t="shared" si="27"/>
        <v>0</v>
      </c>
      <c r="AI233" s="16">
        <f t="shared" si="28"/>
        <v>0</v>
      </c>
    </row>
    <row r="234" spans="1:35" ht="20.100000000000001" hidden="1" customHeight="1">
      <c r="A234" s="18" t="str">
        <f>ÖSSZES!$A$40</f>
        <v>Név15</v>
      </c>
      <c r="B234" s="14"/>
      <c r="C234" s="14"/>
      <c r="D234" s="14"/>
      <c r="E234" s="14"/>
      <c r="F234" s="33"/>
      <c r="G234" s="33"/>
      <c r="H234" s="58" t="s">
        <v>2</v>
      </c>
      <c r="I234" s="58" t="s">
        <v>2</v>
      </c>
      <c r="J234" s="14"/>
      <c r="K234" s="14"/>
      <c r="L234" s="14"/>
      <c r="M234" s="14"/>
      <c r="N234" s="33"/>
      <c r="O234" s="33"/>
      <c r="P234" s="58" t="s">
        <v>2</v>
      </c>
      <c r="Q234" s="58" t="s">
        <v>2</v>
      </c>
      <c r="R234" s="14"/>
      <c r="S234" s="14"/>
      <c r="T234" s="14"/>
      <c r="U234" s="14"/>
      <c r="V234" s="33"/>
      <c r="W234" s="33"/>
      <c r="X234" s="58" t="s">
        <v>2</v>
      </c>
      <c r="Y234" s="58" t="s">
        <v>2</v>
      </c>
      <c r="Z234" s="14"/>
      <c r="AA234" s="14"/>
      <c r="AB234" s="14"/>
      <c r="AC234" s="14"/>
      <c r="AD234" s="33"/>
      <c r="AE234" s="33"/>
      <c r="AF234" s="58" t="s">
        <v>2</v>
      </c>
      <c r="AH234" s="16">
        <f t="shared" si="27"/>
        <v>0</v>
      </c>
      <c r="AI234" s="16">
        <f t="shared" si="28"/>
        <v>0</v>
      </c>
    </row>
    <row r="235" spans="1:35" ht="20.100000000000001" hidden="1" customHeight="1">
      <c r="A235" s="18" t="str">
        <f>ÖSSZES!$A$41</f>
        <v>Név16</v>
      </c>
      <c r="B235" s="14"/>
      <c r="C235" s="14"/>
      <c r="D235" s="14"/>
      <c r="E235" s="14"/>
      <c r="F235" s="33"/>
      <c r="G235" s="33"/>
      <c r="H235" s="58" t="s">
        <v>2</v>
      </c>
      <c r="I235" s="58" t="s">
        <v>2</v>
      </c>
      <c r="J235" s="14"/>
      <c r="K235" s="14"/>
      <c r="L235" s="14"/>
      <c r="M235" s="14"/>
      <c r="N235" s="33"/>
      <c r="O235" s="33"/>
      <c r="P235" s="58" t="s">
        <v>2</v>
      </c>
      <c r="Q235" s="58" t="s">
        <v>2</v>
      </c>
      <c r="R235" s="14"/>
      <c r="S235" s="14"/>
      <c r="T235" s="14"/>
      <c r="U235" s="14"/>
      <c r="V235" s="33"/>
      <c r="W235" s="33"/>
      <c r="X235" s="58" t="s">
        <v>2</v>
      </c>
      <c r="Y235" s="58" t="s">
        <v>2</v>
      </c>
      <c r="Z235" s="14"/>
      <c r="AA235" s="14"/>
      <c r="AB235" s="14"/>
      <c r="AC235" s="14"/>
      <c r="AD235" s="33"/>
      <c r="AE235" s="33"/>
      <c r="AF235" s="58" t="s">
        <v>2</v>
      </c>
      <c r="AH235" s="16">
        <f t="shared" si="27"/>
        <v>0</v>
      </c>
      <c r="AI235" s="16">
        <f t="shared" si="28"/>
        <v>0</v>
      </c>
    </row>
    <row r="236" spans="1:35" ht="20.100000000000001" hidden="1" customHeight="1">
      <c r="A236" s="18" t="str">
        <f>ÖSSZES!$A$42</f>
        <v>Név17</v>
      </c>
      <c r="B236" s="14"/>
      <c r="C236" s="14"/>
      <c r="D236" s="14"/>
      <c r="E236" s="14"/>
      <c r="F236" s="33"/>
      <c r="G236" s="33"/>
      <c r="H236" s="58" t="s">
        <v>2</v>
      </c>
      <c r="I236" s="58" t="s">
        <v>2</v>
      </c>
      <c r="J236" s="14"/>
      <c r="K236" s="14"/>
      <c r="L236" s="14"/>
      <c r="M236" s="14"/>
      <c r="N236" s="33"/>
      <c r="O236" s="33"/>
      <c r="P236" s="58" t="s">
        <v>2</v>
      </c>
      <c r="Q236" s="58" t="s">
        <v>2</v>
      </c>
      <c r="R236" s="14"/>
      <c r="S236" s="14"/>
      <c r="T236" s="14"/>
      <c r="U236" s="14"/>
      <c r="V236" s="33"/>
      <c r="W236" s="33"/>
      <c r="X236" s="58" t="s">
        <v>2</v>
      </c>
      <c r="Y236" s="58" t="s">
        <v>2</v>
      </c>
      <c r="Z236" s="14"/>
      <c r="AA236" s="14"/>
      <c r="AB236" s="14"/>
      <c r="AC236" s="14"/>
      <c r="AD236" s="33"/>
      <c r="AE236" s="33"/>
      <c r="AF236" s="58" t="s">
        <v>2</v>
      </c>
      <c r="AH236" s="16">
        <f t="shared" si="27"/>
        <v>0</v>
      </c>
      <c r="AI236" s="16">
        <f t="shared" si="28"/>
        <v>0</v>
      </c>
    </row>
    <row r="237" spans="1:35" ht="20.100000000000001" hidden="1" customHeight="1">
      <c r="A237" s="18" t="str">
        <f>ÖSSZES!$A$43</f>
        <v>Név18</v>
      </c>
      <c r="B237" s="14"/>
      <c r="C237" s="14"/>
      <c r="D237" s="14"/>
      <c r="E237" s="14"/>
      <c r="F237" s="33"/>
      <c r="G237" s="33"/>
      <c r="H237" s="58" t="s">
        <v>2</v>
      </c>
      <c r="I237" s="58" t="s">
        <v>2</v>
      </c>
      <c r="J237" s="14"/>
      <c r="K237" s="14"/>
      <c r="L237" s="14"/>
      <c r="M237" s="14"/>
      <c r="N237" s="33"/>
      <c r="O237" s="33"/>
      <c r="P237" s="58" t="s">
        <v>2</v>
      </c>
      <c r="Q237" s="58" t="s">
        <v>2</v>
      </c>
      <c r="R237" s="14"/>
      <c r="S237" s="14"/>
      <c r="T237" s="14"/>
      <c r="U237" s="14"/>
      <c r="V237" s="33"/>
      <c r="W237" s="33"/>
      <c r="X237" s="58" t="s">
        <v>2</v>
      </c>
      <c r="Y237" s="58" t="s">
        <v>2</v>
      </c>
      <c r="Z237" s="14"/>
      <c r="AA237" s="14"/>
      <c r="AB237" s="14"/>
      <c r="AC237" s="14"/>
      <c r="AD237" s="33"/>
      <c r="AE237" s="33"/>
      <c r="AF237" s="58" t="s">
        <v>2</v>
      </c>
      <c r="AH237" s="16">
        <f t="shared" si="27"/>
        <v>0</v>
      </c>
      <c r="AI237" s="16">
        <f t="shared" si="28"/>
        <v>0</v>
      </c>
    </row>
    <row r="238" spans="1:35" ht="20.100000000000001" hidden="1" customHeight="1">
      <c r="A238" s="18" t="str">
        <f>ÖSSZES!$A$44</f>
        <v>Név19</v>
      </c>
      <c r="B238" s="14"/>
      <c r="C238" s="14"/>
      <c r="D238" s="14"/>
      <c r="E238" s="14"/>
      <c r="F238" s="33"/>
      <c r="G238" s="33"/>
      <c r="H238" s="58" t="s">
        <v>2</v>
      </c>
      <c r="I238" s="58" t="s">
        <v>2</v>
      </c>
      <c r="J238" s="14"/>
      <c r="K238" s="14"/>
      <c r="L238" s="14"/>
      <c r="M238" s="14"/>
      <c r="N238" s="33"/>
      <c r="O238" s="33"/>
      <c r="P238" s="58" t="s">
        <v>2</v>
      </c>
      <c r="Q238" s="58" t="s">
        <v>2</v>
      </c>
      <c r="R238" s="14"/>
      <c r="S238" s="14"/>
      <c r="T238" s="14"/>
      <c r="U238" s="14"/>
      <c r="V238" s="33"/>
      <c r="W238" s="33"/>
      <c r="X238" s="58" t="s">
        <v>2</v>
      </c>
      <c r="Y238" s="58" t="s">
        <v>2</v>
      </c>
      <c r="Z238" s="14"/>
      <c r="AA238" s="14"/>
      <c r="AB238" s="14"/>
      <c r="AC238" s="14"/>
      <c r="AD238" s="33"/>
      <c r="AE238" s="33"/>
      <c r="AF238" s="58" t="s">
        <v>2</v>
      </c>
      <c r="AH238" s="16">
        <f t="shared" si="27"/>
        <v>0</v>
      </c>
      <c r="AI238" s="16">
        <f t="shared" si="28"/>
        <v>0</v>
      </c>
    </row>
    <row r="239" spans="1:35" ht="20.100000000000001" hidden="1" customHeight="1">
      <c r="A239" s="18" t="str">
        <f>ÖSSZES!$A$45</f>
        <v>Név20</v>
      </c>
      <c r="B239" s="14"/>
      <c r="C239" s="14"/>
      <c r="D239" s="14"/>
      <c r="E239" s="14"/>
      <c r="F239" s="33"/>
      <c r="G239" s="33"/>
      <c r="H239" s="58" t="s">
        <v>2</v>
      </c>
      <c r="I239" s="58" t="s">
        <v>2</v>
      </c>
      <c r="J239" s="14"/>
      <c r="K239" s="14"/>
      <c r="L239" s="14"/>
      <c r="M239" s="14"/>
      <c r="N239" s="33"/>
      <c r="O239" s="33"/>
      <c r="P239" s="58" t="s">
        <v>2</v>
      </c>
      <c r="Q239" s="58" t="s">
        <v>2</v>
      </c>
      <c r="R239" s="14"/>
      <c r="S239" s="14"/>
      <c r="T239" s="14"/>
      <c r="U239" s="14"/>
      <c r="V239" s="33"/>
      <c r="W239" s="33"/>
      <c r="X239" s="58" t="s">
        <v>2</v>
      </c>
      <c r="Y239" s="58" t="s">
        <v>2</v>
      </c>
      <c r="Z239" s="14"/>
      <c r="AA239" s="14"/>
      <c r="AB239" s="14"/>
      <c r="AC239" s="14"/>
      <c r="AD239" s="33"/>
      <c r="AE239" s="33"/>
      <c r="AF239" s="58" t="s">
        <v>2</v>
      </c>
      <c r="AH239" s="16">
        <f t="shared" si="27"/>
        <v>0</v>
      </c>
      <c r="AI239" s="16">
        <f t="shared" si="28"/>
        <v>0</v>
      </c>
    </row>
    <row r="240" spans="1:35" ht="20.100000000000001" customHeight="1">
      <c r="A240" s="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H240" s="9"/>
      <c r="AI240" s="9"/>
    </row>
    <row r="241" spans="1:35" s="6" customFormat="1" ht="20.100000000000001" customHeight="1">
      <c r="A241" s="91" t="s">
        <v>15</v>
      </c>
      <c r="B241" s="19">
        <v>1</v>
      </c>
      <c r="C241" s="17">
        <v>2</v>
      </c>
      <c r="D241" s="17">
        <v>3</v>
      </c>
      <c r="E241" s="17">
        <v>4</v>
      </c>
      <c r="F241" s="17">
        <v>5</v>
      </c>
      <c r="G241" s="17">
        <v>6</v>
      </c>
      <c r="H241" s="17">
        <v>7</v>
      </c>
      <c r="I241" s="17">
        <v>8</v>
      </c>
      <c r="J241" s="17">
        <v>9</v>
      </c>
      <c r="K241" s="17">
        <v>10</v>
      </c>
      <c r="L241" s="17">
        <v>11</v>
      </c>
      <c r="M241" s="17">
        <v>12</v>
      </c>
      <c r="N241" s="17">
        <v>13</v>
      </c>
      <c r="O241" s="17">
        <v>14</v>
      </c>
      <c r="P241" s="17">
        <v>15</v>
      </c>
      <c r="Q241" s="17">
        <v>16</v>
      </c>
      <c r="R241" s="17">
        <v>17</v>
      </c>
      <c r="S241" s="17">
        <v>18</v>
      </c>
      <c r="T241" s="17">
        <v>19</v>
      </c>
      <c r="U241" s="17">
        <v>20</v>
      </c>
      <c r="V241" s="17">
        <v>21</v>
      </c>
      <c r="W241" s="17">
        <v>22</v>
      </c>
      <c r="X241" s="17">
        <v>23</v>
      </c>
      <c r="Y241" s="17">
        <v>24</v>
      </c>
      <c r="Z241" s="17">
        <v>25</v>
      </c>
      <c r="AA241" s="17">
        <v>26</v>
      </c>
      <c r="AB241" s="17">
        <v>27</v>
      </c>
      <c r="AC241" s="17">
        <v>28</v>
      </c>
      <c r="AD241" s="17">
        <v>29</v>
      </c>
      <c r="AE241" s="17">
        <v>30</v>
      </c>
      <c r="AH241" s="93" t="s">
        <v>18</v>
      </c>
      <c r="AI241" s="93" t="s">
        <v>19</v>
      </c>
    </row>
    <row r="242" spans="1:35" ht="20.100000000000001" customHeight="1">
      <c r="A242" s="92"/>
      <c r="B242" s="10" t="str">
        <f>'2020'!B84</f>
        <v>V</v>
      </c>
      <c r="C242" s="10" t="str">
        <f>'2020'!C84</f>
        <v>H</v>
      </c>
      <c r="D242" s="10" t="str">
        <f>'2020'!D84</f>
        <v>K</v>
      </c>
      <c r="E242" s="10" t="str">
        <f>'2020'!E84</f>
        <v>Sze</v>
      </c>
      <c r="F242" s="10" t="str">
        <f>'2020'!F84</f>
        <v>Cs</v>
      </c>
      <c r="G242" s="10" t="str">
        <f>'2020'!G84</f>
        <v>P</v>
      </c>
      <c r="H242" s="10" t="str">
        <f>'2020'!H84</f>
        <v>Szo</v>
      </c>
      <c r="I242" s="10" t="str">
        <f>'2020'!I84</f>
        <v>V</v>
      </c>
      <c r="J242" s="10" t="str">
        <f>'2020'!J84</f>
        <v>H</v>
      </c>
      <c r="K242" s="10" t="str">
        <f>'2020'!K84</f>
        <v>K</v>
      </c>
      <c r="L242" s="10" t="str">
        <f>'2020'!L84</f>
        <v>Sze</v>
      </c>
      <c r="M242" s="10" t="str">
        <f>'2020'!M84</f>
        <v>Cs</v>
      </c>
      <c r="N242" s="10" t="str">
        <f>'2020'!N84</f>
        <v>P</v>
      </c>
      <c r="O242" s="10" t="str">
        <f>'2020'!O84</f>
        <v>Szo</v>
      </c>
      <c r="P242" s="10" t="str">
        <f>'2020'!P84</f>
        <v>V</v>
      </c>
      <c r="Q242" s="10" t="str">
        <f>'2020'!Q84</f>
        <v>H</v>
      </c>
      <c r="R242" s="10" t="str">
        <f>'2020'!R84</f>
        <v>K</v>
      </c>
      <c r="S242" s="10" t="str">
        <f>'2020'!S84</f>
        <v>Sze</v>
      </c>
      <c r="T242" s="10" t="str">
        <f>'2020'!T84</f>
        <v>Cs</v>
      </c>
      <c r="U242" s="10" t="str">
        <f>'2020'!U84</f>
        <v>P</v>
      </c>
      <c r="V242" s="10" t="str">
        <f>'2020'!V84</f>
        <v>Szo</v>
      </c>
      <c r="W242" s="10" t="str">
        <f>'2020'!W84</f>
        <v>V</v>
      </c>
      <c r="X242" s="10" t="str">
        <f>'2020'!X84</f>
        <v>H</v>
      </c>
      <c r="Y242" s="10" t="str">
        <f>'2020'!Y84</f>
        <v>K</v>
      </c>
      <c r="Z242" s="10" t="str">
        <f>'2020'!Z84</f>
        <v>Sze</v>
      </c>
      <c r="AA242" s="10" t="str">
        <f>'2020'!AA84</f>
        <v>Cs</v>
      </c>
      <c r="AB242" s="10" t="str">
        <f>'2020'!AB84</f>
        <v>P</v>
      </c>
      <c r="AC242" s="10" t="str">
        <f>'2020'!AC84</f>
        <v>Szo</v>
      </c>
      <c r="AD242" s="10" t="str">
        <f>'2020'!AD84</f>
        <v>V</v>
      </c>
      <c r="AE242" s="10" t="str">
        <f>'2020'!AE84</f>
        <v>H</v>
      </c>
      <c r="AF242" s="1"/>
      <c r="AH242" s="94"/>
      <c r="AI242" s="94"/>
    </row>
    <row r="243" spans="1:35" ht="20.100000000000001" customHeight="1">
      <c r="A243" s="92"/>
      <c r="B243" s="10" t="str">
        <f>'2020'!B86</f>
        <v>X</v>
      </c>
      <c r="C243" s="10">
        <f>'2020'!C86</f>
        <v>1</v>
      </c>
      <c r="D243" s="10">
        <f>'2020'!D86</f>
        <v>1</v>
      </c>
      <c r="E243" s="10">
        <f>'2020'!E86</f>
        <v>1</v>
      </c>
      <c r="F243" s="10">
        <f>'2020'!F86</f>
        <v>1</v>
      </c>
      <c r="G243" s="10">
        <f>'2020'!G86</f>
        <v>1</v>
      </c>
      <c r="H243" s="10">
        <f>'2020'!H86</f>
        <v>1</v>
      </c>
      <c r="I243" s="10" t="str">
        <f>'2020'!I86</f>
        <v>X</v>
      </c>
      <c r="J243" s="10" t="str">
        <f>'2020'!J86</f>
        <v>X</v>
      </c>
      <c r="K243" s="10">
        <f>'2020'!K86</f>
        <v>3</v>
      </c>
      <c r="L243" s="10">
        <f>'2020'!L86</f>
        <v>3</v>
      </c>
      <c r="M243" s="10">
        <f>'2020'!M86</f>
        <v>3</v>
      </c>
      <c r="N243" s="10">
        <f>'2020'!N86</f>
        <v>3</v>
      </c>
      <c r="O243" s="10">
        <f>'2020'!O86</f>
        <v>3</v>
      </c>
      <c r="P243" s="10">
        <f>'2020'!P86</f>
        <v>3</v>
      </c>
      <c r="Q243" s="10" t="str">
        <f>'2020'!Q86</f>
        <v>X</v>
      </c>
      <c r="R243" s="10" t="str">
        <f>'2020'!R86</f>
        <v>X</v>
      </c>
      <c r="S243" s="10">
        <f>'2020'!S86</f>
        <v>2</v>
      </c>
      <c r="T243" s="10">
        <f>'2020'!T86</f>
        <v>2</v>
      </c>
      <c r="U243" s="10">
        <f>'2020'!U86</f>
        <v>2</v>
      </c>
      <c r="V243" s="10">
        <f>'2020'!V86</f>
        <v>2</v>
      </c>
      <c r="W243" s="10">
        <f>'2020'!W86</f>
        <v>2</v>
      </c>
      <c r="X243" s="10">
        <f>'2020'!X86</f>
        <v>2</v>
      </c>
      <c r="Y243" s="10" t="str">
        <f>'2020'!Y86</f>
        <v>X</v>
      </c>
      <c r="Z243" s="10" t="str">
        <f>'2020'!Z86</f>
        <v>X</v>
      </c>
      <c r="AA243" s="10">
        <f>'2020'!AA86</f>
        <v>1</v>
      </c>
      <c r="AB243" s="10">
        <f>'2020'!AB86</f>
        <v>1</v>
      </c>
      <c r="AC243" s="10">
        <f>'2020'!AC86</f>
        <v>1</v>
      </c>
      <c r="AD243" s="10">
        <f>'2020'!AD86</f>
        <v>1</v>
      </c>
      <c r="AE243" s="10">
        <f>'2020'!AE86</f>
        <v>1</v>
      </c>
      <c r="AF243" s="1"/>
      <c r="AH243" s="94"/>
      <c r="AI243" s="94"/>
    </row>
    <row r="244" spans="1:35" ht="20.100000000000001" customHeight="1">
      <c r="A244" s="18" t="str">
        <f>ÖSSZES!$A$26</f>
        <v>Katona László</v>
      </c>
      <c r="B244" s="58" t="s">
        <v>2</v>
      </c>
      <c r="C244" s="14"/>
      <c r="D244" s="14"/>
      <c r="E244" s="14"/>
      <c r="F244" s="14"/>
      <c r="G244" s="33"/>
      <c r="H244" s="33"/>
      <c r="I244" s="58" t="s">
        <v>2</v>
      </c>
      <c r="J244" s="58" t="s">
        <v>2</v>
      </c>
      <c r="K244" s="14"/>
      <c r="L244" s="14"/>
      <c r="M244" s="14"/>
      <c r="N244" s="14"/>
      <c r="O244" s="33"/>
      <c r="P244" s="33"/>
      <c r="Q244" s="58" t="s">
        <v>2</v>
      </c>
      <c r="R244" s="58" t="s">
        <v>2</v>
      </c>
      <c r="S244" s="14"/>
      <c r="T244" s="14"/>
      <c r="U244" s="14"/>
      <c r="V244" s="14"/>
      <c r="W244" s="33"/>
      <c r="X244" s="33"/>
      <c r="Y244" s="58" t="s">
        <v>2</v>
      </c>
      <c r="Z244" s="58" t="s">
        <v>2</v>
      </c>
      <c r="AA244" s="14"/>
      <c r="AB244" s="14"/>
      <c r="AC244" s="14"/>
      <c r="AD244" s="14"/>
      <c r="AE244" s="33"/>
      <c r="AF244" s="1"/>
      <c r="AH244" s="16">
        <f>1*COUNTIF(A244:AF244,"+")</f>
        <v>0</v>
      </c>
      <c r="AI244" s="16">
        <f t="shared" ref="AI244" si="29">1*COUNTIF(B244:AF244,"szf")</f>
        <v>0</v>
      </c>
    </row>
    <row r="245" spans="1:35" ht="20.100000000000001" customHeight="1">
      <c r="A245" s="18" t="str">
        <f>ÖSSZES!$A$27</f>
        <v>Kiss János Tamás</v>
      </c>
      <c r="B245" s="58" t="s">
        <v>2</v>
      </c>
      <c r="C245" s="14"/>
      <c r="D245" s="14"/>
      <c r="E245" s="14"/>
      <c r="F245" s="14"/>
      <c r="G245" s="33"/>
      <c r="H245" s="33"/>
      <c r="I245" s="58" t="s">
        <v>2</v>
      </c>
      <c r="J245" s="58" t="s">
        <v>2</v>
      </c>
      <c r="K245" s="14"/>
      <c r="L245" s="14"/>
      <c r="M245" s="14"/>
      <c r="N245" s="14"/>
      <c r="O245" s="33"/>
      <c r="P245" s="33"/>
      <c r="Q245" s="58" t="s">
        <v>2</v>
      </c>
      <c r="R245" s="58" t="s">
        <v>2</v>
      </c>
      <c r="S245" s="14"/>
      <c r="T245" s="14"/>
      <c r="U245" s="14"/>
      <c r="V245" s="14"/>
      <c r="W245" s="33"/>
      <c r="X245" s="33"/>
      <c r="Y245" s="58" t="s">
        <v>2</v>
      </c>
      <c r="Z245" s="58" t="s">
        <v>2</v>
      </c>
      <c r="AA245" s="14"/>
      <c r="AB245" s="14"/>
      <c r="AC245" s="14"/>
      <c r="AD245" s="14"/>
      <c r="AE245" s="33"/>
      <c r="AF245" s="1"/>
      <c r="AH245" s="16">
        <f t="shared" ref="AH245:AH263" si="30">1*COUNTIF(A245:AF245,"+")</f>
        <v>0</v>
      </c>
      <c r="AI245" s="16">
        <f t="shared" ref="AI245:AI263" si="31">1*COUNTIF(B245:AF245,"szf")</f>
        <v>0</v>
      </c>
    </row>
    <row r="246" spans="1:35" ht="20.100000000000001" customHeight="1">
      <c r="A246" s="18" t="str">
        <f>ÖSSZES!$A$28</f>
        <v>Habara Gábor</v>
      </c>
      <c r="B246" s="58" t="s">
        <v>2</v>
      </c>
      <c r="C246" s="14"/>
      <c r="D246" s="14"/>
      <c r="E246" s="14"/>
      <c r="F246" s="14"/>
      <c r="G246" s="33"/>
      <c r="H246" s="33"/>
      <c r="I246" s="58" t="s">
        <v>2</v>
      </c>
      <c r="J246" s="58" t="s">
        <v>2</v>
      </c>
      <c r="K246" s="14"/>
      <c r="L246" s="14"/>
      <c r="M246" s="14"/>
      <c r="N246" s="14"/>
      <c r="O246" s="33"/>
      <c r="P246" s="33"/>
      <c r="Q246" s="58" t="s">
        <v>2</v>
      </c>
      <c r="R246" s="58" t="s">
        <v>2</v>
      </c>
      <c r="S246" s="14"/>
      <c r="T246" s="14"/>
      <c r="U246" s="14"/>
      <c r="V246" s="14"/>
      <c r="W246" s="33"/>
      <c r="X246" s="33"/>
      <c r="Y246" s="58" t="s">
        <v>2</v>
      </c>
      <c r="Z246" s="58" t="s">
        <v>2</v>
      </c>
      <c r="AA246" s="14"/>
      <c r="AB246" s="14"/>
      <c r="AC246" s="14"/>
      <c r="AD246" s="14"/>
      <c r="AE246" s="33"/>
      <c r="AF246" s="1"/>
      <c r="AH246" s="16">
        <f t="shared" si="30"/>
        <v>0</v>
      </c>
      <c r="AI246" s="16">
        <f t="shared" si="31"/>
        <v>0</v>
      </c>
    </row>
    <row r="247" spans="1:35" ht="20.100000000000001" customHeight="1">
      <c r="A247" s="18" t="str">
        <f>ÖSSZES!$A$29</f>
        <v>Holba Imre</v>
      </c>
      <c r="B247" s="58" t="s">
        <v>2</v>
      </c>
      <c r="C247" s="14"/>
      <c r="D247" s="14"/>
      <c r="E247" s="14"/>
      <c r="F247" s="14"/>
      <c r="G247" s="33"/>
      <c r="H247" s="33"/>
      <c r="I247" s="58" t="s">
        <v>2</v>
      </c>
      <c r="J247" s="58" t="s">
        <v>2</v>
      </c>
      <c r="K247" s="14"/>
      <c r="L247" s="14"/>
      <c r="M247" s="14"/>
      <c r="N247" s="14"/>
      <c r="O247" s="33"/>
      <c r="P247" s="33"/>
      <c r="Q247" s="58" t="s">
        <v>2</v>
      </c>
      <c r="R247" s="58" t="s">
        <v>2</v>
      </c>
      <c r="S247" s="14"/>
      <c r="T247" s="14"/>
      <c r="U247" s="14"/>
      <c r="V247" s="14"/>
      <c r="W247" s="33"/>
      <c r="X247" s="33"/>
      <c r="Y247" s="58" t="s">
        <v>2</v>
      </c>
      <c r="Z247" s="58" t="s">
        <v>2</v>
      </c>
      <c r="AA247" s="14"/>
      <c r="AB247" s="14"/>
      <c r="AC247" s="14"/>
      <c r="AD247" s="14"/>
      <c r="AE247" s="33"/>
      <c r="AF247" s="1"/>
      <c r="AH247" s="16">
        <f t="shared" si="30"/>
        <v>0</v>
      </c>
      <c r="AI247" s="16">
        <f t="shared" si="31"/>
        <v>0</v>
      </c>
    </row>
    <row r="248" spans="1:35" ht="20.100000000000001" customHeight="1">
      <c r="A248" s="18" t="str">
        <f>ÖSSZES!$A$30</f>
        <v>Keresztes Gyula</v>
      </c>
      <c r="B248" s="58" t="s">
        <v>2</v>
      </c>
      <c r="C248" s="14"/>
      <c r="D248" s="14"/>
      <c r="E248" s="14"/>
      <c r="F248" s="14"/>
      <c r="G248" s="33"/>
      <c r="H248" s="33"/>
      <c r="I248" s="58" t="s">
        <v>2</v>
      </c>
      <c r="J248" s="58" t="s">
        <v>2</v>
      </c>
      <c r="K248" s="14"/>
      <c r="L248" s="14"/>
      <c r="M248" s="14"/>
      <c r="N248" s="14"/>
      <c r="O248" s="33"/>
      <c r="P248" s="33"/>
      <c r="Q248" s="58" t="s">
        <v>2</v>
      </c>
      <c r="R248" s="58" t="s">
        <v>2</v>
      </c>
      <c r="S248" s="14"/>
      <c r="T248" s="14"/>
      <c r="U248" s="14"/>
      <c r="V248" s="14"/>
      <c r="W248" s="33"/>
      <c r="X248" s="33"/>
      <c r="Y248" s="58" t="s">
        <v>2</v>
      </c>
      <c r="Z248" s="58" t="s">
        <v>2</v>
      </c>
      <c r="AA248" s="14"/>
      <c r="AB248" s="14"/>
      <c r="AC248" s="14"/>
      <c r="AD248" s="14"/>
      <c r="AE248" s="33"/>
      <c r="AF248" s="1"/>
      <c r="AH248" s="16">
        <f t="shared" si="30"/>
        <v>0</v>
      </c>
      <c r="AI248" s="16">
        <f t="shared" si="31"/>
        <v>0</v>
      </c>
    </row>
    <row r="249" spans="1:35" ht="20.100000000000001" customHeight="1">
      <c r="A249" s="18" t="str">
        <f>ÖSSZES!$A$31</f>
        <v>Király Bálint Donát</v>
      </c>
      <c r="B249" s="58" t="s">
        <v>2</v>
      </c>
      <c r="C249" s="14"/>
      <c r="D249" s="14"/>
      <c r="E249" s="14"/>
      <c r="F249" s="14"/>
      <c r="G249" s="33"/>
      <c r="H249" s="33"/>
      <c r="I249" s="58" t="s">
        <v>2</v>
      </c>
      <c r="J249" s="58" t="s">
        <v>2</v>
      </c>
      <c r="K249" s="14"/>
      <c r="L249" s="14"/>
      <c r="M249" s="14"/>
      <c r="N249" s="14"/>
      <c r="O249" s="33"/>
      <c r="P249" s="33"/>
      <c r="Q249" s="58" t="s">
        <v>2</v>
      </c>
      <c r="R249" s="58" t="s">
        <v>2</v>
      </c>
      <c r="S249" s="14"/>
      <c r="T249" s="14"/>
      <c r="U249" s="14"/>
      <c r="V249" s="14"/>
      <c r="W249" s="33"/>
      <c r="X249" s="33"/>
      <c r="Y249" s="58" t="s">
        <v>2</v>
      </c>
      <c r="Z249" s="58" t="s">
        <v>2</v>
      </c>
      <c r="AA249" s="14"/>
      <c r="AB249" s="14"/>
      <c r="AC249" s="14"/>
      <c r="AD249" s="14"/>
      <c r="AE249" s="33"/>
      <c r="AF249" s="1"/>
      <c r="AH249" s="16">
        <f t="shared" si="30"/>
        <v>0</v>
      </c>
      <c r="AI249" s="16">
        <f t="shared" si="31"/>
        <v>0</v>
      </c>
    </row>
    <row r="250" spans="1:35" ht="20.100000000000001" customHeight="1">
      <c r="A250" s="18" t="str">
        <f>ÖSSZES!$A$32</f>
        <v>Mezei Lajos</v>
      </c>
      <c r="B250" s="58" t="s">
        <v>2</v>
      </c>
      <c r="C250" s="14"/>
      <c r="D250" s="14"/>
      <c r="E250" s="14"/>
      <c r="F250" s="14"/>
      <c r="G250" s="33"/>
      <c r="H250" s="33"/>
      <c r="I250" s="58" t="s">
        <v>2</v>
      </c>
      <c r="J250" s="58" t="s">
        <v>2</v>
      </c>
      <c r="K250" s="14"/>
      <c r="L250" s="14"/>
      <c r="M250" s="14"/>
      <c r="N250" s="14"/>
      <c r="O250" s="33"/>
      <c r="P250" s="33"/>
      <c r="Q250" s="58" t="s">
        <v>2</v>
      </c>
      <c r="R250" s="58" t="s">
        <v>2</v>
      </c>
      <c r="S250" s="14"/>
      <c r="T250" s="14"/>
      <c r="U250" s="14"/>
      <c r="V250" s="14"/>
      <c r="W250" s="33"/>
      <c r="X250" s="33"/>
      <c r="Y250" s="58" t="s">
        <v>2</v>
      </c>
      <c r="Z250" s="58" t="s">
        <v>2</v>
      </c>
      <c r="AA250" s="14"/>
      <c r="AB250" s="14"/>
      <c r="AC250" s="14"/>
      <c r="AD250" s="14"/>
      <c r="AE250" s="33"/>
      <c r="AF250" s="1"/>
      <c r="AH250" s="16">
        <f t="shared" si="30"/>
        <v>0</v>
      </c>
      <c r="AI250" s="16">
        <f t="shared" si="31"/>
        <v>0</v>
      </c>
    </row>
    <row r="251" spans="1:35" ht="20.100000000000001" hidden="1" customHeight="1">
      <c r="A251" s="18" t="str">
        <f>ÖSSZES!$A$33</f>
        <v>Fényi László</v>
      </c>
      <c r="B251" s="58" t="s">
        <v>2</v>
      </c>
      <c r="C251" s="14"/>
      <c r="D251" s="14"/>
      <c r="E251" s="14"/>
      <c r="F251" s="14"/>
      <c r="G251" s="33"/>
      <c r="H251" s="33"/>
      <c r="I251" s="58" t="s">
        <v>2</v>
      </c>
      <c r="J251" s="58" t="s">
        <v>2</v>
      </c>
      <c r="K251" s="14"/>
      <c r="L251" s="14"/>
      <c r="M251" s="14"/>
      <c r="N251" s="14"/>
      <c r="O251" s="33"/>
      <c r="P251" s="33"/>
      <c r="Q251" s="58" t="s">
        <v>2</v>
      </c>
      <c r="R251" s="58" t="s">
        <v>2</v>
      </c>
      <c r="S251" s="14"/>
      <c r="T251" s="14"/>
      <c r="U251" s="14"/>
      <c r="V251" s="14"/>
      <c r="W251" s="33"/>
      <c r="X251" s="33"/>
      <c r="Y251" s="58" t="s">
        <v>2</v>
      </c>
      <c r="Z251" s="58" t="s">
        <v>2</v>
      </c>
      <c r="AA251" s="14"/>
      <c r="AB251" s="14"/>
      <c r="AC251" s="14"/>
      <c r="AD251" s="14"/>
      <c r="AE251" s="33"/>
      <c r="AF251" s="1"/>
      <c r="AH251" s="16">
        <f t="shared" si="30"/>
        <v>0</v>
      </c>
      <c r="AI251" s="16">
        <f t="shared" si="31"/>
        <v>0</v>
      </c>
    </row>
    <row r="252" spans="1:35" ht="20.100000000000001" hidden="1" customHeight="1">
      <c r="A252" s="18" t="str">
        <f>ÖSSZES!$A$34</f>
        <v>Név9</v>
      </c>
      <c r="B252" s="58" t="s">
        <v>2</v>
      </c>
      <c r="C252" s="14"/>
      <c r="D252" s="14"/>
      <c r="E252" s="14"/>
      <c r="F252" s="14"/>
      <c r="G252" s="33"/>
      <c r="H252" s="33"/>
      <c r="I252" s="58" t="s">
        <v>2</v>
      </c>
      <c r="J252" s="58" t="s">
        <v>2</v>
      </c>
      <c r="K252" s="14"/>
      <c r="L252" s="14"/>
      <c r="M252" s="14"/>
      <c r="N252" s="14"/>
      <c r="O252" s="33"/>
      <c r="P252" s="33"/>
      <c r="Q252" s="58" t="s">
        <v>2</v>
      </c>
      <c r="R252" s="58" t="s">
        <v>2</v>
      </c>
      <c r="S252" s="14"/>
      <c r="T252" s="14"/>
      <c r="U252" s="14"/>
      <c r="V252" s="14"/>
      <c r="W252" s="33"/>
      <c r="X252" s="33"/>
      <c r="Y252" s="58" t="s">
        <v>2</v>
      </c>
      <c r="Z252" s="58" t="s">
        <v>2</v>
      </c>
      <c r="AA252" s="14"/>
      <c r="AB252" s="14"/>
      <c r="AC252" s="14"/>
      <c r="AD252" s="14"/>
      <c r="AE252" s="33"/>
      <c r="AF252" s="1"/>
      <c r="AH252" s="16">
        <f t="shared" si="30"/>
        <v>0</v>
      </c>
      <c r="AI252" s="16">
        <f t="shared" si="31"/>
        <v>0</v>
      </c>
    </row>
    <row r="253" spans="1:35" ht="20.100000000000001" hidden="1" customHeight="1">
      <c r="A253" s="18" t="str">
        <f>ÖSSZES!$A$35</f>
        <v>Név10</v>
      </c>
      <c r="B253" s="58" t="s">
        <v>2</v>
      </c>
      <c r="C253" s="14"/>
      <c r="D253" s="14"/>
      <c r="E253" s="14"/>
      <c r="F253" s="14"/>
      <c r="G253" s="33"/>
      <c r="H253" s="33"/>
      <c r="I253" s="58" t="s">
        <v>2</v>
      </c>
      <c r="J253" s="58" t="s">
        <v>2</v>
      </c>
      <c r="K253" s="14"/>
      <c r="L253" s="14"/>
      <c r="M253" s="14"/>
      <c r="N253" s="14"/>
      <c r="O253" s="33"/>
      <c r="P253" s="33"/>
      <c r="Q253" s="58" t="s">
        <v>2</v>
      </c>
      <c r="R253" s="58" t="s">
        <v>2</v>
      </c>
      <c r="S253" s="14"/>
      <c r="T253" s="14"/>
      <c r="U253" s="14"/>
      <c r="V253" s="14"/>
      <c r="W253" s="33"/>
      <c r="X253" s="33"/>
      <c r="Y253" s="58" t="s">
        <v>2</v>
      </c>
      <c r="Z253" s="58" t="s">
        <v>2</v>
      </c>
      <c r="AA253" s="14"/>
      <c r="AB253" s="14"/>
      <c r="AC253" s="14"/>
      <c r="AD253" s="14"/>
      <c r="AE253" s="33"/>
      <c r="AF253" s="1"/>
      <c r="AH253" s="16">
        <f t="shared" si="30"/>
        <v>0</v>
      </c>
      <c r="AI253" s="16">
        <f t="shared" si="31"/>
        <v>0</v>
      </c>
    </row>
    <row r="254" spans="1:35" ht="20.100000000000001" hidden="1" customHeight="1">
      <c r="A254" s="18" t="str">
        <f>ÖSSZES!$A$36</f>
        <v>Név11</v>
      </c>
      <c r="B254" s="58" t="s">
        <v>2</v>
      </c>
      <c r="C254" s="14"/>
      <c r="D254" s="14"/>
      <c r="E254" s="14"/>
      <c r="F254" s="14"/>
      <c r="G254" s="33"/>
      <c r="H254" s="33"/>
      <c r="I254" s="58" t="s">
        <v>2</v>
      </c>
      <c r="J254" s="58" t="s">
        <v>2</v>
      </c>
      <c r="K254" s="14"/>
      <c r="L254" s="14"/>
      <c r="M254" s="14"/>
      <c r="N254" s="14"/>
      <c r="O254" s="33"/>
      <c r="P254" s="33"/>
      <c r="Q254" s="58" t="s">
        <v>2</v>
      </c>
      <c r="R254" s="58" t="s">
        <v>2</v>
      </c>
      <c r="S254" s="14"/>
      <c r="T254" s="14"/>
      <c r="U254" s="14"/>
      <c r="V254" s="14"/>
      <c r="W254" s="33"/>
      <c r="X254" s="33"/>
      <c r="Y254" s="58" t="s">
        <v>2</v>
      </c>
      <c r="Z254" s="58" t="s">
        <v>2</v>
      </c>
      <c r="AA254" s="14"/>
      <c r="AB254" s="14"/>
      <c r="AC254" s="14"/>
      <c r="AD254" s="14"/>
      <c r="AE254" s="33"/>
      <c r="AF254" s="1"/>
      <c r="AH254" s="16">
        <f t="shared" si="30"/>
        <v>0</v>
      </c>
      <c r="AI254" s="16">
        <f t="shared" si="31"/>
        <v>0</v>
      </c>
    </row>
    <row r="255" spans="1:35" ht="20.100000000000001" hidden="1" customHeight="1">
      <c r="A255" s="18" t="str">
        <f>ÖSSZES!$A$37</f>
        <v>Név12</v>
      </c>
      <c r="B255" s="58" t="s">
        <v>2</v>
      </c>
      <c r="C255" s="14"/>
      <c r="D255" s="14"/>
      <c r="E255" s="14"/>
      <c r="F255" s="14"/>
      <c r="G255" s="33"/>
      <c r="H255" s="33"/>
      <c r="I255" s="58" t="s">
        <v>2</v>
      </c>
      <c r="J255" s="58" t="s">
        <v>2</v>
      </c>
      <c r="K255" s="14"/>
      <c r="L255" s="14"/>
      <c r="M255" s="14"/>
      <c r="N255" s="14"/>
      <c r="O255" s="33"/>
      <c r="P255" s="33"/>
      <c r="Q255" s="58" t="s">
        <v>2</v>
      </c>
      <c r="R255" s="58" t="s">
        <v>2</v>
      </c>
      <c r="S255" s="14"/>
      <c r="T255" s="14"/>
      <c r="U255" s="14"/>
      <c r="V255" s="14"/>
      <c r="W255" s="33"/>
      <c r="X255" s="33"/>
      <c r="Y255" s="58" t="s">
        <v>2</v>
      </c>
      <c r="Z255" s="58" t="s">
        <v>2</v>
      </c>
      <c r="AA255" s="14"/>
      <c r="AB255" s="14"/>
      <c r="AC255" s="14"/>
      <c r="AD255" s="14"/>
      <c r="AE255" s="33"/>
      <c r="AF255" s="1"/>
      <c r="AH255" s="16">
        <f t="shared" si="30"/>
        <v>0</v>
      </c>
      <c r="AI255" s="16">
        <f t="shared" si="31"/>
        <v>0</v>
      </c>
    </row>
    <row r="256" spans="1:35" ht="20.100000000000001" hidden="1" customHeight="1">
      <c r="A256" s="18" t="str">
        <f>ÖSSZES!$A$38</f>
        <v>Név13</v>
      </c>
      <c r="B256" s="58" t="s">
        <v>2</v>
      </c>
      <c r="C256" s="14"/>
      <c r="D256" s="14"/>
      <c r="E256" s="14"/>
      <c r="F256" s="14"/>
      <c r="G256" s="33"/>
      <c r="H256" s="33"/>
      <c r="I256" s="58" t="s">
        <v>2</v>
      </c>
      <c r="J256" s="58" t="s">
        <v>2</v>
      </c>
      <c r="K256" s="14"/>
      <c r="L256" s="14"/>
      <c r="M256" s="14"/>
      <c r="N256" s="14"/>
      <c r="O256" s="33"/>
      <c r="P256" s="33"/>
      <c r="Q256" s="58" t="s">
        <v>2</v>
      </c>
      <c r="R256" s="58" t="s">
        <v>2</v>
      </c>
      <c r="S256" s="14"/>
      <c r="T256" s="14"/>
      <c r="U256" s="14"/>
      <c r="V256" s="14"/>
      <c r="W256" s="33"/>
      <c r="X256" s="33"/>
      <c r="Y256" s="58" t="s">
        <v>2</v>
      </c>
      <c r="Z256" s="58" t="s">
        <v>2</v>
      </c>
      <c r="AA256" s="14"/>
      <c r="AB256" s="14"/>
      <c r="AC256" s="14"/>
      <c r="AD256" s="14"/>
      <c r="AE256" s="33"/>
      <c r="AF256" s="1"/>
      <c r="AH256" s="16">
        <f t="shared" si="30"/>
        <v>0</v>
      </c>
      <c r="AI256" s="16">
        <f t="shared" si="31"/>
        <v>0</v>
      </c>
    </row>
    <row r="257" spans="1:35" ht="20.100000000000001" hidden="1" customHeight="1">
      <c r="A257" s="18" t="str">
        <f>ÖSSZES!$A$39</f>
        <v>Név14</v>
      </c>
      <c r="B257" s="58" t="s">
        <v>2</v>
      </c>
      <c r="C257" s="14"/>
      <c r="D257" s="14"/>
      <c r="E257" s="14"/>
      <c r="F257" s="14"/>
      <c r="G257" s="33"/>
      <c r="H257" s="33"/>
      <c r="I257" s="58" t="s">
        <v>2</v>
      </c>
      <c r="J257" s="58" t="s">
        <v>2</v>
      </c>
      <c r="K257" s="14"/>
      <c r="L257" s="14"/>
      <c r="M257" s="14"/>
      <c r="N257" s="14"/>
      <c r="O257" s="33"/>
      <c r="P257" s="33"/>
      <c r="Q257" s="58" t="s">
        <v>2</v>
      </c>
      <c r="R257" s="58" t="s">
        <v>2</v>
      </c>
      <c r="S257" s="14"/>
      <c r="T257" s="14"/>
      <c r="U257" s="14"/>
      <c r="V257" s="14"/>
      <c r="W257" s="33"/>
      <c r="X257" s="33"/>
      <c r="Y257" s="58" t="s">
        <v>2</v>
      </c>
      <c r="Z257" s="58" t="s">
        <v>2</v>
      </c>
      <c r="AA257" s="14"/>
      <c r="AB257" s="14"/>
      <c r="AC257" s="14"/>
      <c r="AD257" s="14"/>
      <c r="AE257" s="33"/>
      <c r="AF257" s="1"/>
      <c r="AH257" s="16">
        <f t="shared" si="30"/>
        <v>0</v>
      </c>
      <c r="AI257" s="16">
        <f t="shared" si="31"/>
        <v>0</v>
      </c>
    </row>
    <row r="258" spans="1:35" ht="20.100000000000001" hidden="1" customHeight="1">
      <c r="A258" s="18" t="str">
        <f>ÖSSZES!$A$40</f>
        <v>Név15</v>
      </c>
      <c r="B258" s="58" t="s">
        <v>2</v>
      </c>
      <c r="C258" s="14"/>
      <c r="D258" s="14"/>
      <c r="E258" s="14"/>
      <c r="F258" s="14"/>
      <c r="G258" s="33"/>
      <c r="H258" s="33"/>
      <c r="I258" s="58" t="s">
        <v>2</v>
      </c>
      <c r="J258" s="58" t="s">
        <v>2</v>
      </c>
      <c r="K258" s="14"/>
      <c r="L258" s="14"/>
      <c r="M258" s="14"/>
      <c r="N258" s="14"/>
      <c r="O258" s="33"/>
      <c r="P258" s="33"/>
      <c r="Q258" s="58" t="s">
        <v>2</v>
      </c>
      <c r="R258" s="58" t="s">
        <v>2</v>
      </c>
      <c r="S258" s="14"/>
      <c r="T258" s="14"/>
      <c r="U258" s="14"/>
      <c r="V258" s="14"/>
      <c r="W258" s="33"/>
      <c r="X258" s="33"/>
      <c r="Y258" s="58" t="s">
        <v>2</v>
      </c>
      <c r="Z258" s="58" t="s">
        <v>2</v>
      </c>
      <c r="AA258" s="14"/>
      <c r="AB258" s="14"/>
      <c r="AC258" s="14"/>
      <c r="AD258" s="14"/>
      <c r="AE258" s="33"/>
      <c r="AF258" s="1"/>
      <c r="AH258" s="16">
        <f t="shared" si="30"/>
        <v>0</v>
      </c>
      <c r="AI258" s="16">
        <f t="shared" si="31"/>
        <v>0</v>
      </c>
    </row>
    <row r="259" spans="1:35" ht="20.100000000000001" hidden="1" customHeight="1">
      <c r="A259" s="18" t="str">
        <f>ÖSSZES!$A$41</f>
        <v>Név16</v>
      </c>
      <c r="B259" s="58" t="s">
        <v>2</v>
      </c>
      <c r="C259" s="14"/>
      <c r="D259" s="14"/>
      <c r="E259" s="14"/>
      <c r="F259" s="14"/>
      <c r="G259" s="33"/>
      <c r="H259" s="33"/>
      <c r="I259" s="58" t="s">
        <v>2</v>
      </c>
      <c r="J259" s="58" t="s">
        <v>2</v>
      </c>
      <c r="K259" s="14"/>
      <c r="L259" s="14"/>
      <c r="M259" s="14"/>
      <c r="N259" s="14"/>
      <c r="O259" s="33"/>
      <c r="P259" s="33"/>
      <c r="Q259" s="58" t="s">
        <v>2</v>
      </c>
      <c r="R259" s="58" t="s">
        <v>2</v>
      </c>
      <c r="S259" s="14"/>
      <c r="T259" s="14"/>
      <c r="U259" s="14"/>
      <c r="V259" s="14"/>
      <c r="W259" s="33"/>
      <c r="X259" s="33"/>
      <c r="Y259" s="58" t="s">
        <v>2</v>
      </c>
      <c r="Z259" s="58" t="s">
        <v>2</v>
      </c>
      <c r="AA259" s="14"/>
      <c r="AB259" s="14"/>
      <c r="AC259" s="14"/>
      <c r="AD259" s="14"/>
      <c r="AE259" s="33"/>
      <c r="AF259" s="1"/>
      <c r="AH259" s="16">
        <f t="shared" si="30"/>
        <v>0</v>
      </c>
      <c r="AI259" s="16">
        <f t="shared" si="31"/>
        <v>0</v>
      </c>
    </row>
    <row r="260" spans="1:35" ht="20.100000000000001" hidden="1" customHeight="1">
      <c r="A260" s="18" t="str">
        <f>ÖSSZES!$A$42</f>
        <v>Név17</v>
      </c>
      <c r="B260" s="58" t="s">
        <v>2</v>
      </c>
      <c r="C260" s="14"/>
      <c r="D260" s="14"/>
      <c r="E260" s="14"/>
      <c r="F260" s="14"/>
      <c r="G260" s="33"/>
      <c r="H260" s="33"/>
      <c r="I260" s="58" t="s">
        <v>2</v>
      </c>
      <c r="J260" s="58" t="s">
        <v>2</v>
      </c>
      <c r="K260" s="14"/>
      <c r="L260" s="14"/>
      <c r="M260" s="14"/>
      <c r="N260" s="14"/>
      <c r="O260" s="33"/>
      <c r="P260" s="33"/>
      <c r="Q260" s="58" t="s">
        <v>2</v>
      </c>
      <c r="R260" s="58" t="s">
        <v>2</v>
      </c>
      <c r="S260" s="14"/>
      <c r="T260" s="14"/>
      <c r="U260" s="14"/>
      <c r="V260" s="14"/>
      <c r="W260" s="33"/>
      <c r="X260" s="33"/>
      <c r="Y260" s="58" t="s">
        <v>2</v>
      </c>
      <c r="Z260" s="58" t="s">
        <v>2</v>
      </c>
      <c r="AA260" s="14"/>
      <c r="AB260" s="14"/>
      <c r="AC260" s="14"/>
      <c r="AD260" s="14"/>
      <c r="AE260" s="33"/>
      <c r="AF260" s="1"/>
      <c r="AH260" s="16">
        <f t="shared" si="30"/>
        <v>0</v>
      </c>
      <c r="AI260" s="16">
        <f t="shared" si="31"/>
        <v>0</v>
      </c>
    </row>
    <row r="261" spans="1:35" ht="20.100000000000001" hidden="1" customHeight="1">
      <c r="A261" s="18" t="str">
        <f>ÖSSZES!$A$43</f>
        <v>Név18</v>
      </c>
      <c r="B261" s="58" t="s">
        <v>2</v>
      </c>
      <c r="C261" s="14"/>
      <c r="D261" s="14"/>
      <c r="E261" s="14"/>
      <c r="F261" s="14"/>
      <c r="G261" s="33"/>
      <c r="H261" s="33"/>
      <c r="I261" s="58" t="s">
        <v>2</v>
      </c>
      <c r="J261" s="58" t="s">
        <v>2</v>
      </c>
      <c r="K261" s="14"/>
      <c r="L261" s="14"/>
      <c r="M261" s="14"/>
      <c r="N261" s="14"/>
      <c r="O261" s="33"/>
      <c r="P261" s="33"/>
      <c r="Q261" s="58" t="s">
        <v>2</v>
      </c>
      <c r="R261" s="58" t="s">
        <v>2</v>
      </c>
      <c r="S261" s="14"/>
      <c r="T261" s="14"/>
      <c r="U261" s="14"/>
      <c r="V261" s="14"/>
      <c r="W261" s="33"/>
      <c r="X261" s="33"/>
      <c r="Y261" s="58" t="s">
        <v>2</v>
      </c>
      <c r="Z261" s="58" t="s">
        <v>2</v>
      </c>
      <c r="AA261" s="14"/>
      <c r="AB261" s="14"/>
      <c r="AC261" s="14"/>
      <c r="AD261" s="14"/>
      <c r="AE261" s="33"/>
      <c r="AF261" s="1"/>
      <c r="AH261" s="16">
        <f t="shared" si="30"/>
        <v>0</v>
      </c>
      <c r="AI261" s="16">
        <f t="shared" si="31"/>
        <v>0</v>
      </c>
    </row>
    <row r="262" spans="1:35" ht="20.100000000000001" hidden="1" customHeight="1">
      <c r="A262" s="18" t="str">
        <f>ÖSSZES!$A$44</f>
        <v>Név19</v>
      </c>
      <c r="B262" s="58" t="s">
        <v>2</v>
      </c>
      <c r="C262" s="14"/>
      <c r="D262" s="14"/>
      <c r="E262" s="14"/>
      <c r="F262" s="14"/>
      <c r="G262" s="33"/>
      <c r="H262" s="33"/>
      <c r="I262" s="58" t="s">
        <v>2</v>
      </c>
      <c r="J262" s="58" t="s">
        <v>2</v>
      </c>
      <c r="K262" s="14"/>
      <c r="L262" s="14"/>
      <c r="M262" s="14"/>
      <c r="N262" s="14"/>
      <c r="O262" s="33"/>
      <c r="P262" s="33"/>
      <c r="Q262" s="58" t="s">
        <v>2</v>
      </c>
      <c r="R262" s="58" t="s">
        <v>2</v>
      </c>
      <c r="S262" s="14"/>
      <c r="T262" s="14"/>
      <c r="U262" s="14"/>
      <c r="V262" s="14"/>
      <c r="W262" s="33"/>
      <c r="X262" s="33"/>
      <c r="Y262" s="58" t="s">
        <v>2</v>
      </c>
      <c r="Z262" s="58" t="s">
        <v>2</v>
      </c>
      <c r="AA262" s="14"/>
      <c r="AB262" s="14"/>
      <c r="AC262" s="14"/>
      <c r="AD262" s="14"/>
      <c r="AE262" s="33"/>
      <c r="AF262" s="1"/>
      <c r="AH262" s="16">
        <f t="shared" si="30"/>
        <v>0</v>
      </c>
      <c r="AI262" s="16">
        <f t="shared" si="31"/>
        <v>0</v>
      </c>
    </row>
    <row r="263" spans="1:35" ht="20.100000000000001" hidden="1" customHeight="1">
      <c r="A263" s="18" t="str">
        <f>ÖSSZES!$A$45</f>
        <v>Név20</v>
      </c>
      <c r="B263" s="58" t="s">
        <v>2</v>
      </c>
      <c r="C263" s="14"/>
      <c r="D263" s="14"/>
      <c r="E263" s="14"/>
      <c r="F263" s="14"/>
      <c r="G263" s="33"/>
      <c r="H263" s="33"/>
      <c r="I263" s="58" t="s">
        <v>2</v>
      </c>
      <c r="J263" s="58" t="s">
        <v>2</v>
      </c>
      <c r="K263" s="14"/>
      <c r="L263" s="14"/>
      <c r="M263" s="14"/>
      <c r="N263" s="14"/>
      <c r="O263" s="33"/>
      <c r="P263" s="33"/>
      <c r="Q263" s="58" t="s">
        <v>2</v>
      </c>
      <c r="R263" s="58" t="s">
        <v>2</v>
      </c>
      <c r="S263" s="14"/>
      <c r="T263" s="14"/>
      <c r="U263" s="14"/>
      <c r="V263" s="14"/>
      <c r="W263" s="33"/>
      <c r="X263" s="33"/>
      <c r="Y263" s="58" t="s">
        <v>2</v>
      </c>
      <c r="Z263" s="58" t="s">
        <v>2</v>
      </c>
      <c r="AA263" s="14"/>
      <c r="AB263" s="14"/>
      <c r="AC263" s="14"/>
      <c r="AD263" s="14"/>
      <c r="AE263" s="33"/>
      <c r="AF263" s="1"/>
      <c r="AH263" s="16">
        <f t="shared" si="30"/>
        <v>0</v>
      </c>
      <c r="AI263" s="16">
        <f t="shared" si="31"/>
        <v>0</v>
      </c>
    </row>
    <row r="264" spans="1:35" ht="20.100000000000001" customHeight="1"/>
    <row r="265" spans="1:35" s="6" customFormat="1" ht="20.100000000000001" customHeight="1">
      <c r="A265" s="91" t="s">
        <v>16</v>
      </c>
      <c r="B265" s="17">
        <v>1</v>
      </c>
      <c r="C265" s="17">
        <v>2</v>
      </c>
      <c r="D265" s="17">
        <v>3</v>
      </c>
      <c r="E265" s="17">
        <v>4</v>
      </c>
      <c r="F265" s="17">
        <v>5</v>
      </c>
      <c r="G265" s="17">
        <v>6</v>
      </c>
      <c r="H265" s="17">
        <v>7</v>
      </c>
      <c r="I265" s="17">
        <v>8</v>
      </c>
      <c r="J265" s="17">
        <v>9</v>
      </c>
      <c r="K265" s="17">
        <v>10</v>
      </c>
      <c r="L265" s="17">
        <v>11</v>
      </c>
      <c r="M265" s="17">
        <v>12</v>
      </c>
      <c r="N265" s="17">
        <v>13</v>
      </c>
      <c r="O265" s="17">
        <v>14</v>
      </c>
      <c r="P265" s="17">
        <v>15</v>
      </c>
      <c r="Q265" s="17">
        <v>16</v>
      </c>
      <c r="R265" s="17">
        <v>17</v>
      </c>
      <c r="S265" s="17">
        <v>18</v>
      </c>
      <c r="T265" s="17">
        <v>19</v>
      </c>
      <c r="U265" s="17">
        <v>20</v>
      </c>
      <c r="V265" s="17">
        <v>21</v>
      </c>
      <c r="W265" s="17">
        <v>22</v>
      </c>
      <c r="X265" s="17">
        <v>23</v>
      </c>
      <c r="Y265" s="17">
        <v>24</v>
      </c>
      <c r="Z265" s="19">
        <v>25</v>
      </c>
      <c r="AA265" s="19">
        <v>26</v>
      </c>
      <c r="AB265" s="17">
        <v>27</v>
      </c>
      <c r="AC265" s="17">
        <v>28</v>
      </c>
      <c r="AD265" s="17">
        <v>29</v>
      </c>
      <c r="AE265" s="17">
        <v>30</v>
      </c>
      <c r="AF265" s="17">
        <v>31</v>
      </c>
      <c r="AH265" s="93" t="s">
        <v>18</v>
      </c>
      <c r="AI265" s="93" t="s">
        <v>19</v>
      </c>
    </row>
    <row r="266" spans="1:35" ht="20.100000000000001" customHeight="1">
      <c r="A266" s="92"/>
      <c r="B266" s="10" t="str">
        <f>'2020'!B92</f>
        <v>K</v>
      </c>
      <c r="C266" s="10" t="str">
        <f>'2020'!C92</f>
        <v>Sze</v>
      </c>
      <c r="D266" s="10" t="str">
        <f>'2020'!D92</f>
        <v>Cs</v>
      </c>
      <c r="E266" s="10" t="str">
        <f>'2020'!E92</f>
        <v>P</v>
      </c>
      <c r="F266" s="10" t="str">
        <f>'2020'!F92</f>
        <v>Szo</v>
      </c>
      <c r="G266" s="10" t="str">
        <f>'2020'!G92</f>
        <v>V</v>
      </c>
      <c r="H266" s="10" t="str">
        <f>'2020'!H92</f>
        <v>H</v>
      </c>
      <c r="I266" s="10" t="str">
        <f>'2020'!I92</f>
        <v>K</v>
      </c>
      <c r="J266" s="10" t="str">
        <f>'2020'!J92</f>
        <v>Sze</v>
      </c>
      <c r="K266" s="10" t="str">
        <f>'2020'!K92</f>
        <v>Cs</v>
      </c>
      <c r="L266" s="10" t="str">
        <f>'2020'!L92</f>
        <v>P</v>
      </c>
      <c r="M266" s="10" t="str">
        <f>'2020'!M92</f>
        <v>Szo</v>
      </c>
      <c r="N266" s="10" t="str">
        <f>'2020'!N92</f>
        <v>V</v>
      </c>
      <c r="O266" s="10" t="str">
        <f>'2020'!O92</f>
        <v>H</v>
      </c>
      <c r="P266" s="10" t="str">
        <f>'2020'!P92</f>
        <v>K</v>
      </c>
      <c r="Q266" s="10" t="str">
        <f>'2020'!Q92</f>
        <v>Sze</v>
      </c>
      <c r="R266" s="10" t="str">
        <f>'2020'!R92</f>
        <v>Cs</v>
      </c>
      <c r="S266" s="10" t="str">
        <f>'2020'!S92</f>
        <v>P</v>
      </c>
      <c r="T266" s="10" t="str">
        <f>'2020'!T92</f>
        <v>Szo</v>
      </c>
      <c r="U266" s="10" t="str">
        <f>'2020'!U92</f>
        <v>V</v>
      </c>
      <c r="V266" s="10" t="str">
        <f>'2020'!V92</f>
        <v>H</v>
      </c>
      <c r="W266" s="10" t="str">
        <f>'2020'!W92</f>
        <v>K</v>
      </c>
      <c r="X266" s="10" t="str">
        <f>'2020'!X92</f>
        <v>Sze</v>
      </c>
      <c r="Y266" s="10" t="str">
        <f>'2020'!Y92</f>
        <v>Cs</v>
      </c>
      <c r="Z266" s="10" t="str">
        <f>'2020'!Z92</f>
        <v>P</v>
      </c>
      <c r="AA266" s="10" t="str">
        <f>'2020'!AA92</f>
        <v>Szo</v>
      </c>
      <c r="AB266" s="10" t="str">
        <f>'2020'!AB92</f>
        <v>V</v>
      </c>
      <c r="AC266" s="10" t="str">
        <f>'2020'!AC92</f>
        <v>H</v>
      </c>
      <c r="AD266" s="10" t="str">
        <f>'2020'!AD92</f>
        <v>K</v>
      </c>
      <c r="AE266" s="10" t="str">
        <f>'2020'!AE92</f>
        <v>Sze</v>
      </c>
      <c r="AF266" s="10" t="str">
        <f>'2020'!AF92</f>
        <v>Cs</v>
      </c>
      <c r="AH266" s="94"/>
      <c r="AI266" s="94"/>
    </row>
    <row r="267" spans="1:35" ht="20.100000000000001" customHeight="1">
      <c r="A267" s="92"/>
      <c r="B267" s="10">
        <f>'2020'!B94</f>
        <v>1</v>
      </c>
      <c r="C267" s="10" t="str">
        <f>'2020'!C94</f>
        <v>X</v>
      </c>
      <c r="D267" s="10" t="str">
        <f>'2020'!D94</f>
        <v>X</v>
      </c>
      <c r="E267" s="10">
        <f>'2020'!E94</f>
        <v>3</v>
      </c>
      <c r="F267" s="10">
        <f>'2020'!F94</f>
        <v>3</v>
      </c>
      <c r="G267" s="10">
        <f>'2020'!G94</f>
        <v>3</v>
      </c>
      <c r="H267" s="10">
        <f>'2020'!H94</f>
        <v>3</v>
      </c>
      <c r="I267" s="10">
        <f>'2020'!I94</f>
        <v>3</v>
      </c>
      <c r="J267" s="10">
        <f>'2020'!J94</f>
        <v>3</v>
      </c>
      <c r="K267" s="10" t="str">
        <f>'2020'!K94</f>
        <v>X</v>
      </c>
      <c r="L267" s="10" t="str">
        <f>'2020'!L94</f>
        <v>X</v>
      </c>
      <c r="M267" s="10">
        <f>'2020'!M94</f>
        <v>2</v>
      </c>
      <c r="N267" s="10">
        <f>'2020'!N94</f>
        <v>2</v>
      </c>
      <c r="O267" s="10">
        <f>'2020'!O94</f>
        <v>2</v>
      </c>
      <c r="P267" s="10">
        <f>'2020'!P94</f>
        <v>2</v>
      </c>
      <c r="Q267" s="10">
        <f>'2020'!Q94</f>
        <v>2</v>
      </c>
      <c r="R267" s="10">
        <f>'2020'!R94</f>
        <v>2</v>
      </c>
      <c r="S267" s="10" t="str">
        <f>'2020'!S94</f>
        <v>X</v>
      </c>
      <c r="T267" s="10" t="str">
        <f>'2020'!T94</f>
        <v>X</v>
      </c>
      <c r="U267" s="10">
        <f>'2020'!U94</f>
        <v>1</v>
      </c>
      <c r="V267" s="10">
        <f>'2020'!V94</f>
        <v>1</v>
      </c>
      <c r="W267" s="10">
        <f>'2020'!W94</f>
        <v>1</v>
      </c>
      <c r="X267" s="10">
        <f>'2020'!X94</f>
        <v>1</v>
      </c>
      <c r="Y267" s="10">
        <f>'2020'!Y94</f>
        <v>1</v>
      </c>
      <c r="Z267" s="10">
        <f>'2020'!Z94</f>
        <v>1</v>
      </c>
      <c r="AA267" s="10" t="str">
        <f>'2020'!AA94</f>
        <v>X</v>
      </c>
      <c r="AB267" s="10" t="str">
        <f>'2020'!AB94</f>
        <v>X</v>
      </c>
      <c r="AC267" s="10">
        <f>'2020'!AC94</f>
        <v>3</v>
      </c>
      <c r="AD267" s="10">
        <f>'2020'!AD94</f>
        <v>3</v>
      </c>
      <c r="AE267" s="10">
        <f>'2020'!AE94</f>
        <v>3</v>
      </c>
      <c r="AF267" s="10">
        <f>'2020'!AF94</f>
        <v>3</v>
      </c>
      <c r="AH267" s="94"/>
      <c r="AI267" s="94"/>
    </row>
    <row r="268" spans="1:35" ht="20.100000000000001" customHeight="1">
      <c r="A268" s="18" t="str">
        <f>ÖSSZES!$A$26</f>
        <v>Katona László</v>
      </c>
      <c r="B268" s="33"/>
      <c r="C268" s="58" t="s">
        <v>2</v>
      </c>
      <c r="D268" s="58" t="s">
        <v>2</v>
      </c>
      <c r="E268" s="7"/>
      <c r="F268" s="7"/>
      <c r="G268" s="7"/>
      <c r="H268" s="7"/>
      <c r="I268" s="33"/>
      <c r="J268" s="33"/>
      <c r="K268" s="58" t="s">
        <v>2</v>
      </c>
      <c r="L268" s="58" t="s">
        <v>2</v>
      </c>
      <c r="M268" s="7"/>
      <c r="N268" s="7"/>
      <c r="O268" s="7"/>
      <c r="P268" s="7"/>
      <c r="Q268" s="33"/>
      <c r="R268" s="33"/>
      <c r="S268" s="58" t="s">
        <v>2</v>
      </c>
      <c r="T268" s="58" t="s">
        <v>2</v>
      </c>
      <c r="U268" s="7"/>
      <c r="V268" s="7"/>
      <c r="W268" s="7"/>
      <c r="X268" s="7"/>
      <c r="Y268" s="33"/>
      <c r="Z268" s="59"/>
      <c r="AA268" s="58" t="s">
        <v>2</v>
      </c>
      <c r="AB268" s="58" t="s">
        <v>2</v>
      </c>
      <c r="AC268" s="7"/>
      <c r="AD268" s="7"/>
      <c r="AE268" s="7"/>
      <c r="AF268" s="7"/>
      <c r="AH268" s="16">
        <f>1*COUNTIF(A268:AF268,"+")</f>
        <v>0</v>
      </c>
      <c r="AI268" s="16">
        <f t="shared" ref="AI268" si="32">1*COUNTIF(B268:AF268,"szf")</f>
        <v>0</v>
      </c>
    </row>
    <row r="269" spans="1:35" ht="20.100000000000001" customHeight="1">
      <c r="A269" s="18" t="str">
        <f>ÖSSZES!$A$27</f>
        <v>Kiss János Tamás</v>
      </c>
      <c r="B269" s="33"/>
      <c r="C269" s="58" t="s">
        <v>2</v>
      </c>
      <c r="D269" s="58" t="s">
        <v>2</v>
      </c>
      <c r="E269" s="7"/>
      <c r="F269" s="7"/>
      <c r="G269" s="7"/>
      <c r="H269" s="7"/>
      <c r="I269" s="33"/>
      <c r="J269" s="33"/>
      <c r="K269" s="58" t="s">
        <v>2</v>
      </c>
      <c r="L269" s="58" t="s">
        <v>2</v>
      </c>
      <c r="M269" s="7"/>
      <c r="N269" s="7"/>
      <c r="O269" s="7"/>
      <c r="P269" s="7"/>
      <c r="Q269" s="33"/>
      <c r="R269" s="33"/>
      <c r="S269" s="58" t="s">
        <v>2</v>
      </c>
      <c r="T269" s="58" t="s">
        <v>2</v>
      </c>
      <c r="U269" s="7"/>
      <c r="V269" s="7"/>
      <c r="W269" s="7"/>
      <c r="X269" s="7"/>
      <c r="Y269" s="33"/>
      <c r="Z269" s="59"/>
      <c r="AA269" s="58" t="s">
        <v>2</v>
      </c>
      <c r="AB269" s="58" t="s">
        <v>2</v>
      </c>
      <c r="AC269" s="7"/>
      <c r="AD269" s="7"/>
      <c r="AE269" s="7"/>
      <c r="AF269" s="7"/>
      <c r="AH269" s="16">
        <f t="shared" ref="AH269:AH287" si="33">1*COUNTIF(A269:AF269,"+")</f>
        <v>0</v>
      </c>
      <c r="AI269" s="16">
        <f t="shared" ref="AI269:AI287" si="34">1*COUNTIF(B269:AF269,"szf")</f>
        <v>0</v>
      </c>
    </row>
    <row r="270" spans="1:35" ht="20.100000000000001" customHeight="1">
      <c r="A270" s="18" t="str">
        <f>ÖSSZES!$A$28</f>
        <v>Habara Gábor</v>
      </c>
      <c r="B270" s="33"/>
      <c r="C270" s="58" t="s">
        <v>2</v>
      </c>
      <c r="D270" s="58" t="s">
        <v>2</v>
      </c>
      <c r="E270" s="7"/>
      <c r="F270" s="7"/>
      <c r="G270" s="7"/>
      <c r="H270" s="7"/>
      <c r="I270" s="33"/>
      <c r="J270" s="33"/>
      <c r="K270" s="58" t="s">
        <v>2</v>
      </c>
      <c r="L270" s="58" t="s">
        <v>2</v>
      </c>
      <c r="M270" s="7"/>
      <c r="N270" s="7"/>
      <c r="O270" s="7"/>
      <c r="P270" s="7"/>
      <c r="Q270" s="33"/>
      <c r="R270" s="33"/>
      <c r="S270" s="58" t="s">
        <v>2</v>
      </c>
      <c r="T270" s="58" t="s">
        <v>2</v>
      </c>
      <c r="U270" s="7"/>
      <c r="V270" s="7"/>
      <c r="W270" s="7"/>
      <c r="X270" s="7"/>
      <c r="Y270" s="33"/>
      <c r="Z270" s="59"/>
      <c r="AA270" s="58" t="s">
        <v>2</v>
      </c>
      <c r="AB270" s="58" t="s">
        <v>2</v>
      </c>
      <c r="AC270" s="7"/>
      <c r="AD270" s="7"/>
      <c r="AE270" s="7"/>
      <c r="AF270" s="7"/>
      <c r="AH270" s="16">
        <f t="shared" si="33"/>
        <v>0</v>
      </c>
      <c r="AI270" s="16">
        <f t="shared" si="34"/>
        <v>0</v>
      </c>
    </row>
    <row r="271" spans="1:35" ht="20.100000000000001" customHeight="1">
      <c r="A271" s="18" t="str">
        <f>ÖSSZES!$A$29</f>
        <v>Holba Imre</v>
      </c>
      <c r="B271" s="33"/>
      <c r="C271" s="58" t="s">
        <v>2</v>
      </c>
      <c r="D271" s="58" t="s">
        <v>2</v>
      </c>
      <c r="E271" s="7"/>
      <c r="F271" s="7"/>
      <c r="G271" s="7"/>
      <c r="H271" s="7"/>
      <c r="I271" s="33"/>
      <c r="J271" s="33"/>
      <c r="K271" s="58" t="s">
        <v>2</v>
      </c>
      <c r="L271" s="58" t="s">
        <v>2</v>
      </c>
      <c r="M271" s="7"/>
      <c r="N271" s="7"/>
      <c r="O271" s="7"/>
      <c r="P271" s="7"/>
      <c r="Q271" s="33"/>
      <c r="R271" s="33"/>
      <c r="S271" s="58" t="s">
        <v>2</v>
      </c>
      <c r="T271" s="58" t="s">
        <v>2</v>
      </c>
      <c r="U271" s="7"/>
      <c r="V271" s="7"/>
      <c r="W271" s="7"/>
      <c r="X271" s="7"/>
      <c r="Y271" s="33"/>
      <c r="Z271" s="59"/>
      <c r="AA271" s="58" t="s">
        <v>2</v>
      </c>
      <c r="AB271" s="58" t="s">
        <v>2</v>
      </c>
      <c r="AC271" s="7"/>
      <c r="AD271" s="7"/>
      <c r="AE271" s="7"/>
      <c r="AF271" s="7"/>
      <c r="AH271" s="16">
        <f t="shared" si="33"/>
        <v>0</v>
      </c>
      <c r="AI271" s="16">
        <f t="shared" si="34"/>
        <v>0</v>
      </c>
    </row>
    <row r="272" spans="1:35" ht="20.100000000000001" customHeight="1">
      <c r="A272" s="18" t="str">
        <f>ÖSSZES!$A$30</f>
        <v>Keresztes Gyula</v>
      </c>
      <c r="B272" s="33"/>
      <c r="C272" s="58" t="s">
        <v>2</v>
      </c>
      <c r="D272" s="58" t="s">
        <v>2</v>
      </c>
      <c r="E272" s="7"/>
      <c r="F272" s="7"/>
      <c r="G272" s="7"/>
      <c r="H272" s="7"/>
      <c r="I272" s="33"/>
      <c r="J272" s="33"/>
      <c r="K272" s="58" t="s">
        <v>2</v>
      </c>
      <c r="L272" s="58" t="s">
        <v>2</v>
      </c>
      <c r="M272" s="7"/>
      <c r="N272" s="7"/>
      <c r="O272" s="7"/>
      <c r="P272" s="7"/>
      <c r="Q272" s="33"/>
      <c r="R272" s="33"/>
      <c r="S272" s="58" t="s">
        <v>2</v>
      </c>
      <c r="T272" s="58" t="s">
        <v>2</v>
      </c>
      <c r="U272" s="7"/>
      <c r="V272" s="7"/>
      <c r="W272" s="7"/>
      <c r="X272" s="7"/>
      <c r="Y272" s="33"/>
      <c r="Z272" s="59"/>
      <c r="AA272" s="58" t="s">
        <v>2</v>
      </c>
      <c r="AB272" s="58" t="s">
        <v>2</v>
      </c>
      <c r="AC272" s="7"/>
      <c r="AD272" s="7"/>
      <c r="AE272" s="7"/>
      <c r="AF272" s="7"/>
      <c r="AH272" s="16">
        <f t="shared" si="33"/>
        <v>0</v>
      </c>
      <c r="AI272" s="16">
        <f t="shared" si="34"/>
        <v>0</v>
      </c>
    </row>
    <row r="273" spans="1:35" ht="20.100000000000001" customHeight="1">
      <c r="A273" s="18" t="str">
        <f>ÖSSZES!$A$31</f>
        <v>Király Bálint Donát</v>
      </c>
      <c r="B273" s="33"/>
      <c r="C273" s="58" t="s">
        <v>2</v>
      </c>
      <c r="D273" s="58" t="s">
        <v>2</v>
      </c>
      <c r="E273" s="7"/>
      <c r="F273" s="7"/>
      <c r="G273" s="7"/>
      <c r="H273" s="7"/>
      <c r="I273" s="33"/>
      <c r="J273" s="33"/>
      <c r="K273" s="58" t="s">
        <v>2</v>
      </c>
      <c r="L273" s="58" t="s">
        <v>2</v>
      </c>
      <c r="M273" s="7"/>
      <c r="N273" s="7"/>
      <c r="O273" s="7"/>
      <c r="P273" s="7"/>
      <c r="Q273" s="33"/>
      <c r="R273" s="33"/>
      <c r="S273" s="58" t="s">
        <v>2</v>
      </c>
      <c r="T273" s="58" t="s">
        <v>2</v>
      </c>
      <c r="U273" s="7"/>
      <c r="V273" s="7"/>
      <c r="W273" s="7"/>
      <c r="X273" s="7"/>
      <c r="Y273" s="33"/>
      <c r="Z273" s="59"/>
      <c r="AA273" s="58" t="s">
        <v>2</v>
      </c>
      <c r="AB273" s="58" t="s">
        <v>2</v>
      </c>
      <c r="AC273" s="7"/>
      <c r="AD273" s="7"/>
      <c r="AE273" s="7"/>
      <c r="AF273" s="7"/>
      <c r="AH273" s="16">
        <f t="shared" si="33"/>
        <v>0</v>
      </c>
      <c r="AI273" s="16">
        <f t="shared" si="34"/>
        <v>0</v>
      </c>
    </row>
    <row r="274" spans="1:35" ht="20.100000000000001" customHeight="1">
      <c r="A274" s="18" t="str">
        <f>ÖSSZES!$A$32</f>
        <v>Mezei Lajos</v>
      </c>
      <c r="B274" s="33"/>
      <c r="C274" s="58" t="s">
        <v>2</v>
      </c>
      <c r="D274" s="58" t="s">
        <v>2</v>
      </c>
      <c r="E274" s="7"/>
      <c r="F274" s="7"/>
      <c r="G274" s="7"/>
      <c r="H274" s="7"/>
      <c r="I274" s="33"/>
      <c r="J274" s="33"/>
      <c r="K274" s="58" t="s">
        <v>2</v>
      </c>
      <c r="L274" s="58" t="s">
        <v>2</v>
      </c>
      <c r="M274" s="7"/>
      <c r="N274" s="7"/>
      <c r="O274" s="7"/>
      <c r="P274" s="7"/>
      <c r="Q274" s="33"/>
      <c r="R274" s="33"/>
      <c r="S274" s="58" t="s">
        <v>2</v>
      </c>
      <c r="T274" s="58" t="s">
        <v>2</v>
      </c>
      <c r="U274" s="7"/>
      <c r="V274" s="7"/>
      <c r="W274" s="7"/>
      <c r="X274" s="7"/>
      <c r="Y274" s="33"/>
      <c r="Z274" s="59"/>
      <c r="AA274" s="58" t="s">
        <v>2</v>
      </c>
      <c r="AB274" s="58" t="s">
        <v>2</v>
      </c>
      <c r="AC274" s="7"/>
      <c r="AD274" s="7"/>
      <c r="AE274" s="7"/>
      <c r="AF274" s="7"/>
      <c r="AH274" s="16">
        <f t="shared" si="33"/>
        <v>0</v>
      </c>
      <c r="AI274" s="16">
        <f t="shared" si="34"/>
        <v>0</v>
      </c>
    </row>
    <row r="275" spans="1:35" ht="20.100000000000001" hidden="1" customHeight="1">
      <c r="A275" s="18" t="str">
        <f>ÖSSZES!$A$33</f>
        <v>Fényi László</v>
      </c>
      <c r="B275" s="33"/>
      <c r="C275" s="58" t="s">
        <v>2</v>
      </c>
      <c r="D275" s="58" t="s">
        <v>2</v>
      </c>
      <c r="E275" s="7"/>
      <c r="F275" s="7"/>
      <c r="G275" s="7"/>
      <c r="H275" s="7"/>
      <c r="I275" s="33"/>
      <c r="J275" s="33"/>
      <c r="K275" s="58" t="s">
        <v>2</v>
      </c>
      <c r="L275" s="58" t="s">
        <v>2</v>
      </c>
      <c r="M275" s="7"/>
      <c r="N275" s="7"/>
      <c r="O275" s="7"/>
      <c r="P275" s="7"/>
      <c r="Q275" s="33"/>
      <c r="R275" s="33"/>
      <c r="S275" s="58" t="s">
        <v>2</v>
      </c>
      <c r="T275" s="58" t="s">
        <v>2</v>
      </c>
      <c r="U275" s="7"/>
      <c r="V275" s="7"/>
      <c r="W275" s="7"/>
      <c r="X275" s="7"/>
      <c r="Y275" s="33"/>
      <c r="Z275" s="59"/>
      <c r="AA275" s="58" t="s">
        <v>2</v>
      </c>
      <c r="AB275" s="58" t="s">
        <v>2</v>
      </c>
      <c r="AC275" s="7"/>
      <c r="AD275" s="7"/>
      <c r="AE275" s="7"/>
      <c r="AF275" s="7"/>
      <c r="AH275" s="16">
        <f t="shared" si="33"/>
        <v>0</v>
      </c>
      <c r="AI275" s="16">
        <f t="shared" si="34"/>
        <v>0</v>
      </c>
    </row>
    <row r="276" spans="1:35" ht="20.100000000000001" hidden="1" customHeight="1">
      <c r="A276" s="18" t="str">
        <f>ÖSSZES!$A$34</f>
        <v>Név9</v>
      </c>
      <c r="B276" s="33"/>
      <c r="C276" s="58" t="s">
        <v>2</v>
      </c>
      <c r="D276" s="58" t="s">
        <v>2</v>
      </c>
      <c r="E276" s="7"/>
      <c r="F276" s="7"/>
      <c r="G276" s="7"/>
      <c r="H276" s="7"/>
      <c r="I276" s="33"/>
      <c r="J276" s="33"/>
      <c r="K276" s="58" t="s">
        <v>2</v>
      </c>
      <c r="L276" s="58" t="s">
        <v>2</v>
      </c>
      <c r="M276" s="7"/>
      <c r="N276" s="7"/>
      <c r="O276" s="7"/>
      <c r="P276" s="7"/>
      <c r="Q276" s="33"/>
      <c r="R276" s="33"/>
      <c r="S276" s="58" t="s">
        <v>2</v>
      </c>
      <c r="T276" s="58" t="s">
        <v>2</v>
      </c>
      <c r="U276" s="7"/>
      <c r="V276" s="7"/>
      <c r="W276" s="7"/>
      <c r="X276" s="7"/>
      <c r="Y276" s="33"/>
      <c r="Z276" s="59"/>
      <c r="AA276" s="58" t="s">
        <v>2</v>
      </c>
      <c r="AB276" s="58" t="s">
        <v>2</v>
      </c>
      <c r="AC276" s="7"/>
      <c r="AD276" s="7"/>
      <c r="AE276" s="7"/>
      <c r="AF276" s="7"/>
      <c r="AH276" s="16">
        <f t="shared" si="33"/>
        <v>0</v>
      </c>
      <c r="AI276" s="16">
        <f t="shared" si="34"/>
        <v>0</v>
      </c>
    </row>
    <row r="277" spans="1:35" ht="20.100000000000001" hidden="1" customHeight="1">
      <c r="A277" s="18" t="str">
        <f>ÖSSZES!$A$35</f>
        <v>Név10</v>
      </c>
      <c r="B277" s="33"/>
      <c r="C277" s="58" t="s">
        <v>2</v>
      </c>
      <c r="D277" s="58" t="s">
        <v>2</v>
      </c>
      <c r="E277" s="7"/>
      <c r="F277" s="7"/>
      <c r="G277" s="7"/>
      <c r="H277" s="7"/>
      <c r="I277" s="33"/>
      <c r="J277" s="33"/>
      <c r="K277" s="58" t="s">
        <v>2</v>
      </c>
      <c r="L277" s="58" t="s">
        <v>2</v>
      </c>
      <c r="M277" s="7"/>
      <c r="N277" s="7"/>
      <c r="O277" s="7"/>
      <c r="P277" s="7"/>
      <c r="Q277" s="33"/>
      <c r="R277" s="33"/>
      <c r="S277" s="58" t="s">
        <v>2</v>
      </c>
      <c r="T277" s="58" t="s">
        <v>2</v>
      </c>
      <c r="U277" s="7"/>
      <c r="V277" s="7"/>
      <c r="W277" s="7"/>
      <c r="X277" s="7"/>
      <c r="Y277" s="33"/>
      <c r="Z277" s="59"/>
      <c r="AA277" s="58" t="s">
        <v>2</v>
      </c>
      <c r="AB277" s="58" t="s">
        <v>2</v>
      </c>
      <c r="AC277" s="7"/>
      <c r="AD277" s="7"/>
      <c r="AE277" s="7"/>
      <c r="AF277" s="7"/>
      <c r="AH277" s="16">
        <f t="shared" si="33"/>
        <v>0</v>
      </c>
      <c r="AI277" s="16">
        <f t="shared" si="34"/>
        <v>0</v>
      </c>
    </row>
    <row r="278" spans="1:35" ht="20.100000000000001" hidden="1" customHeight="1">
      <c r="A278" s="18" t="str">
        <f>ÖSSZES!$A$36</f>
        <v>Név11</v>
      </c>
      <c r="B278" s="33"/>
      <c r="C278" s="58" t="s">
        <v>2</v>
      </c>
      <c r="D278" s="58" t="s">
        <v>2</v>
      </c>
      <c r="E278" s="7"/>
      <c r="F278" s="7"/>
      <c r="G278" s="7"/>
      <c r="H278" s="7"/>
      <c r="I278" s="33"/>
      <c r="J278" s="33"/>
      <c r="K278" s="58" t="s">
        <v>2</v>
      </c>
      <c r="L278" s="58" t="s">
        <v>2</v>
      </c>
      <c r="M278" s="7"/>
      <c r="N278" s="7"/>
      <c r="O278" s="7"/>
      <c r="P278" s="7"/>
      <c r="Q278" s="33"/>
      <c r="R278" s="33"/>
      <c r="S278" s="58" t="s">
        <v>2</v>
      </c>
      <c r="T278" s="58" t="s">
        <v>2</v>
      </c>
      <c r="U278" s="7"/>
      <c r="V278" s="7"/>
      <c r="W278" s="7"/>
      <c r="X278" s="7"/>
      <c r="Y278" s="33"/>
      <c r="Z278" s="59"/>
      <c r="AA278" s="58" t="s">
        <v>2</v>
      </c>
      <c r="AB278" s="58" t="s">
        <v>2</v>
      </c>
      <c r="AC278" s="7"/>
      <c r="AD278" s="7"/>
      <c r="AE278" s="7"/>
      <c r="AF278" s="7"/>
      <c r="AH278" s="16">
        <f t="shared" si="33"/>
        <v>0</v>
      </c>
      <c r="AI278" s="16">
        <f t="shared" si="34"/>
        <v>0</v>
      </c>
    </row>
    <row r="279" spans="1:35" ht="20.100000000000001" hidden="1" customHeight="1">
      <c r="A279" s="18" t="str">
        <f>ÖSSZES!$A$37</f>
        <v>Név12</v>
      </c>
      <c r="B279" s="33"/>
      <c r="C279" s="58" t="s">
        <v>2</v>
      </c>
      <c r="D279" s="58" t="s">
        <v>2</v>
      </c>
      <c r="E279" s="7"/>
      <c r="F279" s="7"/>
      <c r="G279" s="7"/>
      <c r="H279" s="7"/>
      <c r="I279" s="33"/>
      <c r="J279" s="33"/>
      <c r="K279" s="58" t="s">
        <v>2</v>
      </c>
      <c r="L279" s="58" t="s">
        <v>2</v>
      </c>
      <c r="M279" s="7"/>
      <c r="N279" s="7"/>
      <c r="O279" s="7"/>
      <c r="P279" s="7"/>
      <c r="Q279" s="33"/>
      <c r="R279" s="33"/>
      <c r="S279" s="58" t="s">
        <v>2</v>
      </c>
      <c r="T279" s="58" t="s">
        <v>2</v>
      </c>
      <c r="U279" s="7"/>
      <c r="V279" s="7"/>
      <c r="W279" s="7"/>
      <c r="X279" s="7"/>
      <c r="Y279" s="33"/>
      <c r="Z279" s="59"/>
      <c r="AA279" s="58" t="s">
        <v>2</v>
      </c>
      <c r="AB279" s="58" t="s">
        <v>2</v>
      </c>
      <c r="AC279" s="7"/>
      <c r="AD279" s="7"/>
      <c r="AE279" s="7"/>
      <c r="AF279" s="7"/>
      <c r="AH279" s="16">
        <f t="shared" si="33"/>
        <v>0</v>
      </c>
      <c r="AI279" s="16">
        <f t="shared" si="34"/>
        <v>0</v>
      </c>
    </row>
    <row r="280" spans="1:35" ht="20.100000000000001" hidden="1" customHeight="1">
      <c r="A280" s="18" t="str">
        <f>ÖSSZES!$A$38</f>
        <v>Név13</v>
      </c>
      <c r="B280" s="33"/>
      <c r="C280" s="58" t="s">
        <v>2</v>
      </c>
      <c r="D280" s="58" t="s">
        <v>2</v>
      </c>
      <c r="E280" s="7"/>
      <c r="F280" s="7"/>
      <c r="G280" s="7"/>
      <c r="H280" s="7"/>
      <c r="I280" s="33"/>
      <c r="J280" s="33"/>
      <c r="K280" s="58" t="s">
        <v>2</v>
      </c>
      <c r="L280" s="58" t="s">
        <v>2</v>
      </c>
      <c r="M280" s="7"/>
      <c r="N280" s="7"/>
      <c r="O280" s="7"/>
      <c r="P280" s="7"/>
      <c r="Q280" s="33"/>
      <c r="R280" s="33"/>
      <c r="S280" s="58" t="s">
        <v>2</v>
      </c>
      <c r="T280" s="58" t="s">
        <v>2</v>
      </c>
      <c r="U280" s="7"/>
      <c r="V280" s="7"/>
      <c r="W280" s="7"/>
      <c r="X280" s="7"/>
      <c r="Y280" s="33"/>
      <c r="Z280" s="59"/>
      <c r="AA280" s="58" t="s">
        <v>2</v>
      </c>
      <c r="AB280" s="58" t="s">
        <v>2</v>
      </c>
      <c r="AC280" s="7"/>
      <c r="AD280" s="7"/>
      <c r="AE280" s="7"/>
      <c r="AF280" s="7"/>
      <c r="AH280" s="16">
        <f t="shared" si="33"/>
        <v>0</v>
      </c>
      <c r="AI280" s="16">
        <f t="shared" si="34"/>
        <v>0</v>
      </c>
    </row>
    <row r="281" spans="1:35" ht="20.100000000000001" hidden="1" customHeight="1">
      <c r="A281" s="18" t="str">
        <f>ÖSSZES!$A$39</f>
        <v>Név14</v>
      </c>
      <c r="B281" s="33"/>
      <c r="C281" s="58" t="s">
        <v>2</v>
      </c>
      <c r="D281" s="58" t="s">
        <v>2</v>
      </c>
      <c r="E281" s="7"/>
      <c r="F281" s="7"/>
      <c r="G281" s="7"/>
      <c r="H281" s="7"/>
      <c r="I281" s="33"/>
      <c r="J281" s="33"/>
      <c r="K281" s="58" t="s">
        <v>2</v>
      </c>
      <c r="L281" s="58" t="s">
        <v>2</v>
      </c>
      <c r="M281" s="7"/>
      <c r="N281" s="7"/>
      <c r="O281" s="7"/>
      <c r="P281" s="7"/>
      <c r="Q281" s="33"/>
      <c r="R281" s="33"/>
      <c r="S281" s="58" t="s">
        <v>2</v>
      </c>
      <c r="T281" s="58" t="s">
        <v>2</v>
      </c>
      <c r="U281" s="7"/>
      <c r="V281" s="7"/>
      <c r="W281" s="7"/>
      <c r="X281" s="7"/>
      <c r="Y281" s="33"/>
      <c r="Z281" s="59"/>
      <c r="AA281" s="58" t="s">
        <v>2</v>
      </c>
      <c r="AB281" s="58" t="s">
        <v>2</v>
      </c>
      <c r="AC281" s="7"/>
      <c r="AD281" s="7"/>
      <c r="AE281" s="7"/>
      <c r="AF281" s="7"/>
      <c r="AH281" s="16">
        <f t="shared" si="33"/>
        <v>0</v>
      </c>
      <c r="AI281" s="16">
        <f t="shared" si="34"/>
        <v>0</v>
      </c>
    </row>
    <row r="282" spans="1:35" ht="20.100000000000001" hidden="1" customHeight="1">
      <c r="A282" s="18" t="str">
        <f>ÖSSZES!$A$40</f>
        <v>Név15</v>
      </c>
      <c r="B282" s="33"/>
      <c r="C282" s="58" t="s">
        <v>2</v>
      </c>
      <c r="D282" s="58" t="s">
        <v>2</v>
      </c>
      <c r="E282" s="7"/>
      <c r="F282" s="7"/>
      <c r="G282" s="7"/>
      <c r="H282" s="7"/>
      <c r="I282" s="33"/>
      <c r="J282" s="33"/>
      <c r="K282" s="58" t="s">
        <v>2</v>
      </c>
      <c r="L282" s="58" t="s">
        <v>2</v>
      </c>
      <c r="M282" s="7"/>
      <c r="N282" s="7"/>
      <c r="O282" s="7"/>
      <c r="P282" s="7"/>
      <c r="Q282" s="33"/>
      <c r="R282" s="33"/>
      <c r="S282" s="58" t="s">
        <v>2</v>
      </c>
      <c r="T282" s="58" t="s">
        <v>2</v>
      </c>
      <c r="U282" s="7"/>
      <c r="V282" s="7"/>
      <c r="W282" s="7"/>
      <c r="X282" s="7"/>
      <c r="Y282" s="33"/>
      <c r="Z282" s="59"/>
      <c r="AA282" s="58" t="s">
        <v>2</v>
      </c>
      <c r="AB282" s="58" t="s">
        <v>2</v>
      </c>
      <c r="AC282" s="7"/>
      <c r="AD282" s="7"/>
      <c r="AE282" s="7"/>
      <c r="AF282" s="7"/>
      <c r="AH282" s="16">
        <f t="shared" si="33"/>
        <v>0</v>
      </c>
      <c r="AI282" s="16">
        <f t="shared" si="34"/>
        <v>0</v>
      </c>
    </row>
    <row r="283" spans="1:35" ht="20.100000000000001" hidden="1" customHeight="1">
      <c r="A283" s="18" t="str">
        <f>ÖSSZES!$A$41</f>
        <v>Név16</v>
      </c>
      <c r="B283" s="33"/>
      <c r="C283" s="58" t="s">
        <v>2</v>
      </c>
      <c r="D283" s="58" t="s">
        <v>2</v>
      </c>
      <c r="E283" s="7"/>
      <c r="F283" s="7"/>
      <c r="G283" s="7"/>
      <c r="H283" s="7"/>
      <c r="I283" s="33"/>
      <c r="J283" s="33"/>
      <c r="K283" s="58" t="s">
        <v>2</v>
      </c>
      <c r="L283" s="58" t="s">
        <v>2</v>
      </c>
      <c r="M283" s="7"/>
      <c r="N283" s="7"/>
      <c r="O283" s="7"/>
      <c r="P283" s="7"/>
      <c r="Q283" s="33"/>
      <c r="R283" s="33"/>
      <c r="S283" s="58" t="s">
        <v>2</v>
      </c>
      <c r="T283" s="58" t="s">
        <v>2</v>
      </c>
      <c r="U283" s="7"/>
      <c r="V283" s="7"/>
      <c r="W283" s="7"/>
      <c r="X283" s="7"/>
      <c r="Y283" s="33"/>
      <c r="Z283" s="59"/>
      <c r="AA283" s="58" t="s">
        <v>2</v>
      </c>
      <c r="AB283" s="58" t="s">
        <v>2</v>
      </c>
      <c r="AC283" s="7"/>
      <c r="AD283" s="7"/>
      <c r="AE283" s="7"/>
      <c r="AF283" s="7"/>
      <c r="AH283" s="16">
        <f t="shared" si="33"/>
        <v>0</v>
      </c>
      <c r="AI283" s="16">
        <f t="shared" si="34"/>
        <v>0</v>
      </c>
    </row>
    <row r="284" spans="1:35" ht="20.100000000000001" hidden="1" customHeight="1">
      <c r="A284" s="18" t="str">
        <f>ÖSSZES!$A$42</f>
        <v>Név17</v>
      </c>
      <c r="B284" s="33"/>
      <c r="C284" s="58" t="s">
        <v>2</v>
      </c>
      <c r="D284" s="58" t="s">
        <v>2</v>
      </c>
      <c r="E284" s="7"/>
      <c r="F284" s="7"/>
      <c r="G284" s="7"/>
      <c r="H284" s="7"/>
      <c r="I284" s="33"/>
      <c r="J284" s="33"/>
      <c r="K284" s="58" t="s">
        <v>2</v>
      </c>
      <c r="L284" s="58" t="s">
        <v>2</v>
      </c>
      <c r="M284" s="7"/>
      <c r="N284" s="7"/>
      <c r="O284" s="7"/>
      <c r="P284" s="7"/>
      <c r="Q284" s="33"/>
      <c r="R284" s="33"/>
      <c r="S284" s="58" t="s">
        <v>2</v>
      </c>
      <c r="T284" s="58" t="s">
        <v>2</v>
      </c>
      <c r="U284" s="7"/>
      <c r="V284" s="7"/>
      <c r="W284" s="7"/>
      <c r="X284" s="7"/>
      <c r="Y284" s="33"/>
      <c r="Z284" s="59"/>
      <c r="AA284" s="58" t="s">
        <v>2</v>
      </c>
      <c r="AB284" s="58" t="s">
        <v>2</v>
      </c>
      <c r="AC284" s="7"/>
      <c r="AD284" s="7"/>
      <c r="AE284" s="7"/>
      <c r="AF284" s="7"/>
      <c r="AH284" s="16">
        <f t="shared" si="33"/>
        <v>0</v>
      </c>
      <c r="AI284" s="16">
        <f t="shared" si="34"/>
        <v>0</v>
      </c>
    </row>
    <row r="285" spans="1:35" ht="20.100000000000001" hidden="1" customHeight="1">
      <c r="A285" s="18" t="str">
        <f>ÖSSZES!$A$43</f>
        <v>Név18</v>
      </c>
      <c r="B285" s="33"/>
      <c r="C285" s="58" t="s">
        <v>2</v>
      </c>
      <c r="D285" s="58" t="s">
        <v>2</v>
      </c>
      <c r="E285" s="7"/>
      <c r="F285" s="7"/>
      <c r="G285" s="7"/>
      <c r="H285" s="7"/>
      <c r="I285" s="33"/>
      <c r="J285" s="33"/>
      <c r="K285" s="58" t="s">
        <v>2</v>
      </c>
      <c r="L285" s="58" t="s">
        <v>2</v>
      </c>
      <c r="M285" s="7"/>
      <c r="N285" s="7"/>
      <c r="O285" s="7"/>
      <c r="P285" s="7"/>
      <c r="Q285" s="33"/>
      <c r="R285" s="33"/>
      <c r="S285" s="58" t="s">
        <v>2</v>
      </c>
      <c r="T285" s="58" t="s">
        <v>2</v>
      </c>
      <c r="U285" s="7"/>
      <c r="V285" s="7"/>
      <c r="W285" s="7"/>
      <c r="X285" s="7"/>
      <c r="Y285" s="33"/>
      <c r="Z285" s="59"/>
      <c r="AA285" s="58" t="s">
        <v>2</v>
      </c>
      <c r="AB285" s="58" t="s">
        <v>2</v>
      </c>
      <c r="AC285" s="7"/>
      <c r="AD285" s="7"/>
      <c r="AE285" s="7"/>
      <c r="AF285" s="7"/>
      <c r="AH285" s="16">
        <f t="shared" si="33"/>
        <v>0</v>
      </c>
      <c r="AI285" s="16">
        <f t="shared" si="34"/>
        <v>0</v>
      </c>
    </row>
    <row r="286" spans="1:35" ht="20.100000000000001" hidden="1" customHeight="1">
      <c r="A286" s="18" t="str">
        <f>ÖSSZES!$A$44</f>
        <v>Név19</v>
      </c>
      <c r="B286" s="33"/>
      <c r="C286" s="58" t="s">
        <v>2</v>
      </c>
      <c r="D286" s="58" t="s">
        <v>2</v>
      </c>
      <c r="E286" s="7"/>
      <c r="F286" s="7"/>
      <c r="G286" s="7"/>
      <c r="H286" s="7"/>
      <c r="I286" s="33"/>
      <c r="J286" s="33"/>
      <c r="K286" s="58" t="s">
        <v>2</v>
      </c>
      <c r="L286" s="58" t="s">
        <v>2</v>
      </c>
      <c r="M286" s="7"/>
      <c r="N286" s="7"/>
      <c r="O286" s="7"/>
      <c r="P286" s="7"/>
      <c r="Q286" s="33"/>
      <c r="R286" s="33"/>
      <c r="S286" s="58" t="s">
        <v>2</v>
      </c>
      <c r="T286" s="58" t="s">
        <v>2</v>
      </c>
      <c r="U286" s="7"/>
      <c r="V286" s="7"/>
      <c r="W286" s="7"/>
      <c r="X286" s="7"/>
      <c r="Y286" s="33"/>
      <c r="Z286" s="59"/>
      <c r="AA286" s="58" t="s">
        <v>2</v>
      </c>
      <c r="AB286" s="58" t="s">
        <v>2</v>
      </c>
      <c r="AC286" s="7"/>
      <c r="AD286" s="7"/>
      <c r="AE286" s="7"/>
      <c r="AF286" s="7"/>
      <c r="AH286" s="16">
        <f t="shared" si="33"/>
        <v>0</v>
      </c>
      <c r="AI286" s="16">
        <f t="shared" si="34"/>
        <v>0</v>
      </c>
    </row>
    <row r="287" spans="1:35" ht="20.100000000000001" hidden="1" customHeight="1">
      <c r="A287" s="18" t="str">
        <f>ÖSSZES!$A$45</f>
        <v>Név20</v>
      </c>
      <c r="B287" s="33"/>
      <c r="C287" s="58" t="s">
        <v>2</v>
      </c>
      <c r="D287" s="58" t="s">
        <v>2</v>
      </c>
      <c r="E287" s="7"/>
      <c r="F287" s="7"/>
      <c r="G287" s="7"/>
      <c r="H287" s="7"/>
      <c r="I287" s="33"/>
      <c r="J287" s="33"/>
      <c r="K287" s="58" t="s">
        <v>2</v>
      </c>
      <c r="L287" s="58" t="s">
        <v>2</v>
      </c>
      <c r="M287" s="7"/>
      <c r="N287" s="7"/>
      <c r="O287" s="7"/>
      <c r="P287" s="7"/>
      <c r="Q287" s="33"/>
      <c r="R287" s="33"/>
      <c r="S287" s="58" t="s">
        <v>2</v>
      </c>
      <c r="T287" s="58" t="s">
        <v>2</v>
      </c>
      <c r="U287" s="7"/>
      <c r="V287" s="7"/>
      <c r="W287" s="7"/>
      <c r="X287" s="7"/>
      <c r="Y287" s="33"/>
      <c r="Z287" s="59"/>
      <c r="AA287" s="58" t="s">
        <v>2</v>
      </c>
      <c r="AB287" s="58" t="s">
        <v>2</v>
      </c>
      <c r="AC287" s="7"/>
      <c r="AD287" s="7"/>
      <c r="AE287" s="7"/>
      <c r="AF287" s="7"/>
      <c r="AH287" s="16">
        <f t="shared" si="33"/>
        <v>0</v>
      </c>
      <c r="AI287" s="16">
        <f t="shared" si="34"/>
        <v>0</v>
      </c>
    </row>
  </sheetData>
  <sheetProtection password="DD6F" sheet="1" objects="1" scenarios="1"/>
  <mergeCells count="36">
    <mergeCell ref="AH241:AH243"/>
    <mergeCell ref="AI241:AI243"/>
    <mergeCell ref="AH265:AH267"/>
    <mergeCell ref="AI265:AI267"/>
    <mergeCell ref="AH193:AH195"/>
    <mergeCell ref="AI193:AI195"/>
    <mergeCell ref="AH217:AH219"/>
    <mergeCell ref="AI217:AI219"/>
    <mergeCell ref="AH145:AH147"/>
    <mergeCell ref="AI145:AI147"/>
    <mergeCell ref="AH169:AH171"/>
    <mergeCell ref="AI169:AI171"/>
    <mergeCell ref="AH97:AH99"/>
    <mergeCell ref="AI97:AI99"/>
    <mergeCell ref="AH121:AH123"/>
    <mergeCell ref="AI121:AI123"/>
    <mergeCell ref="AH49:AH51"/>
    <mergeCell ref="AI49:AI51"/>
    <mergeCell ref="AH73:AH75"/>
    <mergeCell ref="AI73:AI75"/>
    <mergeCell ref="AH1:AH3"/>
    <mergeCell ref="AI1:AI3"/>
    <mergeCell ref="AH25:AH27"/>
    <mergeCell ref="AI25:AI27"/>
    <mergeCell ref="A217:A219"/>
    <mergeCell ref="A241:A243"/>
    <mergeCell ref="A265:A267"/>
    <mergeCell ref="A97:A99"/>
    <mergeCell ref="A121:A123"/>
    <mergeCell ref="A145:A147"/>
    <mergeCell ref="A169:A171"/>
    <mergeCell ref="A1:A3"/>
    <mergeCell ref="A25:A27"/>
    <mergeCell ref="A49:A51"/>
    <mergeCell ref="A73:A75"/>
    <mergeCell ref="A193:A195"/>
  </mergeCells>
  <phoneticPr fontId="0" type="noConversion"/>
  <conditionalFormatting sqref="A1:XFD3 A24:XFD24 I4 Q4 Y4 AG4:XFD23 A48:XFD51 A28:B47 J28:J47 R28:R47 Z28:Z47 A72:XFD75 A52:C71 H52:K71 Q52:S71 X52:AA55 AF52:XFD54 A96:XFD99 A76:D78 Q76:T95 Y76:AB95 AF76:XFD95 A120:XFD123 S100:V119 AA100:AD119 AG100:XFD119 A144:XFD147 L124:O127 T124:W127 AB124:XFD143 A168:XFD171 A148:A167 F148:I151 N148:Q151 V148:Y151 AD148:XFD167 A192:XFD195 A172:B191 G172:J191 O172:R191 AE172:XFD191 A216:XFD219 A196:C215 P196:S215 X196:AA215 AF196:XFD215 A240:XFD243 A220:E239 J220:M239 AG220:XFD239 A264:XFD267 K244:N263 S244:V263 AA244:AD263 AF244:XFD263 A288:XFD1048576 A268:A287 E268:H287 M268:P287 U268:X287 AC268:XFD287 I76:L95 A100:A119 A124:A143 W172:Z191 Z220:AC239 A244:A263 A4:A23 D4:F4 L4:N4 T4:V4 AB4:AD4 E28:G28 A25:AC27 AD25:XFD47 M28:O47 U28:W47 AC28:AC47 D124:G127 H196:K215 R220:U239 C244:F263 V153:Y167 N153:Q167 F153:I167 B152:AC152 D129:G143 T129:W143 L129:O143 AB6:AD23 T6:V23 L6:N23 D6:F23 Y6:Y23 Q6:Q23 I6:I23 C29:D29 E30:G47 G29 AF57:XFD71 AG55:XFD56 X57:AA71 A81:D95 A79:A80 D128:AA128 K100:N119 C100:F119">
    <cfRule type="cellIs" dxfId="2058" priority="446" operator="equal">
      <formula>"szf"</formula>
    </cfRule>
    <cfRule type="cellIs" dxfId="2057" priority="447" operator="equal">
      <formula>"+"</formula>
    </cfRule>
  </conditionalFormatting>
  <conditionalFormatting sqref="G4 G6:G23">
    <cfRule type="cellIs" dxfId="2056" priority="444" operator="equal">
      <formula>"+"</formula>
    </cfRule>
    <cfRule type="cellIs" dxfId="2055" priority="445" operator="equal">
      <formula>"szf"</formula>
    </cfRule>
  </conditionalFormatting>
  <conditionalFormatting sqref="H4 H6:H23">
    <cfRule type="cellIs" dxfId="2054" priority="442" operator="equal">
      <formula>"+"</formula>
    </cfRule>
    <cfRule type="cellIs" dxfId="2053" priority="443" operator="equal">
      <formula>"szf"</formula>
    </cfRule>
  </conditionalFormatting>
  <conditionalFormatting sqref="O4 O6:O23">
    <cfRule type="cellIs" dxfId="2052" priority="440" operator="equal">
      <formula>"+"</formula>
    </cfRule>
    <cfRule type="cellIs" dxfId="2051" priority="441" operator="equal">
      <formula>"szf"</formula>
    </cfRule>
  </conditionalFormatting>
  <conditionalFormatting sqref="P4 P6:P23">
    <cfRule type="cellIs" dxfId="2050" priority="438" operator="equal">
      <formula>"+"</formula>
    </cfRule>
    <cfRule type="cellIs" dxfId="2049" priority="439" operator="equal">
      <formula>"szf"</formula>
    </cfRule>
  </conditionalFormatting>
  <conditionalFormatting sqref="W4 W6:W23">
    <cfRule type="cellIs" dxfId="2048" priority="436" operator="equal">
      <formula>"+"</formula>
    </cfRule>
    <cfRule type="cellIs" dxfId="2047" priority="437" operator="equal">
      <formula>"szf"</formula>
    </cfRule>
  </conditionalFormatting>
  <conditionalFormatting sqref="X4 X6:X23">
    <cfRule type="cellIs" dxfId="2046" priority="434" operator="equal">
      <formula>"+"</formula>
    </cfRule>
    <cfRule type="cellIs" dxfId="2045" priority="435" operator="equal">
      <formula>"szf"</formula>
    </cfRule>
  </conditionalFormatting>
  <conditionalFormatting sqref="AE4 AE6:AE23">
    <cfRule type="cellIs" dxfId="2044" priority="432" operator="equal">
      <formula>"+"</formula>
    </cfRule>
    <cfRule type="cellIs" dxfId="2043" priority="433" operator="equal">
      <formula>"szf"</formula>
    </cfRule>
  </conditionalFormatting>
  <conditionalFormatting sqref="AF4 AF6:AF23">
    <cfRule type="cellIs" dxfId="2042" priority="430" operator="equal">
      <formula>"+"</formula>
    </cfRule>
    <cfRule type="cellIs" dxfId="2041" priority="431" operator="equal">
      <formula>"szf"</formula>
    </cfRule>
  </conditionalFormatting>
  <conditionalFormatting sqref="H28:H47">
    <cfRule type="cellIs" dxfId="2040" priority="428" operator="equal">
      <formula>"+"</formula>
    </cfRule>
    <cfRule type="cellIs" dxfId="2039" priority="429" operator="equal">
      <formula>"szf"</formula>
    </cfRule>
  </conditionalFormatting>
  <conditionalFormatting sqref="I28:I47">
    <cfRule type="cellIs" dxfId="2038" priority="426" operator="equal">
      <formula>"+"</formula>
    </cfRule>
    <cfRule type="cellIs" dxfId="2037" priority="427" operator="equal">
      <formula>"szf"</formula>
    </cfRule>
  </conditionalFormatting>
  <conditionalFormatting sqref="P28:P47">
    <cfRule type="cellIs" dxfId="2036" priority="424" operator="equal">
      <formula>"+"</formula>
    </cfRule>
    <cfRule type="cellIs" dxfId="2035" priority="425" operator="equal">
      <formula>"szf"</formula>
    </cfRule>
  </conditionalFormatting>
  <conditionalFormatting sqref="Q28:Q47">
    <cfRule type="cellIs" dxfId="2034" priority="422" operator="equal">
      <formula>"+"</formula>
    </cfRule>
    <cfRule type="cellIs" dxfId="2033" priority="423" operator="equal">
      <formula>"szf"</formula>
    </cfRule>
  </conditionalFormatting>
  <conditionalFormatting sqref="X28:X47">
    <cfRule type="cellIs" dxfId="2032" priority="420" operator="equal">
      <formula>"+"</formula>
    </cfRule>
    <cfRule type="cellIs" dxfId="2031" priority="421" operator="equal">
      <formula>"szf"</formula>
    </cfRule>
  </conditionalFormatting>
  <conditionalFormatting sqref="Y28:Y47">
    <cfRule type="cellIs" dxfId="2030" priority="418" operator="equal">
      <formula>"+"</formula>
    </cfRule>
    <cfRule type="cellIs" dxfId="2029" priority="419" operator="equal">
      <formula>"szf"</formula>
    </cfRule>
  </conditionalFormatting>
  <conditionalFormatting sqref="D52:D71">
    <cfRule type="cellIs" dxfId="2028" priority="416" operator="equal">
      <formula>"+"</formula>
    </cfRule>
    <cfRule type="cellIs" dxfId="2027" priority="417" operator="equal">
      <formula>"szf"</formula>
    </cfRule>
  </conditionalFormatting>
  <conditionalFormatting sqref="E52:E71">
    <cfRule type="cellIs" dxfId="2026" priority="414" operator="equal">
      <formula>"+"</formula>
    </cfRule>
    <cfRule type="cellIs" dxfId="2025" priority="415" operator="equal">
      <formula>"szf"</formula>
    </cfRule>
  </conditionalFormatting>
  <conditionalFormatting sqref="L52:L71">
    <cfRule type="cellIs" dxfId="2024" priority="412" operator="equal">
      <formula>"+"</formula>
    </cfRule>
    <cfRule type="cellIs" dxfId="2023" priority="413" operator="equal">
      <formula>"szf"</formula>
    </cfRule>
  </conditionalFormatting>
  <conditionalFormatting sqref="M52:M71">
    <cfRule type="cellIs" dxfId="2022" priority="410" operator="equal">
      <formula>"+"</formula>
    </cfRule>
    <cfRule type="cellIs" dxfId="2021" priority="411" operator="equal">
      <formula>"szf"</formula>
    </cfRule>
  </conditionalFormatting>
  <conditionalFormatting sqref="T52:T71">
    <cfRule type="cellIs" dxfId="2020" priority="408" operator="equal">
      <formula>"+"</formula>
    </cfRule>
    <cfRule type="cellIs" dxfId="2019" priority="409" operator="equal">
      <formula>"szf"</formula>
    </cfRule>
  </conditionalFormatting>
  <conditionalFormatting sqref="U52:U71">
    <cfRule type="cellIs" dxfId="2018" priority="406" operator="equal">
      <formula>"+"</formula>
    </cfRule>
    <cfRule type="cellIs" dxfId="2017" priority="407" operator="equal">
      <formula>"szf"</formula>
    </cfRule>
  </conditionalFormatting>
  <conditionalFormatting sqref="AB52:AB55 AB57:AB71">
    <cfRule type="cellIs" dxfId="2016" priority="404" operator="equal">
      <formula>"+"</formula>
    </cfRule>
    <cfRule type="cellIs" dxfId="2015" priority="405" operator="equal">
      <formula>"szf"</formula>
    </cfRule>
  </conditionalFormatting>
  <conditionalFormatting sqref="AC52:AC71">
    <cfRule type="cellIs" dxfId="2014" priority="402" operator="equal">
      <formula>"+"</formula>
    </cfRule>
    <cfRule type="cellIs" dxfId="2013" priority="403" operator="equal">
      <formula>"szf"</formula>
    </cfRule>
  </conditionalFormatting>
  <conditionalFormatting sqref="E76:E95">
    <cfRule type="cellIs" dxfId="2012" priority="400" operator="equal">
      <formula>"+"</formula>
    </cfRule>
    <cfRule type="cellIs" dxfId="2011" priority="401" operator="equal">
      <formula>"szf"</formula>
    </cfRule>
  </conditionalFormatting>
  <conditionalFormatting sqref="F76:F95">
    <cfRule type="cellIs" dxfId="2010" priority="398" operator="equal">
      <formula>"+"</formula>
    </cfRule>
    <cfRule type="cellIs" dxfId="2009" priority="399" operator="equal">
      <formula>"szf"</formula>
    </cfRule>
  </conditionalFormatting>
  <conditionalFormatting sqref="U76:U95">
    <cfRule type="cellIs" dxfId="2008" priority="392" operator="equal">
      <formula>"+"</formula>
    </cfRule>
    <cfRule type="cellIs" dxfId="2007" priority="393" operator="equal">
      <formula>"szf"</formula>
    </cfRule>
  </conditionalFormatting>
  <conditionalFormatting sqref="V76:V95">
    <cfRule type="cellIs" dxfId="2006" priority="390" operator="equal">
      <formula>"+"</formula>
    </cfRule>
    <cfRule type="cellIs" dxfId="2005" priority="391" operator="equal">
      <formula>"szf"</formula>
    </cfRule>
  </conditionalFormatting>
  <conditionalFormatting sqref="AC76:AC95">
    <cfRule type="cellIs" dxfId="2004" priority="388" operator="equal">
      <formula>"+"</formula>
    </cfRule>
    <cfRule type="cellIs" dxfId="2003" priority="389" operator="equal">
      <formula>"szf"</formula>
    </cfRule>
  </conditionalFormatting>
  <conditionalFormatting sqref="AD76:AD95">
    <cfRule type="cellIs" dxfId="2002" priority="386" operator="equal">
      <formula>"+"</formula>
    </cfRule>
    <cfRule type="cellIs" dxfId="2001" priority="387" operator="equal">
      <formula>"szf"</formula>
    </cfRule>
  </conditionalFormatting>
  <conditionalFormatting sqref="G100:G119">
    <cfRule type="cellIs" dxfId="2000" priority="384" operator="equal">
      <formula>"+"</formula>
    </cfRule>
    <cfRule type="cellIs" dxfId="1999" priority="385" operator="equal">
      <formula>"szf"</formula>
    </cfRule>
  </conditionalFormatting>
  <conditionalFormatting sqref="H100:H119">
    <cfRule type="cellIs" dxfId="1998" priority="382" operator="equal">
      <formula>"+"</formula>
    </cfRule>
    <cfRule type="cellIs" dxfId="1997" priority="383" operator="equal">
      <formula>"szf"</formula>
    </cfRule>
  </conditionalFormatting>
  <conditionalFormatting sqref="O100:O119">
    <cfRule type="cellIs" dxfId="1996" priority="380" operator="equal">
      <formula>"+"</formula>
    </cfRule>
    <cfRule type="cellIs" dxfId="1995" priority="381" operator="equal">
      <formula>"szf"</formula>
    </cfRule>
  </conditionalFormatting>
  <conditionalFormatting sqref="P100:P119">
    <cfRule type="cellIs" dxfId="1994" priority="378" operator="equal">
      <formula>"+"</formula>
    </cfRule>
    <cfRule type="cellIs" dxfId="1993" priority="379" operator="equal">
      <formula>"szf"</formula>
    </cfRule>
  </conditionalFormatting>
  <conditionalFormatting sqref="W100:W119">
    <cfRule type="cellIs" dxfId="1992" priority="376" operator="equal">
      <formula>"+"</formula>
    </cfRule>
    <cfRule type="cellIs" dxfId="1991" priority="377" operator="equal">
      <formula>"szf"</formula>
    </cfRule>
  </conditionalFormatting>
  <conditionalFormatting sqref="X100:X119">
    <cfRule type="cellIs" dxfId="1990" priority="374" operator="equal">
      <formula>"+"</formula>
    </cfRule>
    <cfRule type="cellIs" dxfId="1989" priority="375" operator="equal">
      <formula>"szf"</formula>
    </cfRule>
  </conditionalFormatting>
  <conditionalFormatting sqref="AE100:AE119">
    <cfRule type="cellIs" dxfId="1988" priority="372" operator="equal">
      <formula>"+"</formula>
    </cfRule>
    <cfRule type="cellIs" dxfId="1987" priority="373" operator="equal">
      <formula>"szf"</formula>
    </cfRule>
  </conditionalFormatting>
  <conditionalFormatting sqref="H124:H127 H129:H143">
    <cfRule type="cellIs" dxfId="1986" priority="368" operator="equal">
      <formula>"+"</formula>
    </cfRule>
    <cfRule type="cellIs" dxfId="1985" priority="369" operator="equal">
      <formula>"szf"</formula>
    </cfRule>
  </conditionalFormatting>
  <conditionalFormatting sqref="I124:I127 I129:I143">
    <cfRule type="cellIs" dxfId="1984" priority="366" operator="equal">
      <formula>"+"</formula>
    </cfRule>
    <cfRule type="cellIs" dxfId="1983" priority="367" operator="equal">
      <formula>"szf"</formula>
    </cfRule>
  </conditionalFormatting>
  <conditionalFormatting sqref="P124:P127 P129:P143">
    <cfRule type="cellIs" dxfId="1982" priority="364" operator="equal">
      <formula>"+"</formula>
    </cfRule>
    <cfRule type="cellIs" dxfId="1981" priority="365" operator="equal">
      <formula>"szf"</formula>
    </cfRule>
  </conditionalFormatting>
  <conditionalFormatting sqref="Q124:Q127 Q129:Q143">
    <cfRule type="cellIs" dxfId="1980" priority="362" operator="equal">
      <formula>"+"</formula>
    </cfRule>
    <cfRule type="cellIs" dxfId="1979" priority="363" operator="equal">
      <formula>"szf"</formula>
    </cfRule>
  </conditionalFormatting>
  <conditionalFormatting sqref="X124:X127 X129:X143">
    <cfRule type="cellIs" dxfId="1978" priority="360" operator="equal">
      <formula>"+"</formula>
    </cfRule>
    <cfRule type="cellIs" dxfId="1977" priority="361" operator="equal">
      <formula>"szf"</formula>
    </cfRule>
  </conditionalFormatting>
  <conditionalFormatting sqref="Y124:Y127 Y129:Y143">
    <cfRule type="cellIs" dxfId="1976" priority="358" operator="equal">
      <formula>"+"</formula>
    </cfRule>
    <cfRule type="cellIs" dxfId="1975" priority="359" operator="equal">
      <formula>"szf"</formula>
    </cfRule>
  </conditionalFormatting>
  <conditionalFormatting sqref="B148:B151 B153:B167">
    <cfRule type="cellIs" dxfId="1974" priority="356" operator="equal">
      <formula>"+"</formula>
    </cfRule>
    <cfRule type="cellIs" dxfId="1973" priority="357" operator="equal">
      <formula>"szf"</formula>
    </cfRule>
  </conditionalFormatting>
  <conditionalFormatting sqref="C148:C151 C153:C167">
    <cfRule type="cellIs" dxfId="1972" priority="354" operator="equal">
      <formula>"+"</formula>
    </cfRule>
    <cfRule type="cellIs" dxfId="1971" priority="355" operator="equal">
      <formula>"szf"</formula>
    </cfRule>
  </conditionalFormatting>
  <conditionalFormatting sqref="J148:J151 J153:J167">
    <cfRule type="cellIs" dxfId="1970" priority="352" operator="equal">
      <formula>"+"</formula>
    </cfRule>
    <cfRule type="cellIs" dxfId="1969" priority="353" operator="equal">
      <formula>"szf"</formula>
    </cfRule>
  </conditionalFormatting>
  <conditionalFormatting sqref="K148:K151 K153:K167">
    <cfRule type="cellIs" dxfId="1968" priority="350" operator="equal">
      <formula>"+"</formula>
    </cfRule>
    <cfRule type="cellIs" dxfId="1967" priority="351" operator="equal">
      <formula>"szf"</formula>
    </cfRule>
  </conditionalFormatting>
  <conditionalFormatting sqref="R148:R151 R153:R167">
    <cfRule type="cellIs" dxfId="1966" priority="348" operator="equal">
      <formula>"+"</formula>
    </cfRule>
    <cfRule type="cellIs" dxfId="1965" priority="349" operator="equal">
      <formula>"szf"</formula>
    </cfRule>
  </conditionalFormatting>
  <conditionalFormatting sqref="S148:S151 S153:S167">
    <cfRule type="cellIs" dxfId="1964" priority="346" operator="equal">
      <formula>"+"</formula>
    </cfRule>
    <cfRule type="cellIs" dxfId="1963" priority="347" operator="equal">
      <formula>"szf"</formula>
    </cfRule>
  </conditionalFormatting>
  <conditionalFormatting sqref="Z148:Z151 Z153:Z167">
    <cfRule type="cellIs" dxfId="1962" priority="344" operator="equal">
      <formula>"+"</formula>
    </cfRule>
    <cfRule type="cellIs" dxfId="1961" priority="345" operator="equal">
      <formula>"szf"</formula>
    </cfRule>
  </conditionalFormatting>
  <conditionalFormatting sqref="AA148:AA151 AA153:AA167">
    <cfRule type="cellIs" dxfId="1960" priority="342" operator="equal">
      <formula>"+"</formula>
    </cfRule>
    <cfRule type="cellIs" dxfId="1959" priority="343" operator="equal">
      <formula>"szf"</formula>
    </cfRule>
  </conditionalFormatting>
  <conditionalFormatting sqref="C172:C191">
    <cfRule type="cellIs" dxfId="1958" priority="340" operator="equal">
      <formula>"+"</formula>
    </cfRule>
    <cfRule type="cellIs" dxfId="1957" priority="341" operator="equal">
      <formula>"szf"</formula>
    </cfRule>
  </conditionalFormatting>
  <conditionalFormatting sqref="D172:D191">
    <cfRule type="cellIs" dxfId="1956" priority="338" operator="equal">
      <formula>"+"</formula>
    </cfRule>
    <cfRule type="cellIs" dxfId="1955" priority="339" operator="equal">
      <formula>"szf"</formula>
    </cfRule>
  </conditionalFormatting>
  <conditionalFormatting sqref="K172:K191">
    <cfRule type="cellIs" dxfId="1954" priority="336" operator="equal">
      <formula>"+"</formula>
    </cfRule>
    <cfRule type="cellIs" dxfId="1953" priority="337" operator="equal">
      <formula>"szf"</formula>
    </cfRule>
  </conditionalFormatting>
  <conditionalFormatting sqref="L172:L191">
    <cfRule type="cellIs" dxfId="1952" priority="334" operator="equal">
      <formula>"+"</formula>
    </cfRule>
    <cfRule type="cellIs" dxfId="1951" priority="335" operator="equal">
      <formula>"szf"</formula>
    </cfRule>
  </conditionalFormatting>
  <conditionalFormatting sqref="S172:S191">
    <cfRule type="cellIs" dxfId="1950" priority="332" operator="equal">
      <formula>"+"</formula>
    </cfRule>
    <cfRule type="cellIs" dxfId="1949" priority="333" operator="equal">
      <formula>"szf"</formula>
    </cfRule>
  </conditionalFormatting>
  <conditionalFormatting sqref="T172:T191">
    <cfRule type="cellIs" dxfId="1948" priority="330" operator="equal">
      <formula>"+"</formula>
    </cfRule>
    <cfRule type="cellIs" dxfId="1947" priority="331" operator="equal">
      <formula>"szf"</formula>
    </cfRule>
  </conditionalFormatting>
  <conditionalFormatting sqref="AA172:AA191">
    <cfRule type="cellIs" dxfId="1946" priority="328" operator="equal">
      <formula>"+"</formula>
    </cfRule>
    <cfRule type="cellIs" dxfId="1945" priority="329" operator="equal">
      <formula>"szf"</formula>
    </cfRule>
  </conditionalFormatting>
  <conditionalFormatting sqref="AB172:AB191">
    <cfRule type="cellIs" dxfId="1944" priority="326" operator="equal">
      <formula>"+"</formula>
    </cfRule>
    <cfRule type="cellIs" dxfId="1943" priority="327" operator="equal">
      <formula>"szf"</formula>
    </cfRule>
  </conditionalFormatting>
  <conditionalFormatting sqref="D196:D215">
    <cfRule type="cellIs" dxfId="1942" priority="324" operator="equal">
      <formula>"+"</formula>
    </cfRule>
    <cfRule type="cellIs" dxfId="1941" priority="325" operator="equal">
      <formula>"szf"</formula>
    </cfRule>
  </conditionalFormatting>
  <conditionalFormatting sqref="E196:E215">
    <cfRule type="cellIs" dxfId="1940" priority="322" operator="equal">
      <formula>"+"</formula>
    </cfRule>
    <cfRule type="cellIs" dxfId="1939" priority="323" operator="equal">
      <formula>"szf"</formula>
    </cfRule>
  </conditionalFormatting>
  <conditionalFormatting sqref="L196:L215">
    <cfRule type="cellIs" dxfId="1938" priority="320" operator="equal">
      <formula>"+"</formula>
    </cfRule>
    <cfRule type="cellIs" dxfId="1937" priority="321" operator="equal">
      <formula>"szf"</formula>
    </cfRule>
  </conditionalFormatting>
  <conditionalFormatting sqref="M196:M215">
    <cfRule type="cellIs" dxfId="1936" priority="318" operator="equal">
      <formula>"+"</formula>
    </cfRule>
    <cfRule type="cellIs" dxfId="1935" priority="319" operator="equal">
      <formula>"szf"</formula>
    </cfRule>
  </conditionalFormatting>
  <conditionalFormatting sqref="T196:T215">
    <cfRule type="cellIs" dxfId="1934" priority="316" operator="equal">
      <formula>"+"</formula>
    </cfRule>
    <cfRule type="cellIs" dxfId="1933" priority="317" operator="equal">
      <formula>"szf"</formula>
    </cfRule>
  </conditionalFormatting>
  <conditionalFormatting sqref="U196:U215">
    <cfRule type="cellIs" dxfId="1932" priority="314" operator="equal">
      <formula>"+"</formula>
    </cfRule>
    <cfRule type="cellIs" dxfId="1931" priority="315" operator="equal">
      <formula>"szf"</formula>
    </cfRule>
  </conditionalFormatting>
  <conditionalFormatting sqref="AB196:AB215">
    <cfRule type="cellIs" dxfId="1930" priority="312" operator="equal">
      <formula>"+"</formula>
    </cfRule>
    <cfRule type="cellIs" dxfId="1929" priority="313" operator="equal">
      <formula>"szf"</formula>
    </cfRule>
  </conditionalFormatting>
  <conditionalFormatting sqref="AC196:AC215">
    <cfRule type="cellIs" dxfId="1928" priority="310" operator="equal">
      <formula>"+"</formula>
    </cfRule>
    <cfRule type="cellIs" dxfId="1927" priority="311" operator="equal">
      <formula>"szf"</formula>
    </cfRule>
  </conditionalFormatting>
  <conditionalFormatting sqref="F220:F239">
    <cfRule type="cellIs" dxfId="1926" priority="308" operator="equal">
      <formula>"+"</formula>
    </cfRule>
    <cfRule type="cellIs" dxfId="1925" priority="309" operator="equal">
      <formula>"szf"</formula>
    </cfRule>
  </conditionalFormatting>
  <conditionalFormatting sqref="G220:G239">
    <cfRule type="cellIs" dxfId="1924" priority="306" operator="equal">
      <formula>"+"</formula>
    </cfRule>
    <cfRule type="cellIs" dxfId="1923" priority="307" operator="equal">
      <formula>"szf"</formula>
    </cfRule>
  </conditionalFormatting>
  <conditionalFormatting sqref="N220:N239">
    <cfRule type="cellIs" dxfId="1922" priority="304" operator="equal">
      <formula>"+"</formula>
    </cfRule>
    <cfRule type="cellIs" dxfId="1921" priority="305" operator="equal">
      <formula>"szf"</formula>
    </cfRule>
  </conditionalFormatting>
  <conditionalFormatting sqref="O220:O239">
    <cfRule type="cellIs" dxfId="1920" priority="302" operator="equal">
      <formula>"+"</formula>
    </cfRule>
    <cfRule type="cellIs" dxfId="1919" priority="303" operator="equal">
      <formula>"szf"</formula>
    </cfRule>
  </conditionalFormatting>
  <conditionalFormatting sqref="V220:V239">
    <cfRule type="cellIs" dxfId="1918" priority="300" operator="equal">
      <formula>"+"</formula>
    </cfRule>
    <cfRule type="cellIs" dxfId="1917" priority="301" operator="equal">
      <formula>"szf"</formula>
    </cfRule>
  </conditionalFormatting>
  <conditionalFormatting sqref="W220:W239">
    <cfRule type="cellIs" dxfId="1916" priority="298" operator="equal">
      <formula>"+"</formula>
    </cfRule>
    <cfRule type="cellIs" dxfId="1915" priority="299" operator="equal">
      <formula>"szf"</formula>
    </cfRule>
  </conditionalFormatting>
  <conditionalFormatting sqref="AD220:AD239">
    <cfRule type="cellIs" dxfId="1914" priority="296" operator="equal">
      <formula>"+"</formula>
    </cfRule>
    <cfRule type="cellIs" dxfId="1913" priority="297" operator="equal">
      <formula>"szf"</formula>
    </cfRule>
  </conditionalFormatting>
  <conditionalFormatting sqref="AE220:AE239">
    <cfRule type="cellIs" dxfId="1912" priority="294" operator="equal">
      <formula>"+"</formula>
    </cfRule>
    <cfRule type="cellIs" dxfId="1911" priority="295" operator="equal">
      <formula>"szf"</formula>
    </cfRule>
  </conditionalFormatting>
  <conditionalFormatting sqref="G244:G263">
    <cfRule type="cellIs" dxfId="1910" priority="292" operator="equal">
      <formula>"+"</formula>
    </cfRule>
    <cfRule type="cellIs" dxfId="1909" priority="293" operator="equal">
      <formula>"szf"</formula>
    </cfRule>
  </conditionalFormatting>
  <conditionalFormatting sqref="H244:H263">
    <cfRule type="cellIs" dxfId="1908" priority="290" operator="equal">
      <formula>"+"</formula>
    </cfRule>
    <cfRule type="cellIs" dxfId="1907" priority="291" operator="equal">
      <formula>"szf"</formula>
    </cfRule>
  </conditionalFormatting>
  <conditionalFormatting sqref="O244:O263">
    <cfRule type="cellIs" dxfId="1906" priority="288" operator="equal">
      <formula>"+"</formula>
    </cfRule>
    <cfRule type="cellIs" dxfId="1905" priority="289" operator="equal">
      <formula>"szf"</formula>
    </cfRule>
  </conditionalFormatting>
  <conditionalFormatting sqref="P244:P263">
    <cfRule type="cellIs" dxfId="1904" priority="286" operator="equal">
      <formula>"+"</formula>
    </cfRule>
    <cfRule type="cellIs" dxfId="1903" priority="287" operator="equal">
      <formula>"szf"</formula>
    </cfRule>
  </conditionalFormatting>
  <conditionalFormatting sqref="W244:W263">
    <cfRule type="cellIs" dxfId="1902" priority="284" operator="equal">
      <formula>"+"</formula>
    </cfRule>
    <cfRule type="cellIs" dxfId="1901" priority="285" operator="equal">
      <formula>"szf"</formula>
    </cfRule>
  </conditionalFormatting>
  <conditionalFormatting sqref="X244:X263">
    <cfRule type="cellIs" dxfId="1900" priority="282" operator="equal">
      <formula>"+"</formula>
    </cfRule>
    <cfRule type="cellIs" dxfId="1899" priority="283" operator="equal">
      <formula>"szf"</formula>
    </cfRule>
  </conditionalFormatting>
  <conditionalFormatting sqref="AE244:AE263">
    <cfRule type="cellIs" dxfId="1898" priority="280" operator="equal">
      <formula>"+"</formula>
    </cfRule>
    <cfRule type="cellIs" dxfId="1897" priority="281" operator="equal">
      <formula>"szf"</formula>
    </cfRule>
  </conditionalFormatting>
  <conditionalFormatting sqref="B268:B287">
    <cfRule type="cellIs" dxfId="1896" priority="278" operator="equal">
      <formula>"+"</formula>
    </cfRule>
    <cfRule type="cellIs" dxfId="1895" priority="279" operator="equal">
      <formula>"szf"</formula>
    </cfRule>
  </conditionalFormatting>
  <conditionalFormatting sqref="I268:I287">
    <cfRule type="cellIs" dxfId="1894" priority="276" operator="equal">
      <formula>"+"</formula>
    </cfRule>
    <cfRule type="cellIs" dxfId="1893" priority="277" operator="equal">
      <formula>"szf"</formula>
    </cfRule>
  </conditionalFormatting>
  <conditionalFormatting sqref="J268:J287">
    <cfRule type="cellIs" dxfId="1892" priority="274" operator="equal">
      <formula>"+"</formula>
    </cfRule>
    <cfRule type="cellIs" dxfId="1891" priority="275" operator="equal">
      <formula>"szf"</formula>
    </cfRule>
  </conditionalFormatting>
  <conditionalFormatting sqref="Q268:Q287">
    <cfRule type="cellIs" dxfId="1890" priority="272" operator="equal">
      <formula>"+"</formula>
    </cfRule>
    <cfRule type="cellIs" dxfId="1889" priority="273" operator="equal">
      <formula>"szf"</formula>
    </cfRule>
  </conditionalFormatting>
  <conditionalFormatting sqref="R268:R287">
    <cfRule type="cellIs" dxfId="1888" priority="270" operator="equal">
      <formula>"+"</formula>
    </cfRule>
    <cfRule type="cellIs" dxfId="1887" priority="271" operator="equal">
      <formula>"szf"</formula>
    </cfRule>
  </conditionalFormatting>
  <conditionalFormatting sqref="Y268:Y287">
    <cfRule type="cellIs" dxfId="1886" priority="268" operator="equal">
      <formula>"+"</formula>
    </cfRule>
    <cfRule type="cellIs" dxfId="1885" priority="269" operator="equal">
      <formula>"szf"</formula>
    </cfRule>
  </conditionalFormatting>
  <conditionalFormatting sqref="M76:M95">
    <cfRule type="cellIs" dxfId="1884" priority="264" operator="equal">
      <formula>"szf"</formula>
    </cfRule>
    <cfRule type="cellIs" dxfId="1883" priority="265" operator="equal">
      <formula>"+"</formula>
    </cfRule>
  </conditionalFormatting>
  <conditionalFormatting sqref="N76:N95">
    <cfRule type="cellIs" dxfId="1882" priority="262" operator="equal">
      <formula>"szf"</formula>
    </cfRule>
    <cfRule type="cellIs" dxfId="1881" priority="263" operator="equal">
      <formula>"+"</formula>
    </cfRule>
  </conditionalFormatting>
  <conditionalFormatting sqref="Z268:Z287">
    <cfRule type="cellIs" dxfId="1880" priority="260" operator="equal">
      <formula>"szf"</formula>
    </cfRule>
    <cfRule type="cellIs" dxfId="1879" priority="261" operator="equal">
      <formula>"+"</formula>
    </cfRule>
  </conditionalFormatting>
  <conditionalFormatting sqref="B4:C4">
    <cfRule type="cellIs" dxfId="1878" priority="256" operator="equal">
      <formula>"szf"</formula>
    </cfRule>
  </conditionalFormatting>
  <conditionalFormatting sqref="B4:C4 B6:C23">
    <cfRule type="cellIs" dxfId="1877" priority="254" operator="equal">
      <formula>"+"</formula>
    </cfRule>
    <cfRule type="cellIs" dxfId="1876" priority="255" operator="equal">
      <formula>"szf"</formula>
    </cfRule>
  </conditionalFormatting>
  <conditionalFormatting sqref="J4:K4">
    <cfRule type="cellIs" dxfId="1875" priority="253" operator="equal">
      <formula>"szf"</formula>
    </cfRule>
  </conditionalFormatting>
  <conditionalFormatting sqref="J4:K4 J6:K23">
    <cfRule type="cellIs" dxfId="1874" priority="251" operator="equal">
      <formula>"+"</formula>
    </cfRule>
    <cfRule type="cellIs" dxfId="1873" priority="252" operator="equal">
      <formula>"szf"</formula>
    </cfRule>
  </conditionalFormatting>
  <conditionalFormatting sqref="R4:S4">
    <cfRule type="cellIs" dxfId="1872" priority="250" operator="equal">
      <formula>"szf"</formula>
    </cfRule>
  </conditionalFormatting>
  <conditionalFormatting sqref="R4:S4 R6:S23">
    <cfRule type="cellIs" dxfId="1871" priority="248" operator="equal">
      <formula>"+"</formula>
    </cfRule>
    <cfRule type="cellIs" dxfId="1870" priority="249" operator="equal">
      <formula>"szf"</formula>
    </cfRule>
  </conditionalFormatting>
  <conditionalFormatting sqref="Z4:AA4">
    <cfRule type="cellIs" dxfId="1869" priority="247" operator="equal">
      <formula>"szf"</formula>
    </cfRule>
  </conditionalFormatting>
  <conditionalFormatting sqref="Z4:AA4 Z6:AA23">
    <cfRule type="cellIs" dxfId="1868" priority="245" operator="equal">
      <formula>"+"</formula>
    </cfRule>
    <cfRule type="cellIs" dxfId="1867" priority="246" operator="equal">
      <formula>"szf"</formula>
    </cfRule>
  </conditionalFormatting>
  <conditionalFormatting sqref="C28:D28">
    <cfRule type="cellIs" dxfId="1866" priority="244" operator="equal">
      <formula>"szf"</formula>
    </cfRule>
  </conditionalFormatting>
  <conditionalFormatting sqref="C28:D28 C30:D47">
    <cfRule type="cellIs" dxfId="1865" priority="242" operator="equal">
      <formula>"+"</formula>
    </cfRule>
    <cfRule type="cellIs" dxfId="1864" priority="243" operator="equal">
      <formula>"szf"</formula>
    </cfRule>
  </conditionalFormatting>
  <conditionalFormatting sqref="K28:L28">
    <cfRule type="cellIs" dxfId="1863" priority="241" operator="equal">
      <formula>"szf"</formula>
    </cfRule>
  </conditionalFormatting>
  <conditionalFormatting sqref="K28:L47">
    <cfRule type="cellIs" dxfId="1862" priority="239" operator="equal">
      <formula>"+"</formula>
    </cfRule>
    <cfRule type="cellIs" dxfId="1861" priority="240" operator="equal">
      <formula>"szf"</formula>
    </cfRule>
  </conditionalFormatting>
  <conditionalFormatting sqref="S28:T28">
    <cfRule type="cellIs" dxfId="1860" priority="238" operator="equal">
      <formula>"szf"</formula>
    </cfRule>
  </conditionalFormatting>
  <conditionalFormatting sqref="S28:T47">
    <cfRule type="cellIs" dxfId="1859" priority="236" operator="equal">
      <formula>"+"</formula>
    </cfRule>
    <cfRule type="cellIs" dxfId="1858" priority="237" operator="equal">
      <formula>"szf"</formula>
    </cfRule>
  </conditionalFormatting>
  <conditionalFormatting sqref="AA28:AB28">
    <cfRule type="cellIs" dxfId="1857" priority="235" operator="equal">
      <formula>"szf"</formula>
    </cfRule>
  </conditionalFormatting>
  <conditionalFormatting sqref="AA28:AB47">
    <cfRule type="cellIs" dxfId="1856" priority="233" operator="equal">
      <formula>"+"</formula>
    </cfRule>
    <cfRule type="cellIs" dxfId="1855" priority="234" operator="equal">
      <formula>"szf"</formula>
    </cfRule>
  </conditionalFormatting>
  <conditionalFormatting sqref="F52:G52">
    <cfRule type="cellIs" dxfId="1854" priority="232" operator="equal">
      <formula>"szf"</formula>
    </cfRule>
  </conditionalFormatting>
  <conditionalFormatting sqref="F52:G71">
    <cfRule type="cellIs" dxfId="1853" priority="230" operator="equal">
      <formula>"+"</formula>
    </cfRule>
    <cfRule type="cellIs" dxfId="1852" priority="231" operator="equal">
      <formula>"szf"</formula>
    </cfRule>
  </conditionalFormatting>
  <conditionalFormatting sqref="N52:O52">
    <cfRule type="cellIs" dxfId="1851" priority="229" operator="equal">
      <formula>"szf"</formula>
    </cfRule>
  </conditionalFormatting>
  <conditionalFormatting sqref="N52:O71">
    <cfRule type="cellIs" dxfId="1850" priority="227" operator="equal">
      <formula>"+"</formula>
    </cfRule>
    <cfRule type="cellIs" dxfId="1849" priority="228" operator="equal">
      <formula>"szf"</formula>
    </cfRule>
  </conditionalFormatting>
  <conditionalFormatting sqref="V52:W52">
    <cfRule type="cellIs" dxfId="1848" priority="226" operator="equal">
      <formula>"szf"</formula>
    </cfRule>
  </conditionalFormatting>
  <conditionalFormatting sqref="V52:W71">
    <cfRule type="cellIs" dxfId="1847" priority="224" operator="equal">
      <formula>"+"</formula>
    </cfRule>
    <cfRule type="cellIs" dxfId="1846" priority="225" operator="equal">
      <formula>"szf"</formula>
    </cfRule>
  </conditionalFormatting>
  <conditionalFormatting sqref="AD52:AE52">
    <cfRule type="cellIs" dxfId="1845" priority="223" operator="equal">
      <formula>"szf"</formula>
    </cfRule>
  </conditionalFormatting>
  <conditionalFormatting sqref="AD52:AE71">
    <cfRule type="cellIs" dxfId="1844" priority="221" operator="equal">
      <formula>"+"</formula>
    </cfRule>
    <cfRule type="cellIs" dxfId="1843" priority="222" operator="equal">
      <formula>"szf"</formula>
    </cfRule>
  </conditionalFormatting>
  <conditionalFormatting sqref="G76:H76">
    <cfRule type="cellIs" dxfId="1842" priority="220" operator="equal">
      <formula>"szf"</formula>
    </cfRule>
  </conditionalFormatting>
  <conditionalFormatting sqref="G76:H95">
    <cfRule type="cellIs" dxfId="1841" priority="218" operator="equal">
      <formula>"+"</formula>
    </cfRule>
    <cfRule type="cellIs" dxfId="1840" priority="219" operator="equal">
      <formula>"szf"</formula>
    </cfRule>
  </conditionalFormatting>
  <conditionalFormatting sqref="O76:P76">
    <cfRule type="cellIs" dxfId="1839" priority="217" operator="equal">
      <formula>"szf"</formula>
    </cfRule>
  </conditionalFormatting>
  <conditionalFormatting sqref="O76:P95">
    <cfRule type="cellIs" dxfId="1838" priority="215" operator="equal">
      <formula>"+"</formula>
    </cfRule>
    <cfRule type="cellIs" dxfId="1837" priority="216" operator="equal">
      <formula>"szf"</formula>
    </cfRule>
  </conditionalFormatting>
  <conditionalFormatting sqref="W76:X76">
    <cfRule type="cellIs" dxfId="1836" priority="214" operator="equal">
      <formula>"szf"</formula>
    </cfRule>
  </conditionalFormatting>
  <conditionalFormatting sqref="W76:X95">
    <cfRule type="cellIs" dxfId="1835" priority="212" operator="equal">
      <formula>"+"</formula>
    </cfRule>
    <cfRule type="cellIs" dxfId="1834" priority="213" operator="equal">
      <formula>"szf"</formula>
    </cfRule>
  </conditionalFormatting>
  <conditionalFormatting sqref="AE76">
    <cfRule type="cellIs" dxfId="1833" priority="211" operator="equal">
      <formula>"szf"</formula>
    </cfRule>
  </conditionalFormatting>
  <conditionalFormatting sqref="AE76:AE95">
    <cfRule type="cellIs" dxfId="1832" priority="209" operator="equal">
      <formula>"+"</formula>
    </cfRule>
    <cfRule type="cellIs" dxfId="1831" priority="210" operator="equal">
      <formula>"szf"</formula>
    </cfRule>
  </conditionalFormatting>
  <conditionalFormatting sqref="B100">
    <cfRule type="cellIs" dxfId="1830" priority="208" operator="equal">
      <formula>"szf"</formula>
    </cfRule>
  </conditionalFormatting>
  <conditionalFormatting sqref="B100:B119">
    <cfRule type="cellIs" dxfId="1829" priority="206" operator="equal">
      <formula>"+"</formula>
    </cfRule>
    <cfRule type="cellIs" dxfId="1828" priority="207" operator="equal">
      <formula>"szf"</formula>
    </cfRule>
  </conditionalFormatting>
  <conditionalFormatting sqref="I100:J100">
    <cfRule type="cellIs" dxfId="1827" priority="205" operator="equal">
      <formula>"szf"</formula>
    </cfRule>
  </conditionalFormatting>
  <conditionalFormatting sqref="I100:J119">
    <cfRule type="cellIs" dxfId="1826" priority="203" operator="equal">
      <formula>"+"</formula>
    </cfRule>
    <cfRule type="cellIs" dxfId="1825" priority="204" operator="equal">
      <formula>"szf"</formula>
    </cfRule>
  </conditionalFormatting>
  <conditionalFormatting sqref="Q100">
    <cfRule type="cellIs" dxfId="1824" priority="202" operator="equal">
      <formula>"szf"</formula>
    </cfRule>
  </conditionalFormatting>
  <conditionalFormatting sqref="Q100:Q119">
    <cfRule type="cellIs" dxfId="1823" priority="200" operator="equal">
      <formula>"+"</formula>
    </cfRule>
    <cfRule type="cellIs" dxfId="1822" priority="201" operator="equal">
      <formula>"szf"</formula>
    </cfRule>
  </conditionalFormatting>
  <conditionalFormatting sqref="R100">
    <cfRule type="cellIs" dxfId="1821" priority="199" operator="equal">
      <formula>"szf"</formula>
    </cfRule>
  </conditionalFormatting>
  <conditionalFormatting sqref="R100:R119">
    <cfRule type="cellIs" dxfId="1820" priority="197" operator="equal">
      <formula>"+"</formula>
    </cfRule>
    <cfRule type="cellIs" dxfId="1819" priority="198" operator="equal">
      <formula>"szf"</formula>
    </cfRule>
  </conditionalFormatting>
  <conditionalFormatting sqref="Y100">
    <cfRule type="cellIs" dxfId="1818" priority="196" operator="equal">
      <formula>"szf"</formula>
    </cfRule>
  </conditionalFormatting>
  <conditionalFormatting sqref="Y100:Y119">
    <cfRule type="cellIs" dxfId="1817" priority="194" operator="equal">
      <formula>"+"</formula>
    </cfRule>
    <cfRule type="cellIs" dxfId="1816" priority="195" operator="equal">
      <formula>"szf"</formula>
    </cfRule>
  </conditionalFormatting>
  <conditionalFormatting sqref="Z100">
    <cfRule type="cellIs" dxfId="1815" priority="193" operator="equal">
      <formula>"szf"</formula>
    </cfRule>
  </conditionalFormatting>
  <conditionalFormatting sqref="Z100:Z119">
    <cfRule type="cellIs" dxfId="1814" priority="191" operator="equal">
      <formula>"+"</formula>
    </cfRule>
    <cfRule type="cellIs" dxfId="1813" priority="192" operator="equal">
      <formula>"szf"</formula>
    </cfRule>
  </conditionalFormatting>
  <conditionalFormatting sqref="B124">
    <cfRule type="cellIs" dxfId="1812" priority="190" operator="equal">
      <formula>"szf"</formula>
    </cfRule>
  </conditionalFormatting>
  <conditionalFormatting sqref="B124:B143">
    <cfRule type="cellIs" dxfId="1811" priority="188" operator="equal">
      <formula>"+"</formula>
    </cfRule>
    <cfRule type="cellIs" dxfId="1810" priority="189" operator="equal">
      <formula>"szf"</formula>
    </cfRule>
  </conditionalFormatting>
  <conditionalFormatting sqref="C124">
    <cfRule type="cellIs" dxfId="1809" priority="187" operator="equal">
      <formula>"szf"</formula>
    </cfRule>
  </conditionalFormatting>
  <conditionalFormatting sqref="C124:C143">
    <cfRule type="cellIs" dxfId="1808" priority="185" operator="equal">
      <formula>"+"</formula>
    </cfRule>
    <cfRule type="cellIs" dxfId="1807" priority="186" operator="equal">
      <formula>"szf"</formula>
    </cfRule>
  </conditionalFormatting>
  <conditionalFormatting sqref="J124">
    <cfRule type="cellIs" dxfId="1806" priority="184" operator="equal">
      <formula>"szf"</formula>
    </cfRule>
  </conditionalFormatting>
  <conditionalFormatting sqref="J124:J127 J129:J143">
    <cfRule type="cellIs" dxfId="1805" priority="182" operator="equal">
      <formula>"+"</formula>
    </cfRule>
    <cfRule type="cellIs" dxfId="1804" priority="183" operator="equal">
      <formula>"szf"</formula>
    </cfRule>
  </conditionalFormatting>
  <conditionalFormatting sqref="K124">
    <cfRule type="cellIs" dxfId="1803" priority="181" operator="equal">
      <formula>"szf"</formula>
    </cfRule>
  </conditionalFormatting>
  <conditionalFormatting sqref="K124:K127 K129:K143">
    <cfRule type="cellIs" dxfId="1802" priority="179" operator="equal">
      <formula>"+"</formula>
    </cfRule>
    <cfRule type="cellIs" dxfId="1801" priority="180" operator="equal">
      <formula>"szf"</formula>
    </cfRule>
  </conditionalFormatting>
  <conditionalFormatting sqref="R124">
    <cfRule type="cellIs" dxfId="1800" priority="178" operator="equal">
      <formula>"szf"</formula>
    </cfRule>
  </conditionalFormatting>
  <conditionalFormatting sqref="R124:R127 R129:R143">
    <cfRule type="cellIs" dxfId="1799" priority="176" operator="equal">
      <formula>"+"</formula>
    </cfRule>
    <cfRule type="cellIs" dxfId="1798" priority="177" operator="equal">
      <formula>"szf"</formula>
    </cfRule>
  </conditionalFormatting>
  <conditionalFormatting sqref="S124">
    <cfRule type="cellIs" dxfId="1797" priority="175" operator="equal">
      <formula>"szf"</formula>
    </cfRule>
  </conditionalFormatting>
  <conditionalFormatting sqref="S124:S127 S129:S143">
    <cfRule type="cellIs" dxfId="1796" priority="173" operator="equal">
      <formula>"+"</formula>
    </cfRule>
    <cfRule type="cellIs" dxfId="1795" priority="174" operator="equal">
      <formula>"szf"</formula>
    </cfRule>
  </conditionalFormatting>
  <conditionalFormatting sqref="Z124">
    <cfRule type="cellIs" dxfId="1794" priority="172" operator="equal">
      <formula>"szf"</formula>
    </cfRule>
  </conditionalFormatting>
  <conditionalFormatting sqref="Z124:Z127 Z129:Z143">
    <cfRule type="cellIs" dxfId="1793" priority="170" operator="equal">
      <formula>"+"</formula>
    </cfRule>
    <cfRule type="cellIs" dxfId="1792" priority="171" operator="equal">
      <formula>"szf"</formula>
    </cfRule>
  </conditionalFormatting>
  <conditionalFormatting sqref="AA124">
    <cfRule type="cellIs" dxfId="1791" priority="169" operator="equal">
      <formula>"szf"</formula>
    </cfRule>
  </conditionalFormatting>
  <conditionalFormatting sqref="AA124:AA127 AA129:AA143">
    <cfRule type="cellIs" dxfId="1790" priority="167" operator="equal">
      <formula>"+"</formula>
    </cfRule>
    <cfRule type="cellIs" dxfId="1789" priority="168" operator="equal">
      <formula>"szf"</formula>
    </cfRule>
  </conditionalFormatting>
  <conditionalFormatting sqref="D148">
    <cfRule type="cellIs" dxfId="1788" priority="166" operator="equal">
      <formula>"szf"</formula>
    </cfRule>
  </conditionalFormatting>
  <conditionalFormatting sqref="D148:D151 D153:D167">
    <cfRule type="cellIs" dxfId="1787" priority="164" operator="equal">
      <formula>"+"</formula>
    </cfRule>
    <cfRule type="cellIs" dxfId="1786" priority="165" operator="equal">
      <formula>"szf"</formula>
    </cfRule>
  </conditionalFormatting>
  <conditionalFormatting sqref="E148">
    <cfRule type="cellIs" dxfId="1785" priority="163" operator="equal">
      <formula>"szf"</formula>
    </cfRule>
  </conditionalFormatting>
  <conditionalFormatting sqref="E148:E151 E153:E167">
    <cfRule type="cellIs" dxfId="1784" priority="161" operator="equal">
      <formula>"+"</formula>
    </cfRule>
    <cfRule type="cellIs" dxfId="1783" priority="162" operator="equal">
      <formula>"szf"</formula>
    </cfRule>
  </conditionalFormatting>
  <conditionalFormatting sqref="L148">
    <cfRule type="cellIs" dxfId="1782" priority="160" operator="equal">
      <formula>"szf"</formula>
    </cfRule>
  </conditionalFormatting>
  <conditionalFormatting sqref="L148:L151 L153:L167">
    <cfRule type="cellIs" dxfId="1781" priority="158" operator="equal">
      <formula>"+"</formula>
    </cfRule>
    <cfRule type="cellIs" dxfId="1780" priority="159" operator="equal">
      <formula>"szf"</formula>
    </cfRule>
  </conditionalFormatting>
  <conditionalFormatting sqref="M148">
    <cfRule type="cellIs" dxfId="1779" priority="157" operator="equal">
      <formula>"szf"</formula>
    </cfRule>
  </conditionalFormatting>
  <conditionalFormatting sqref="M148:M151 M153:M167">
    <cfRule type="cellIs" dxfId="1778" priority="155" operator="equal">
      <formula>"+"</formula>
    </cfRule>
    <cfRule type="cellIs" dxfId="1777" priority="156" operator="equal">
      <formula>"szf"</formula>
    </cfRule>
  </conditionalFormatting>
  <conditionalFormatting sqref="T148">
    <cfRule type="cellIs" dxfId="1776" priority="154" operator="equal">
      <formula>"szf"</formula>
    </cfRule>
  </conditionalFormatting>
  <conditionalFormatting sqref="T148:T151 T153:T167">
    <cfRule type="cellIs" dxfId="1775" priority="152" operator="equal">
      <formula>"+"</formula>
    </cfRule>
    <cfRule type="cellIs" dxfId="1774" priority="153" operator="equal">
      <formula>"szf"</formula>
    </cfRule>
  </conditionalFormatting>
  <conditionalFormatting sqref="U148">
    <cfRule type="cellIs" dxfId="1773" priority="151" operator="equal">
      <formula>"szf"</formula>
    </cfRule>
  </conditionalFormatting>
  <conditionalFormatting sqref="U148:U151 U153:U167">
    <cfRule type="cellIs" dxfId="1772" priority="149" operator="equal">
      <formula>"+"</formula>
    </cfRule>
    <cfRule type="cellIs" dxfId="1771" priority="150" operator="equal">
      <formula>"szf"</formula>
    </cfRule>
  </conditionalFormatting>
  <conditionalFormatting sqref="AB148">
    <cfRule type="cellIs" dxfId="1770" priority="148" operator="equal">
      <formula>"szf"</formula>
    </cfRule>
  </conditionalFormatting>
  <conditionalFormatting sqref="AB148:AB151 AB153:AB167">
    <cfRule type="cellIs" dxfId="1769" priority="146" operator="equal">
      <formula>"+"</formula>
    </cfRule>
    <cfRule type="cellIs" dxfId="1768" priority="147" operator="equal">
      <formula>"szf"</formula>
    </cfRule>
  </conditionalFormatting>
  <conditionalFormatting sqref="AC148">
    <cfRule type="cellIs" dxfId="1767" priority="145" operator="equal">
      <formula>"szf"</formula>
    </cfRule>
  </conditionalFormatting>
  <conditionalFormatting sqref="AC148:AC151 AC153:AC167">
    <cfRule type="cellIs" dxfId="1766" priority="143" operator="equal">
      <formula>"+"</formula>
    </cfRule>
    <cfRule type="cellIs" dxfId="1765" priority="144" operator="equal">
      <formula>"szf"</formula>
    </cfRule>
  </conditionalFormatting>
  <conditionalFormatting sqref="E172">
    <cfRule type="cellIs" dxfId="1764" priority="142" operator="equal">
      <formula>"szf"</formula>
    </cfRule>
  </conditionalFormatting>
  <conditionalFormatting sqref="E172:E191">
    <cfRule type="cellIs" dxfId="1763" priority="140" operator="equal">
      <formula>"+"</formula>
    </cfRule>
    <cfRule type="cellIs" dxfId="1762" priority="141" operator="equal">
      <formula>"szf"</formula>
    </cfRule>
  </conditionalFormatting>
  <conditionalFormatting sqref="F172">
    <cfRule type="cellIs" dxfId="1761" priority="139" operator="equal">
      <formula>"szf"</formula>
    </cfRule>
  </conditionalFormatting>
  <conditionalFormatting sqref="F172:F191">
    <cfRule type="cellIs" dxfId="1760" priority="137" operator="equal">
      <formula>"+"</formula>
    </cfRule>
    <cfRule type="cellIs" dxfId="1759" priority="138" operator="equal">
      <formula>"szf"</formula>
    </cfRule>
  </conditionalFormatting>
  <conditionalFormatting sqref="M172">
    <cfRule type="cellIs" dxfId="1758" priority="136" operator="equal">
      <formula>"szf"</formula>
    </cfRule>
  </conditionalFormatting>
  <conditionalFormatting sqref="M172:M191">
    <cfRule type="cellIs" dxfId="1757" priority="134" operator="equal">
      <formula>"+"</formula>
    </cfRule>
    <cfRule type="cellIs" dxfId="1756" priority="135" operator="equal">
      <formula>"szf"</formula>
    </cfRule>
  </conditionalFormatting>
  <conditionalFormatting sqref="N172">
    <cfRule type="cellIs" dxfId="1755" priority="133" operator="equal">
      <formula>"szf"</formula>
    </cfRule>
  </conditionalFormatting>
  <conditionalFormatting sqref="N172:N191">
    <cfRule type="cellIs" dxfId="1754" priority="131" operator="equal">
      <formula>"+"</formula>
    </cfRule>
    <cfRule type="cellIs" dxfId="1753" priority="132" operator="equal">
      <formula>"szf"</formula>
    </cfRule>
  </conditionalFormatting>
  <conditionalFormatting sqref="U172">
    <cfRule type="cellIs" dxfId="1752" priority="130" operator="equal">
      <formula>"szf"</formula>
    </cfRule>
  </conditionalFormatting>
  <conditionalFormatting sqref="U172:U191">
    <cfRule type="cellIs" dxfId="1751" priority="128" operator="equal">
      <formula>"+"</formula>
    </cfRule>
    <cfRule type="cellIs" dxfId="1750" priority="129" operator="equal">
      <formula>"szf"</formula>
    </cfRule>
  </conditionalFormatting>
  <conditionalFormatting sqref="V172">
    <cfRule type="cellIs" dxfId="1749" priority="127" operator="equal">
      <formula>"szf"</formula>
    </cfRule>
  </conditionalFormatting>
  <conditionalFormatting sqref="V172:V191">
    <cfRule type="cellIs" dxfId="1748" priority="125" operator="equal">
      <formula>"+"</formula>
    </cfRule>
    <cfRule type="cellIs" dxfId="1747" priority="126" operator="equal">
      <formula>"szf"</formula>
    </cfRule>
  </conditionalFormatting>
  <conditionalFormatting sqref="AC172">
    <cfRule type="cellIs" dxfId="1746" priority="124" operator="equal">
      <formula>"szf"</formula>
    </cfRule>
  </conditionalFormatting>
  <conditionalFormatting sqref="AC172:AC191">
    <cfRule type="cellIs" dxfId="1745" priority="122" operator="equal">
      <formula>"+"</formula>
    </cfRule>
    <cfRule type="cellIs" dxfId="1744" priority="123" operator="equal">
      <formula>"szf"</formula>
    </cfRule>
  </conditionalFormatting>
  <conditionalFormatting sqref="AD172">
    <cfRule type="cellIs" dxfId="1743" priority="121" operator="equal">
      <formula>"szf"</formula>
    </cfRule>
  </conditionalFormatting>
  <conditionalFormatting sqref="AD172:AD191">
    <cfRule type="cellIs" dxfId="1742" priority="119" operator="equal">
      <formula>"+"</formula>
    </cfRule>
    <cfRule type="cellIs" dxfId="1741" priority="120" operator="equal">
      <formula>"szf"</formula>
    </cfRule>
  </conditionalFormatting>
  <conditionalFormatting sqref="G196">
    <cfRule type="cellIs" dxfId="1740" priority="118" operator="equal">
      <formula>"szf"</formula>
    </cfRule>
  </conditionalFormatting>
  <conditionalFormatting sqref="G196:G215">
    <cfRule type="cellIs" dxfId="1739" priority="116" operator="equal">
      <formula>"+"</formula>
    </cfRule>
    <cfRule type="cellIs" dxfId="1738" priority="117" operator="equal">
      <formula>"szf"</formula>
    </cfRule>
  </conditionalFormatting>
  <conditionalFormatting sqref="F196">
    <cfRule type="cellIs" dxfId="1737" priority="115" operator="equal">
      <formula>"szf"</formula>
    </cfRule>
  </conditionalFormatting>
  <conditionalFormatting sqref="F196:F215">
    <cfRule type="cellIs" dxfId="1736" priority="113" operator="equal">
      <formula>"+"</formula>
    </cfRule>
    <cfRule type="cellIs" dxfId="1735" priority="114" operator="equal">
      <formula>"szf"</formula>
    </cfRule>
  </conditionalFormatting>
  <conditionalFormatting sqref="N196">
    <cfRule type="cellIs" dxfId="1734" priority="112" operator="equal">
      <formula>"szf"</formula>
    </cfRule>
  </conditionalFormatting>
  <conditionalFormatting sqref="N196:N215">
    <cfRule type="cellIs" dxfId="1733" priority="110" operator="equal">
      <formula>"+"</formula>
    </cfRule>
    <cfRule type="cellIs" dxfId="1732" priority="111" operator="equal">
      <formula>"szf"</formula>
    </cfRule>
  </conditionalFormatting>
  <conditionalFormatting sqref="O196">
    <cfRule type="cellIs" dxfId="1731" priority="109" operator="equal">
      <formula>"szf"</formula>
    </cfRule>
  </conditionalFormatting>
  <conditionalFormatting sqref="O196:O215">
    <cfRule type="cellIs" dxfId="1730" priority="107" operator="equal">
      <formula>"+"</formula>
    </cfRule>
    <cfRule type="cellIs" dxfId="1729" priority="108" operator="equal">
      <formula>"szf"</formula>
    </cfRule>
  </conditionalFormatting>
  <conditionalFormatting sqref="V196">
    <cfRule type="cellIs" dxfId="1728" priority="106" operator="equal">
      <formula>"szf"</formula>
    </cfRule>
  </conditionalFormatting>
  <conditionalFormatting sqref="V196:V215">
    <cfRule type="cellIs" dxfId="1727" priority="104" operator="equal">
      <formula>"+"</formula>
    </cfRule>
    <cfRule type="cellIs" dxfId="1726" priority="105" operator="equal">
      <formula>"szf"</formula>
    </cfRule>
  </conditionalFormatting>
  <conditionalFormatting sqref="W196">
    <cfRule type="cellIs" dxfId="1725" priority="103" operator="equal">
      <formula>"szf"</formula>
    </cfRule>
  </conditionalFormatting>
  <conditionalFormatting sqref="W196:W215">
    <cfRule type="cellIs" dxfId="1724" priority="101" operator="equal">
      <formula>"+"</formula>
    </cfRule>
    <cfRule type="cellIs" dxfId="1723" priority="102" operator="equal">
      <formula>"szf"</formula>
    </cfRule>
  </conditionalFormatting>
  <conditionalFormatting sqref="AD196">
    <cfRule type="cellIs" dxfId="1722" priority="100" operator="equal">
      <formula>"szf"</formula>
    </cfRule>
  </conditionalFormatting>
  <conditionalFormatting sqref="AD196:AD215">
    <cfRule type="cellIs" dxfId="1721" priority="98" operator="equal">
      <formula>"+"</formula>
    </cfRule>
    <cfRule type="cellIs" dxfId="1720" priority="99" operator="equal">
      <formula>"szf"</formula>
    </cfRule>
  </conditionalFormatting>
  <conditionalFormatting sqref="AE196">
    <cfRule type="cellIs" dxfId="1719" priority="97" operator="equal">
      <formula>"szf"</formula>
    </cfRule>
  </conditionalFormatting>
  <conditionalFormatting sqref="AE196:AE215">
    <cfRule type="cellIs" dxfId="1718" priority="95" operator="equal">
      <formula>"+"</formula>
    </cfRule>
    <cfRule type="cellIs" dxfId="1717" priority="96" operator="equal">
      <formula>"szf"</formula>
    </cfRule>
  </conditionalFormatting>
  <conditionalFormatting sqref="H220">
    <cfRule type="cellIs" dxfId="1716" priority="94" operator="equal">
      <formula>"szf"</formula>
    </cfRule>
  </conditionalFormatting>
  <conditionalFormatting sqref="H220:H239">
    <cfRule type="cellIs" dxfId="1715" priority="92" operator="equal">
      <formula>"+"</formula>
    </cfRule>
    <cfRule type="cellIs" dxfId="1714" priority="93" operator="equal">
      <formula>"szf"</formula>
    </cfRule>
  </conditionalFormatting>
  <conditionalFormatting sqref="I220">
    <cfRule type="cellIs" dxfId="1713" priority="91" operator="equal">
      <formula>"szf"</formula>
    </cfRule>
  </conditionalFormatting>
  <conditionalFormatting sqref="I220:I239">
    <cfRule type="cellIs" dxfId="1712" priority="89" operator="equal">
      <formula>"+"</formula>
    </cfRule>
    <cfRule type="cellIs" dxfId="1711" priority="90" operator="equal">
      <formula>"szf"</formula>
    </cfRule>
  </conditionalFormatting>
  <conditionalFormatting sqref="Q220">
    <cfRule type="cellIs" dxfId="1710" priority="88" operator="equal">
      <formula>"szf"</formula>
    </cfRule>
  </conditionalFormatting>
  <conditionalFormatting sqref="Q220:Q239">
    <cfRule type="cellIs" dxfId="1709" priority="86" operator="equal">
      <formula>"+"</formula>
    </cfRule>
    <cfRule type="cellIs" dxfId="1708" priority="87" operator="equal">
      <formula>"szf"</formula>
    </cfRule>
  </conditionalFormatting>
  <conditionalFormatting sqref="P220">
    <cfRule type="cellIs" dxfId="1707" priority="85" operator="equal">
      <formula>"szf"</formula>
    </cfRule>
  </conditionalFormatting>
  <conditionalFormatting sqref="P220:P239">
    <cfRule type="cellIs" dxfId="1706" priority="83" operator="equal">
      <formula>"+"</formula>
    </cfRule>
    <cfRule type="cellIs" dxfId="1705" priority="84" operator="equal">
      <formula>"szf"</formula>
    </cfRule>
  </conditionalFormatting>
  <conditionalFormatting sqref="X220">
    <cfRule type="cellIs" dxfId="1704" priority="82" operator="equal">
      <formula>"szf"</formula>
    </cfRule>
  </conditionalFormatting>
  <conditionalFormatting sqref="X220:X239">
    <cfRule type="cellIs" dxfId="1703" priority="80" operator="equal">
      <formula>"+"</formula>
    </cfRule>
    <cfRule type="cellIs" dxfId="1702" priority="81" operator="equal">
      <formula>"szf"</formula>
    </cfRule>
  </conditionalFormatting>
  <conditionalFormatting sqref="Y220">
    <cfRule type="cellIs" dxfId="1701" priority="79" operator="equal">
      <formula>"szf"</formula>
    </cfRule>
  </conditionalFormatting>
  <conditionalFormatting sqref="Y220:Y239">
    <cfRule type="cellIs" dxfId="1700" priority="77" operator="equal">
      <formula>"+"</formula>
    </cfRule>
    <cfRule type="cellIs" dxfId="1699" priority="78" operator="equal">
      <formula>"szf"</formula>
    </cfRule>
  </conditionalFormatting>
  <conditionalFormatting sqref="AF220">
    <cfRule type="cellIs" dxfId="1698" priority="76" operator="equal">
      <formula>"szf"</formula>
    </cfRule>
  </conditionalFormatting>
  <conditionalFormatting sqref="AF220:AF239">
    <cfRule type="cellIs" dxfId="1697" priority="74" operator="equal">
      <formula>"+"</formula>
    </cfRule>
    <cfRule type="cellIs" dxfId="1696" priority="75" operator="equal">
      <formula>"szf"</formula>
    </cfRule>
  </conditionalFormatting>
  <conditionalFormatting sqref="B244">
    <cfRule type="cellIs" dxfId="1695" priority="73" operator="equal">
      <formula>"szf"</formula>
    </cfRule>
  </conditionalFormatting>
  <conditionalFormatting sqref="B244:B263">
    <cfRule type="cellIs" dxfId="1694" priority="71" operator="equal">
      <formula>"+"</formula>
    </cfRule>
    <cfRule type="cellIs" dxfId="1693" priority="72" operator="equal">
      <formula>"szf"</formula>
    </cfRule>
  </conditionalFormatting>
  <conditionalFormatting sqref="I244">
    <cfRule type="cellIs" dxfId="1692" priority="70" operator="equal">
      <formula>"szf"</formula>
    </cfRule>
  </conditionalFormatting>
  <conditionalFormatting sqref="I244:I263">
    <cfRule type="cellIs" dxfId="1691" priority="68" operator="equal">
      <formula>"+"</formula>
    </cfRule>
    <cfRule type="cellIs" dxfId="1690" priority="69" operator="equal">
      <formula>"szf"</formula>
    </cfRule>
  </conditionalFormatting>
  <conditionalFormatting sqref="J244">
    <cfRule type="cellIs" dxfId="1689" priority="67" operator="equal">
      <formula>"szf"</formula>
    </cfRule>
  </conditionalFormatting>
  <conditionalFormatting sqref="J244:J263">
    <cfRule type="cellIs" dxfId="1688" priority="65" operator="equal">
      <formula>"+"</formula>
    </cfRule>
    <cfRule type="cellIs" dxfId="1687" priority="66" operator="equal">
      <formula>"szf"</formula>
    </cfRule>
  </conditionalFormatting>
  <conditionalFormatting sqref="Q244">
    <cfRule type="cellIs" dxfId="1686" priority="64" operator="equal">
      <formula>"szf"</formula>
    </cfRule>
  </conditionalFormatting>
  <conditionalFormatting sqref="Q244:Q263">
    <cfRule type="cellIs" dxfId="1685" priority="62" operator="equal">
      <formula>"+"</formula>
    </cfRule>
    <cfRule type="cellIs" dxfId="1684" priority="63" operator="equal">
      <formula>"szf"</formula>
    </cfRule>
  </conditionalFormatting>
  <conditionalFormatting sqref="R244">
    <cfRule type="cellIs" dxfId="1683" priority="61" operator="equal">
      <formula>"szf"</formula>
    </cfRule>
  </conditionalFormatting>
  <conditionalFormatting sqref="R244:R263">
    <cfRule type="cellIs" dxfId="1682" priority="59" operator="equal">
      <formula>"+"</formula>
    </cfRule>
    <cfRule type="cellIs" dxfId="1681" priority="60" operator="equal">
      <formula>"szf"</formula>
    </cfRule>
  </conditionalFormatting>
  <conditionalFormatting sqref="Y244">
    <cfRule type="cellIs" dxfId="1680" priority="58" operator="equal">
      <formula>"szf"</formula>
    </cfRule>
  </conditionalFormatting>
  <conditionalFormatting sqref="Y244:Y263">
    <cfRule type="cellIs" dxfId="1679" priority="56" operator="equal">
      <formula>"+"</formula>
    </cfRule>
    <cfRule type="cellIs" dxfId="1678" priority="57" operator="equal">
      <formula>"szf"</formula>
    </cfRule>
  </conditionalFormatting>
  <conditionalFormatting sqref="Z244">
    <cfRule type="cellIs" dxfId="1677" priority="55" operator="equal">
      <formula>"szf"</formula>
    </cfRule>
  </conditionalFormatting>
  <conditionalFormatting sqref="Z244:Z263">
    <cfRule type="cellIs" dxfId="1676" priority="53" operator="equal">
      <formula>"+"</formula>
    </cfRule>
    <cfRule type="cellIs" dxfId="1675" priority="54" operator="equal">
      <formula>"szf"</formula>
    </cfRule>
  </conditionalFormatting>
  <conditionalFormatting sqref="C268">
    <cfRule type="cellIs" dxfId="1674" priority="52" operator="equal">
      <formula>"szf"</formula>
    </cfRule>
  </conditionalFormatting>
  <conditionalFormatting sqref="C268:C287">
    <cfRule type="cellIs" dxfId="1673" priority="50" operator="equal">
      <formula>"+"</formula>
    </cfRule>
    <cfRule type="cellIs" dxfId="1672" priority="51" operator="equal">
      <formula>"szf"</formula>
    </cfRule>
  </conditionalFormatting>
  <conditionalFormatting sqref="D268">
    <cfRule type="cellIs" dxfId="1671" priority="49" operator="equal">
      <formula>"szf"</formula>
    </cfRule>
  </conditionalFormatting>
  <conditionalFormatting sqref="D268:D287">
    <cfRule type="cellIs" dxfId="1670" priority="47" operator="equal">
      <formula>"+"</formula>
    </cfRule>
    <cfRule type="cellIs" dxfId="1669" priority="48" operator="equal">
      <formula>"szf"</formula>
    </cfRule>
  </conditionalFormatting>
  <conditionalFormatting sqref="K268">
    <cfRule type="cellIs" dxfId="1668" priority="46" operator="equal">
      <formula>"szf"</formula>
    </cfRule>
  </conditionalFormatting>
  <conditionalFormatting sqref="K268:K287">
    <cfRule type="cellIs" dxfId="1667" priority="44" operator="equal">
      <formula>"+"</formula>
    </cfRule>
    <cfRule type="cellIs" dxfId="1666" priority="45" operator="equal">
      <formula>"szf"</formula>
    </cfRule>
  </conditionalFormatting>
  <conditionalFormatting sqref="L268">
    <cfRule type="cellIs" dxfId="1665" priority="43" operator="equal">
      <formula>"szf"</formula>
    </cfRule>
  </conditionalFormatting>
  <conditionalFormatting sqref="L268:L287">
    <cfRule type="cellIs" dxfId="1664" priority="41" operator="equal">
      <formula>"+"</formula>
    </cfRule>
    <cfRule type="cellIs" dxfId="1663" priority="42" operator="equal">
      <formula>"szf"</formula>
    </cfRule>
  </conditionalFormatting>
  <conditionalFormatting sqref="S268">
    <cfRule type="cellIs" dxfId="1662" priority="40" operator="equal">
      <formula>"szf"</formula>
    </cfRule>
  </conditionalFormatting>
  <conditionalFormatting sqref="S268:S287">
    <cfRule type="cellIs" dxfId="1661" priority="38" operator="equal">
      <formula>"+"</formula>
    </cfRule>
    <cfRule type="cellIs" dxfId="1660" priority="39" operator="equal">
      <formula>"szf"</formula>
    </cfRule>
  </conditionalFormatting>
  <conditionalFormatting sqref="T268">
    <cfRule type="cellIs" dxfId="1659" priority="37" operator="equal">
      <formula>"szf"</formula>
    </cfRule>
  </conditionalFormatting>
  <conditionalFormatting sqref="T268:T287">
    <cfRule type="cellIs" dxfId="1658" priority="35" operator="equal">
      <formula>"+"</formula>
    </cfRule>
    <cfRule type="cellIs" dxfId="1657" priority="36" operator="equal">
      <formula>"szf"</formula>
    </cfRule>
  </conditionalFormatting>
  <conditionalFormatting sqref="AA268">
    <cfRule type="cellIs" dxfId="1656" priority="34" operator="equal">
      <formula>"szf"</formula>
    </cfRule>
  </conditionalFormatting>
  <conditionalFormatting sqref="AA268:AA287">
    <cfRule type="cellIs" dxfId="1655" priority="32" operator="equal">
      <formula>"+"</formula>
    </cfRule>
    <cfRule type="cellIs" dxfId="1654" priority="33" operator="equal">
      <formula>"szf"</formula>
    </cfRule>
  </conditionalFormatting>
  <conditionalFormatting sqref="AB268">
    <cfRule type="cellIs" dxfId="1653" priority="31" operator="equal">
      <formula>"szf"</formula>
    </cfRule>
  </conditionalFormatting>
  <conditionalFormatting sqref="AB268:AB287">
    <cfRule type="cellIs" dxfId="1652" priority="29" operator="equal">
      <formula>"+"</formula>
    </cfRule>
    <cfRule type="cellIs" dxfId="1651" priority="30" operator="equal">
      <formula>"szf"</formula>
    </cfRule>
  </conditionalFormatting>
  <conditionalFormatting sqref="P52:P71">
    <cfRule type="cellIs" dxfId="1650" priority="27" operator="equal">
      <formula>"+"</formula>
    </cfRule>
    <cfRule type="cellIs" dxfId="1649" priority="28" operator="equal">
      <formula>"szf"</formula>
    </cfRule>
  </conditionalFormatting>
  <conditionalFormatting sqref="AF100:AF119">
    <cfRule type="cellIs" dxfId="1648" priority="25" operator="equal">
      <formula>"+"</formula>
    </cfRule>
    <cfRule type="cellIs" dxfId="1647" priority="26" operator="equal">
      <formula>"szf"</formula>
    </cfRule>
  </conditionalFormatting>
  <conditionalFormatting sqref="C5">
    <cfRule type="cellIs" dxfId="1646" priority="23" operator="equal">
      <formula>"+"</formula>
    </cfRule>
    <cfRule type="cellIs" dxfId="1645" priority="24" operator="equal">
      <formula>"szf"</formula>
    </cfRule>
  </conditionalFormatting>
  <conditionalFormatting sqref="D5">
    <cfRule type="cellIs" dxfId="1644" priority="22" operator="equal">
      <formula>"szf"</formula>
    </cfRule>
  </conditionalFormatting>
  <conditionalFormatting sqref="F5">
    <cfRule type="cellIs" dxfId="1643" priority="21" operator="equal">
      <formula>"+"</formula>
    </cfRule>
  </conditionalFormatting>
  <conditionalFormatting sqref="E5">
    <cfRule type="cellIs" dxfId="1642" priority="20" operator="equal">
      <formula>"szf"</formula>
    </cfRule>
  </conditionalFormatting>
  <conditionalFormatting sqref="B5:AF5">
    <cfRule type="cellIs" dxfId="1641" priority="18" operator="equal">
      <formula>"+"</formula>
    </cfRule>
    <cfRule type="cellIs" dxfId="1640" priority="19" operator="equal">
      <formula>"szf"</formula>
    </cfRule>
  </conditionalFormatting>
  <conditionalFormatting sqref="L5">
    <cfRule type="cellIs" dxfId="1639" priority="17" operator="equal">
      <formula>"szf"</formula>
    </cfRule>
  </conditionalFormatting>
  <conditionalFormatting sqref="M5">
    <cfRule type="cellIs" dxfId="1638" priority="16" operator="equal">
      <formula>"szf"</formula>
    </cfRule>
  </conditionalFormatting>
  <conditionalFormatting sqref="T5">
    <cfRule type="cellIs" dxfId="1637" priority="15" operator="equal">
      <formula>"szf"</formula>
    </cfRule>
  </conditionalFormatting>
  <conditionalFormatting sqref="U5">
    <cfRule type="cellIs" dxfId="1636" priority="14" operator="equal">
      <formula>"szf"</formula>
    </cfRule>
  </conditionalFormatting>
  <conditionalFormatting sqref="AB5">
    <cfRule type="cellIs" dxfId="1635" priority="13" operator="equal">
      <formula>"szf"</formula>
    </cfRule>
  </conditionalFormatting>
  <conditionalFormatting sqref="AC5">
    <cfRule type="cellIs" dxfId="1634" priority="12" operator="equal">
      <formula>"szf"</formula>
    </cfRule>
  </conditionalFormatting>
  <conditionalFormatting sqref="E29:F29">
    <cfRule type="cellIs" dxfId="1633" priority="11" operator="equal">
      <formula>"szf"</formula>
    </cfRule>
  </conditionalFormatting>
  <conditionalFormatting sqref="E29:F29">
    <cfRule type="cellIs" dxfId="1632" priority="9" operator="equal">
      <formula>"+"</formula>
    </cfRule>
    <cfRule type="cellIs" dxfId="1631" priority="10" operator="equal">
      <formula>"szf"</formula>
    </cfRule>
  </conditionalFormatting>
  <conditionalFormatting sqref="AF55">
    <cfRule type="cellIs" dxfId="1630" priority="7" operator="equal">
      <formula>"+"</formula>
    </cfRule>
    <cfRule type="cellIs" dxfId="1629" priority="8" operator="equal">
      <formula>"szf"</formula>
    </cfRule>
  </conditionalFormatting>
  <conditionalFormatting sqref="AF56">
    <cfRule type="cellIs" dxfId="1628" priority="5" operator="equal">
      <formula>"+"</formula>
    </cfRule>
    <cfRule type="cellIs" dxfId="1627" priority="6" operator="equal">
      <formula>"szf"</formula>
    </cfRule>
  </conditionalFormatting>
  <conditionalFormatting sqref="X56:AB56">
    <cfRule type="cellIs" dxfId="1626" priority="3" operator="equal">
      <formula>"+"</formula>
    </cfRule>
    <cfRule type="cellIs" dxfId="1625" priority="4" operator="equal">
      <formula>"szf"</formula>
    </cfRule>
  </conditionalFormatting>
  <conditionalFormatting sqref="B79:D80">
    <cfRule type="cellIs" dxfId="1624" priority="1" operator="equal">
      <formula>"+"</formula>
    </cfRule>
    <cfRule type="cellIs" dxfId="1623" priority="2" operator="equal">
      <formula>"szf"</formula>
    </cfRule>
  </conditionalFormatting>
  <printOptions horizontalCentered="1" verticalCentered="1"/>
  <pageMargins left="0.39370078740157483" right="0.39370078740157483" top="0.24" bottom="0.3" header="0.17" footer="0.3"/>
  <pageSetup paperSize="9" orientation="landscape" horizontalDpi="4294967292" r:id="rId1"/>
  <headerFooter alignWithMargins="0">
    <oddFooter>&amp;RCim: C:\besse\szab_szn\szabi.xls</oddFooter>
  </headerFooter>
  <rowBreaks count="11" manualBreakCount="11">
    <brk id="23" max="16383" man="1"/>
    <brk id="47" max="16383" man="1"/>
    <brk id="71" max="16383" man="1"/>
    <brk id="95" max="16383" man="1"/>
    <brk id="119" max="16383" man="1"/>
    <brk id="143" max="16383" man="1"/>
    <brk id="167" max="16383" man="1"/>
    <brk id="191" max="16383" man="1"/>
    <brk id="215" max="16383" man="1"/>
    <brk id="239" max="16383" man="1"/>
    <brk id="26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7"/>
  <sheetViews>
    <sheetView showGridLines="0" topLeftCell="A54" workbookViewId="0">
      <selection activeCell="D82" sqref="D82"/>
    </sheetView>
  </sheetViews>
  <sheetFormatPr defaultColWidth="12" defaultRowHeight="12.75"/>
  <cols>
    <col min="1" max="1" width="20.140625" style="20" bestFit="1" customWidth="1"/>
    <col min="2" max="2" width="4" style="4" customWidth="1"/>
    <col min="3" max="8" width="3.140625" style="4" customWidth="1"/>
    <col min="9" max="9" width="3" style="4" customWidth="1"/>
    <col min="10" max="31" width="3.140625" style="4" customWidth="1"/>
    <col min="32" max="32" width="3.85546875" style="4" customWidth="1"/>
    <col min="33" max="33" width="3.42578125" style="1" customWidth="1"/>
    <col min="34" max="35" width="6.85546875" style="8" hidden="1" customWidth="1"/>
    <col min="36" max="43" width="3.42578125" style="1" customWidth="1"/>
    <col min="44" max="16384" width="12" style="1"/>
  </cols>
  <sheetData>
    <row r="1" spans="1:35" s="6" customFormat="1" ht="20.100000000000001" customHeight="1">
      <c r="A1" s="88" t="s">
        <v>0</v>
      </c>
      <c r="B1" s="66">
        <v>1</v>
      </c>
      <c r="C1" s="67">
        <v>2</v>
      </c>
      <c r="D1" s="67">
        <v>3</v>
      </c>
      <c r="E1" s="67">
        <v>4</v>
      </c>
      <c r="F1" s="67">
        <v>5</v>
      </c>
      <c r="G1" s="67">
        <v>6</v>
      </c>
      <c r="H1" s="67">
        <v>7</v>
      </c>
      <c r="I1" s="67">
        <v>8</v>
      </c>
      <c r="J1" s="67">
        <v>9</v>
      </c>
      <c r="K1" s="67">
        <v>10</v>
      </c>
      <c r="L1" s="67">
        <v>11</v>
      </c>
      <c r="M1" s="67">
        <v>12</v>
      </c>
      <c r="N1" s="67">
        <v>13</v>
      </c>
      <c r="O1" s="67">
        <v>14</v>
      </c>
      <c r="P1" s="67">
        <v>15</v>
      </c>
      <c r="Q1" s="67">
        <v>16</v>
      </c>
      <c r="R1" s="67">
        <v>17</v>
      </c>
      <c r="S1" s="67">
        <v>18</v>
      </c>
      <c r="T1" s="67">
        <v>19</v>
      </c>
      <c r="U1" s="67">
        <v>20</v>
      </c>
      <c r="V1" s="67">
        <v>21</v>
      </c>
      <c r="W1" s="67">
        <v>22</v>
      </c>
      <c r="X1" s="67">
        <v>23</v>
      </c>
      <c r="Y1" s="67">
        <v>24</v>
      </c>
      <c r="Z1" s="67">
        <v>25</v>
      </c>
      <c r="AA1" s="67">
        <v>26</v>
      </c>
      <c r="AB1" s="67">
        <v>27</v>
      </c>
      <c r="AC1" s="67">
        <v>28</v>
      </c>
      <c r="AD1" s="67">
        <v>29</v>
      </c>
      <c r="AE1" s="67">
        <v>30</v>
      </c>
      <c r="AF1" s="67">
        <v>31</v>
      </c>
      <c r="AG1" s="75"/>
      <c r="AH1" s="93" t="s">
        <v>18</v>
      </c>
      <c r="AI1" s="93" t="s">
        <v>19</v>
      </c>
    </row>
    <row r="2" spans="1:35" ht="20.100000000000001" customHeight="1">
      <c r="A2" s="95"/>
      <c r="B2" s="68" t="str">
        <f>'2020'!B4</f>
        <v>Sze</v>
      </c>
      <c r="C2" s="68" t="str">
        <f>'2020'!C4</f>
        <v>Cs</v>
      </c>
      <c r="D2" s="68" t="str">
        <f>'2020'!D4</f>
        <v>P</v>
      </c>
      <c r="E2" s="68" t="str">
        <f>'2020'!E4</f>
        <v>Szo</v>
      </c>
      <c r="F2" s="68" t="str">
        <f>'2020'!F4</f>
        <v>V</v>
      </c>
      <c r="G2" s="68" t="str">
        <f>'2020'!G4</f>
        <v>H</v>
      </c>
      <c r="H2" s="68" t="str">
        <f>'2020'!H4</f>
        <v>K</v>
      </c>
      <c r="I2" s="68" t="str">
        <f>'2020'!I4</f>
        <v>Sze</v>
      </c>
      <c r="J2" s="68" t="str">
        <f>'2020'!J4</f>
        <v>Cs</v>
      </c>
      <c r="K2" s="68" t="str">
        <f>'2020'!K4</f>
        <v>P</v>
      </c>
      <c r="L2" s="68" t="str">
        <f>'2020'!L4</f>
        <v>Szo</v>
      </c>
      <c r="M2" s="68" t="str">
        <f>'2020'!M4</f>
        <v>V</v>
      </c>
      <c r="N2" s="68" t="str">
        <f>'2020'!N4</f>
        <v>H</v>
      </c>
      <c r="O2" s="68" t="str">
        <f>'2020'!O4</f>
        <v>K</v>
      </c>
      <c r="P2" s="68" t="str">
        <f>'2020'!P4</f>
        <v>Sze</v>
      </c>
      <c r="Q2" s="68" t="str">
        <f>'2020'!Q4</f>
        <v>Cs</v>
      </c>
      <c r="R2" s="68" t="str">
        <f>'2020'!R4</f>
        <v>P</v>
      </c>
      <c r="S2" s="68" t="str">
        <f>'2020'!S4</f>
        <v>Szo</v>
      </c>
      <c r="T2" s="68" t="str">
        <f>'2020'!T4</f>
        <v>V</v>
      </c>
      <c r="U2" s="68" t="str">
        <f>'2020'!U4</f>
        <v>H</v>
      </c>
      <c r="V2" s="68" t="str">
        <f>'2020'!V4</f>
        <v>K</v>
      </c>
      <c r="W2" s="68" t="str">
        <f>'2020'!W4</f>
        <v>Sze</v>
      </c>
      <c r="X2" s="68" t="str">
        <f>'2020'!X4</f>
        <v>Cs</v>
      </c>
      <c r="Y2" s="68" t="str">
        <f>'2020'!Y4</f>
        <v>P</v>
      </c>
      <c r="Z2" s="68" t="str">
        <f>'2020'!Z4</f>
        <v>Szo</v>
      </c>
      <c r="AA2" s="68" t="str">
        <f>'2020'!AA4</f>
        <v>V</v>
      </c>
      <c r="AB2" s="68" t="str">
        <f>'2020'!AB4</f>
        <v>H</v>
      </c>
      <c r="AC2" s="68" t="str">
        <f>'2020'!AC4</f>
        <v>K</v>
      </c>
      <c r="AD2" s="68" t="str">
        <f>'2020'!AD4</f>
        <v>Sze</v>
      </c>
      <c r="AE2" s="68" t="str">
        <f>'2020'!AE4</f>
        <v>Cs</v>
      </c>
      <c r="AF2" s="68" t="str">
        <f>'2020'!AF4</f>
        <v>P</v>
      </c>
      <c r="AG2" s="76"/>
      <c r="AH2" s="94"/>
      <c r="AI2" s="94"/>
    </row>
    <row r="3" spans="1:35" ht="20.100000000000001" customHeight="1">
      <c r="A3" s="95"/>
      <c r="B3" s="68">
        <f>'2020'!B7</f>
        <v>1</v>
      </c>
      <c r="C3" s="68">
        <f>'2020'!C7</f>
        <v>1</v>
      </c>
      <c r="D3" s="68">
        <f>'2020'!D7</f>
        <v>1</v>
      </c>
      <c r="E3" s="68">
        <f>'2020'!E7</f>
        <v>1</v>
      </c>
      <c r="F3" s="68">
        <f>'2020'!F7</f>
        <v>1</v>
      </c>
      <c r="G3" s="68">
        <f>'2020'!G7</f>
        <v>1</v>
      </c>
      <c r="H3" s="68" t="str">
        <f>'2020'!H7</f>
        <v>X</v>
      </c>
      <c r="I3" s="68" t="str">
        <f>'2020'!I7</f>
        <v>X</v>
      </c>
      <c r="J3" s="68">
        <f>'2020'!J7</f>
        <v>3</v>
      </c>
      <c r="K3" s="68">
        <f>'2020'!K7</f>
        <v>3</v>
      </c>
      <c r="L3" s="68">
        <f>'2020'!L7</f>
        <v>3</v>
      </c>
      <c r="M3" s="68">
        <f>'2020'!M7</f>
        <v>3</v>
      </c>
      <c r="N3" s="68">
        <f>'2020'!N7</f>
        <v>3</v>
      </c>
      <c r="O3" s="68">
        <f>'2020'!O7</f>
        <v>3</v>
      </c>
      <c r="P3" s="68" t="str">
        <f>'2020'!P7</f>
        <v>X</v>
      </c>
      <c r="Q3" s="68" t="str">
        <f>'2020'!Q7</f>
        <v>X</v>
      </c>
      <c r="R3" s="68">
        <f>'2020'!R7</f>
        <v>2</v>
      </c>
      <c r="S3" s="68">
        <f>'2020'!S7</f>
        <v>2</v>
      </c>
      <c r="T3" s="68">
        <f>'2020'!T7</f>
        <v>2</v>
      </c>
      <c r="U3" s="68">
        <f>'2020'!U7</f>
        <v>2</v>
      </c>
      <c r="V3" s="68">
        <f>'2020'!V7</f>
        <v>2</v>
      </c>
      <c r="W3" s="68">
        <f>'2020'!W7</f>
        <v>2</v>
      </c>
      <c r="X3" s="68" t="str">
        <f>'2020'!X7</f>
        <v>X</v>
      </c>
      <c r="Y3" s="68" t="str">
        <f>'2020'!Y7</f>
        <v>X</v>
      </c>
      <c r="Z3" s="68">
        <f>'2020'!Z7</f>
        <v>1</v>
      </c>
      <c r="AA3" s="68">
        <f>'2020'!AA7</f>
        <v>1</v>
      </c>
      <c r="AB3" s="68">
        <f>'2020'!AB7</f>
        <v>1</v>
      </c>
      <c r="AC3" s="68">
        <f>'2020'!AC7</f>
        <v>1</v>
      </c>
      <c r="AD3" s="68">
        <f>'2020'!AD7</f>
        <v>1</v>
      </c>
      <c r="AE3" s="68">
        <f>'2020'!AE7</f>
        <v>1</v>
      </c>
      <c r="AF3" s="68" t="str">
        <f>'2020'!AF7</f>
        <v>X</v>
      </c>
      <c r="AG3" s="76"/>
      <c r="AH3" s="94"/>
      <c r="AI3" s="94"/>
    </row>
    <row r="4" spans="1:35" ht="20.100000000000001" customHeight="1">
      <c r="A4" s="18" t="str">
        <f>ÖSSZES!$A$49</f>
        <v>Kuik-Filep András</v>
      </c>
      <c r="B4" s="73"/>
      <c r="C4" s="72" t="s">
        <v>39</v>
      </c>
      <c r="D4" s="72" t="s">
        <v>39</v>
      </c>
      <c r="E4" s="72" t="s">
        <v>39</v>
      </c>
      <c r="F4" s="72" t="s">
        <v>39</v>
      </c>
      <c r="G4" s="72" t="s">
        <v>39</v>
      </c>
      <c r="H4" s="71" t="s">
        <v>2</v>
      </c>
      <c r="I4" s="71" t="s">
        <v>2</v>
      </c>
      <c r="J4" s="72" t="s">
        <v>39</v>
      </c>
      <c r="K4" s="72"/>
      <c r="L4" s="72"/>
      <c r="M4" s="72"/>
      <c r="N4" s="72"/>
      <c r="O4" s="72"/>
      <c r="P4" s="71" t="s">
        <v>2</v>
      </c>
      <c r="Q4" s="71" t="s">
        <v>2</v>
      </c>
      <c r="R4" s="72"/>
      <c r="S4" s="72"/>
      <c r="T4" s="72"/>
      <c r="U4" s="72"/>
      <c r="V4" s="72" t="s">
        <v>114</v>
      </c>
      <c r="W4" s="72" t="s">
        <v>20</v>
      </c>
      <c r="X4" s="71" t="s">
        <v>2</v>
      </c>
      <c r="Y4" s="71" t="s">
        <v>2</v>
      </c>
      <c r="Z4" s="72" t="s">
        <v>20</v>
      </c>
      <c r="AA4" s="72" t="s">
        <v>20</v>
      </c>
      <c r="AB4" s="72"/>
      <c r="AC4" s="72"/>
      <c r="AD4" s="72"/>
      <c r="AE4" s="72"/>
      <c r="AF4" s="71" t="s">
        <v>2</v>
      </c>
      <c r="AG4" s="76"/>
      <c r="AH4" s="16">
        <f>1*COUNTIF(A4:AF4,"+")</f>
        <v>1</v>
      </c>
      <c r="AI4" s="16">
        <f>1*COUNTIF(B4:AF4,"szf")</f>
        <v>9</v>
      </c>
    </row>
    <row r="5" spans="1:35" ht="20.100000000000001" customHeight="1">
      <c r="A5" s="18" t="str">
        <f>ÖSSZES!$A$50</f>
        <v>Balogh Zsolt</v>
      </c>
      <c r="B5" s="73"/>
      <c r="C5" s="72"/>
      <c r="D5" s="72"/>
      <c r="E5" s="72"/>
      <c r="F5" s="72"/>
      <c r="G5" s="72"/>
      <c r="H5" s="71" t="s">
        <v>2</v>
      </c>
      <c r="I5" s="71" t="s">
        <v>2</v>
      </c>
      <c r="J5" s="72"/>
      <c r="K5" s="72"/>
      <c r="L5" s="72"/>
      <c r="M5" s="72"/>
      <c r="N5" s="72"/>
      <c r="O5" s="72"/>
      <c r="P5" s="71" t="s">
        <v>2</v>
      </c>
      <c r="Q5" s="71" t="s">
        <v>2</v>
      </c>
      <c r="R5" s="72"/>
      <c r="S5" s="72"/>
      <c r="T5" s="72"/>
      <c r="U5" s="72"/>
      <c r="V5" s="72"/>
      <c r="W5" s="72"/>
      <c r="X5" s="71" t="s">
        <v>2</v>
      </c>
      <c r="Y5" s="71" t="s">
        <v>2</v>
      </c>
      <c r="Z5" s="72"/>
      <c r="AA5" s="72"/>
      <c r="AB5" s="72"/>
      <c r="AC5" s="72"/>
      <c r="AD5" s="72"/>
      <c r="AE5" s="72"/>
      <c r="AF5" s="71" t="s">
        <v>2</v>
      </c>
      <c r="AG5" s="76"/>
      <c r="AH5" s="16">
        <f t="shared" ref="AH5:AH23" si="0">1*COUNTIF(A5:AF5,"+")</f>
        <v>0</v>
      </c>
      <c r="AI5" s="16">
        <f t="shared" ref="AI5:AI23" si="1">1*COUNTIF(B5:AF5,"szf")</f>
        <v>0</v>
      </c>
    </row>
    <row r="6" spans="1:35" ht="20.100000000000001" customHeight="1">
      <c r="A6" s="18" t="str">
        <f>ÖSSZES!$A$51</f>
        <v>Éliás Viktor</v>
      </c>
      <c r="B6" s="73" t="s">
        <v>114</v>
      </c>
      <c r="C6" s="72"/>
      <c r="D6" s="72"/>
      <c r="E6" s="72"/>
      <c r="F6" s="72"/>
      <c r="G6" s="72"/>
      <c r="H6" s="71" t="s">
        <v>2</v>
      </c>
      <c r="I6" s="71" t="s">
        <v>2</v>
      </c>
      <c r="J6" s="72"/>
      <c r="K6" s="72"/>
      <c r="L6" s="72"/>
      <c r="M6" s="72"/>
      <c r="N6" s="72"/>
      <c r="O6" s="72"/>
      <c r="P6" s="71" t="s">
        <v>2</v>
      </c>
      <c r="Q6" s="71" t="s">
        <v>2</v>
      </c>
      <c r="R6" s="72" t="s">
        <v>116</v>
      </c>
      <c r="S6" s="72" t="s">
        <v>116</v>
      </c>
      <c r="T6" s="72" t="s">
        <v>116</v>
      </c>
      <c r="U6" s="72" t="s">
        <v>116</v>
      </c>
      <c r="V6" s="72" t="s">
        <v>116</v>
      </c>
      <c r="W6" s="72" t="s">
        <v>116</v>
      </c>
      <c r="X6" s="71" t="s">
        <v>2</v>
      </c>
      <c r="Y6" s="71" t="s">
        <v>2</v>
      </c>
      <c r="Z6" s="72"/>
      <c r="AA6" s="72"/>
      <c r="AB6" s="72"/>
      <c r="AC6" s="72"/>
      <c r="AD6" s="72"/>
      <c r="AE6" s="72"/>
      <c r="AF6" s="71" t="s">
        <v>2</v>
      </c>
      <c r="AG6" s="76"/>
      <c r="AH6" s="16">
        <f t="shared" si="0"/>
        <v>1</v>
      </c>
      <c r="AI6" s="16">
        <f t="shared" si="1"/>
        <v>0</v>
      </c>
    </row>
    <row r="7" spans="1:35" ht="20.100000000000001" customHeight="1">
      <c r="A7" s="18" t="str">
        <f>ÖSSZES!$A$52</f>
        <v>Hadházi Kálmán</v>
      </c>
      <c r="B7" s="73" t="s">
        <v>114</v>
      </c>
      <c r="C7" s="72"/>
      <c r="D7" s="72"/>
      <c r="E7" s="72"/>
      <c r="F7" s="72"/>
      <c r="G7" s="72"/>
      <c r="H7" s="71" t="s">
        <v>2</v>
      </c>
      <c r="I7" s="71" t="s">
        <v>2</v>
      </c>
      <c r="J7" s="72"/>
      <c r="K7" s="72"/>
      <c r="L7" s="72"/>
      <c r="M7" s="72"/>
      <c r="N7" s="72"/>
      <c r="O7" s="72"/>
      <c r="P7" s="71" t="s">
        <v>2</v>
      </c>
      <c r="Q7" s="71" t="s">
        <v>2</v>
      </c>
      <c r="R7" s="72"/>
      <c r="S7" s="72"/>
      <c r="T7" s="72"/>
      <c r="U7" s="72"/>
      <c r="V7" s="72"/>
      <c r="W7" s="72"/>
      <c r="X7" s="71" t="s">
        <v>2</v>
      </c>
      <c r="Y7" s="71" t="s">
        <v>2</v>
      </c>
      <c r="Z7" s="72"/>
      <c r="AA7" s="72"/>
      <c r="AB7" s="72"/>
      <c r="AC7" s="72"/>
      <c r="AD7" s="72"/>
      <c r="AE7" s="72" t="s">
        <v>20</v>
      </c>
      <c r="AF7" s="71" t="s">
        <v>2</v>
      </c>
      <c r="AG7" s="76"/>
      <c r="AH7" s="16">
        <f t="shared" si="0"/>
        <v>1</v>
      </c>
      <c r="AI7" s="16">
        <f t="shared" si="1"/>
        <v>1</v>
      </c>
    </row>
    <row r="8" spans="1:35" ht="20.100000000000001" customHeight="1">
      <c r="A8" s="18" t="str">
        <f>ÖSSZES!$A$53</f>
        <v>Kiss Attila</v>
      </c>
      <c r="B8" s="73"/>
      <c r="C8" s="72"/>
      <c r="D8" s="72"/>
      <c r="E8" s="72"/>
      <c r="F8" s="72"/>
      <c r="G8" s="72"/>
      <c r="H8" s="71" t="s">
        <v>2</v>
      </c>
      <c r="I8" s="71" t="s">
        <v>2</v>
      </c>
      <c r="J8" s="72"/>
      <c r="K8" s="72"/>
      <c r="L8" s="72"/>
      <c r="M8" s="72"/>
      <c r="N8" s="72"/>
      <c r="O8" s="72">
        <v>6</v>
      </c>
      <c r="P8" s="71" t="s">
        <v>2</v>
      </c>
      <c r="Q8" s="71" t="s">
        <v>2</v>
      </c>
      <c r="R8" s="72"/>
      <c r="S8" s="72"/>
      <c r="T8" s="72"/>
      <c r="U8" s="72"/>
      <c r="V8" s="72"/>
      <c r="W8" s="72"/>
      <c r="X8" s="71" t="s">
        <v>2</v>
      </c>
      <c r="Y8" s="71" t="s">
        <v>2</v>
      </c>
      <c r="Z8" s="72" t="s">
        <v>114</v>
      </c>
      <c r="AA8" s="72"/>
      <c r="AB8" s="72"/>
      <c r="AC8" s="72"/>
      <c r="AD8" s="72"/>
      <c r="AE8" s="72"/>
      <c r="AF8" s="71" t="s">
        <v>2</v>
      </c>
      <c r="AG8" s="76"/>
      <c r="AH8" s="16">
        <f t="shared" si="0"/>
        <v>1</v>
      </c>
      <c r="AI8" s="16">
        <f t="shared" si="1"/>
        <v>0</v>
      </c>
    </row>
    <row r="9" spans="1:35" ht="20.100000000000001" customHeight="1">
      <c r="A9" s="18" t="str">
        <f>ÖSSZES!$A$54</f>
        <v>Serestyén Dániel</v>
      </c>
      <c r="B9" s="73" t="s">
        <v>114</v>
      </c>
      <c r="C9" s="72" t="s">
        <v>20</v>
      </c>
      <c r="D9" s="72"/>
      <c r="E9" s="72"/>
      <c r="F9" s="72"/>
      <c r="G9" s="72"/>
      <c r="H9" s="71" t="s">
        <v>2</v>
      </c>
      <c r="I9" s="71" t="s">
        <v>2</v>
      </c>
      <c r="J9" s="72"/>
      <c r="K9" s="72"/>
      <c r="L9" s="72"/>
      <c r="M9" s="72"/>
      <c r="N9" s="72"/>
      <c r="O9" s="72"/>
      <c r="P9" s="71" t="s">
        <v>2</v>
      </c>
      <c r="Q9" s="71" t="s">
        <v>2</v>
      </c>
      <c r="R9" s="72"/>
      <c r="S9" s="72"/>
      <c r="T9" s="72"/>
      <c r="U9" s="72"/>
      <c r="V9" s="72"/>
      <c r="W9" s="72"/>
      <c r="X9" s="71" t="s">
        <v>2</v>
      </c>
      <c r="Y9" s="71" t="s">
        <v>2</v>
      </c>
      <c r="Z9" s="72"/>
      <c r="AA9" s="72"/>
      <c r="AB9" s="72"/>
      <c r="AC9" s="72"/>
      <c r="AD9" s="72"/>
      <c r="AE9" s="72"/>
      <c r="AF9" s="71" t="s">
        <v>2</v>
      </c>
      <c r="AG9" s="76"/>
      <c r="AH9" s="16">
        <f t="shared" si="0"/>
        <v>1</v>
      </c>
      <c r="AI9" s="16">
        <f t="shared" si="1"/>
        <v>1</v>
      </c>
    </row>
    <row r="10" spans="1:35" ht="20.100000000000001" customHeight="1">
      <c r="A10" s="18" t="str">
        <f>ÖSSZES!$A$55</f>
        <v>Varga Imre</v>
      </c>
      <c r="B10" s="73"/>
      <c r="C10" s="72"/>
      <c r="D10" s="72"/>
      <c r="E10" s="72"/>
      <c r="F10" s="72"/>
      <c r="G10" s="72"/>
      <c r="H10" s="71" t="s">
        <v>2</v>
      </c>
      <c r="I10" s="71" t="s">
        <v>2</v>
      </c>
      <c r="J10" s="72"/>
      <c r="K10" s="72" t="s">
        <v>114</v>
      </c>
      <c r="L10" s="72"/>
      <c r="M10" s="72"/>
      <c r="N10" s="72"/>
      <c r="O10" s="72"/>
      <c r="P10" s="71" t="s">
        <v>2</v>
      </c>
      <c r="Q10" s="71" t="s">
        <v>2</v>
      </c>
      <c r="R10" s="72"/>
      <c r="S10" s="72"/>
      <c r="T10" s="72"/>
      <c r="U10" s="72"/>
      <c r="V10" s="72"/>
      <c r="W10" s="72"/>
      <c r="X10" s="71" t="s">
        <v>2</v>
      </c>
      <c r="Y10" s="71" t="s">
        <v>2</v>
      </c>
      <c r="Z10" s="72"/>
      <c r="AA10" s="72"/>
      <c r="AB10" s="72"/>
      <c r="AC10" s="74">
        <v>5.5</v>
      </c>
      <c r="AD10" s="72"/>
      <c r="AE10" s="72"/>
      <c r="AF10" s="71" t="s">
        <v>2</v>
      </c>
      <c r="AG10" s="76"/>
      <c r="AH10" s="16">
        <f t="shared" si="0"/>
        <v>1</v>
      </c>
      <c r="AI10" s="16">
        <f t="shared" si="1"/>
        <v>0</v>
      </c>
    </row>
    <row r="11" spans="1:35" ht="20.100000000000001" hidden="1" customHeight="1">
      <c r="A11" s="18" t="str">
        <f>ÖSSZES!$A$56</f>
        <v>Név8</v>
      </c>
      <c r="B11" s="59"/>
      <c r="C11" s="33"/>
      <c r="D11" s="33"/>
      <c r="E11" s="33"/>
      <c r="F11" s="33"/>
      <c r="G11" s="33"/>
      <c r="H11" s="58" t="s">
        <v>2</v>
      </c>
      <c r="I11" s="58" t="s">
        <v>2</v>
      </c>
      <c r="J11" s="33"/>
      <c r="K11" s="33"/>
      <c r="L11" s="33"/>
      <c r="M11" s="33"/>
      <c r="N11" s="33"/>
      <c r="O11" s="33"/>
      <c r="P11" s="58" t="s">
        <v>2</v>
      </c>
      <c r="Q11" s="58" t="s">
        <v>2</v>
      </c>
      <c r="R11" s="33"/>
      <c r="S11" s="33"/>
      <c r="T11" s="33"/>
      <c r="U11" s="33"/>
      <c r="V11" s="33"/>
      <c r="W11" s="33"/>
      <c r="X11" s="58" t="s">
        <v>2</v>
      </c>
      <c r="Y11" s="58" t="s">
        <v>2</v>
      </c>
      <c r="Z11" s="33"/>
      <c r="AA11" s="33"/>
      <c r="AB11" s="33"/>
      <c r="AC11" s="33"/>
      <c r="AD11" s="33"/>
      <c r="AE11" s="33"/>
      <c r="AF11" s="58" t="s">
        <v>2</v>
      </c>
      <c r="AH11" s="16">
        <f t="shared" si="0"/>
        <v>0</v>
      </c>
      <c r="AI11" s="16">
        <f t="shared" si="1"/>
        <v>0</v>
      </c>
    </row>
    <row r="12" spans="1:35" ht="20.100000000000001" hidden="1" customHeight="1">
      <c r="A12" s="18" t="str">
        <f>ÖSSZES!$A$57</f>
        <v>Név9</v>
      </c>
      <c r="B12" s="59"/>
      <c r="C12" s="33"/>
      <c r="D12" s="33"/>
      <c r="E12" s="33"/>
      <c r="F12" s="33"/>
      <c r="G12" s="33"/>
      <c r="H12" s="58" t="s">
        <v>2</v>
      </c>
      <c r="I12" s="58" t="s">
        <v>2</v>
      </c>
      <c r="J12" s="33"/>
      <c r="K12" s="33"/>
      <c r="L12" s="33"/>
      <c r="M12" s="33"/>
      <c r="N12" s="33"/>
      <c r="O12" s="33"/>
      <c r="P12" s="58" t="s">
        <v>2</v>
      </c>
      <c r="Q12" s="58" t="s">
        <v>2</v>
      </c>
      <c r="R12" s="33"/>
      <c r="S12" s="33"/>
      <c r="T12" s="33"/>
      <c r="U12" s="33"/>
      <c r="V12" s="33"/>
      <c r="W12" s="33"/>
      <c r="X12" s="58" t="s">
        <v>2</v>
      </c>
      <c r="Y12" s="58" t="s">
        <v>2</v>
      </c>
      <c r="Z12" s="33"/>
      <c r="AA12" s="33"/>
      <c r="AB12" s="33"/>
      <c r="AC12" s="33"/>
      <c r="AD12" s="33"/>
      <c r="AE12" s="33"/>
      <c r="AF12" s="58" t="s">
        <v>2</v>
      </c>
      <c r="AH12" s="16">
        <f t="shared" si="0"/>
        <v>0</v>
      </c>
      <c r="AI12" s="16">
        <f t="shared" si="1"/>
        <v>0</v>
      </c>
    </row>
    <row r="13" spans="1:35" ht="20.100000000000001" hidden="1" customHeight="1">
      <c r="A13" s="18" t="str">
        <f>ÖSSZES!$A$58</f>
        <v>Név10</v>
      </c>
      <c r="B13" s="59"/>
      <c r="C13" s="33"/>
      <c r="D13" s="33"/>
      <c r="E13" s="33"/>
      <c r="F13" s="33"/>
      <c r="G13" s="33"/>
      <c r="H13" s="58" t="s">
        <v>2</v>
      </c>
      <c r="I13" s="58" t="s">
        <v>2</v>
      </c>
      <c r="J13" s="33"/>
      <c r="K13" s="33"/>
      <c r="L13" s="33"/>
      <c r="M13" s="33"/>
      <c r="N13" s="33"/>
      <c r="O13" s="33"/>
      <c r="P13" s="58" t="s">
        <v>2</v>
      </c>
      <c r="Q13" s="58" t="s">
        <v>2</v>
      </c>
      <c r="R13" s="33"/>
      <c r="S13" s="33"/>
      <c r="T13" s="33"/>
      <c r="U13" s="33"/>
      <c r="V13" s="33"/>
      <c r="W13" s="33"/>
      <c r="X13" s="58" t="s">
        <v>2</v>
      </c>
      <c r="Y13" s="58" t="s">
        <v>2</v>
      </c>
      <c r="Z13" s="33"/>
      <c r="AA13" s="33"/>
      <c r="AB13" s="33"/>
      <c r="AC13" s="33"/>
      <c r="AD13" s="33"/>
      <c r="AE13" s="33"/>
      <c r="AF13" s="58" t="s">
        <v>2</v>
      </c>
      <c r="AH13" s="16">
        <f t="shared" si="0"/>
        <v>0</v>
      </c>
      <c r="AI13" s="16">
        <f t="shared" si="1"/>
        <v>0</v>
      </c>
    </row>
    <row r="14" spans="1:35" ht="20.100000000000001" hidden="1" customHeight="1">
      <c r="A14" s="18" t="str">
        <f>ÖSSZES!$A$59</f>
        <v>Név11</v>
      </c>
      <c r="B14" s="59"/>
      <c r="C14" s="33"/>
      <c r="D14" s="33"/>
      <c r="E14" s="33"/>
      <c r="F14" s="33"/>
      <c r="G14" s="33"/>
      <c r="H14" s="58" t="s">
        <v>2</v>
      </c>
      <c r="I14" s="58" t="s">
        <v>2</v>
      </c>
      <c r="J14" s="33"/>
      <c r="K14" s="33"/>
      <c r="L14" s="33"/>
      <c r="M14" s="33"/>
      <c r="N14" s="33"/>
      <c r="O14" s="33"/>
      <c r="P14" s="58" t="s">
        <v>2</v>
      </c>
      <c r="Q14" s="58" t="s">
        <v>2</v>
      </c>
      <c r="R14" s="33"/>
      <c r="S14" s="33"/>
      <c r="T14" s="33"/>
      <c r="U14" s="33"/>
      <c r="V14" s="33"/>
      <c r="W14" s="33"/>
      <c r="X14" s="58" t="s">
        <v>2</v>
      </c>
      <c r="Y14" s="58" t="s">
        <v>2</v>
      </c>
      <c r="Z14" s="33"/>
      <c r="AA14" s="33"/>
      <c r="AB14" s="33"/>
      <c r="AC14" s="33"/>
      <c r="AD14" s="33"/>
      <c r="AE14" s="33"/>
      <c r="AF14" s="58" t="s">
        <v>2</v>
      </c>
      <c r="AH14" s="16">
        <f t="shared" si="0"/>
        <v>0</v>
      </c>
      <c r="AI14" s="16">
        <f t="shared" si="1"/>
        <v>0</v>
      </c>
    </row>
    <row r="15" spans="1:35" ht="20.100000000000001" hidden="1" customHeight="1">
      <c r="A15" s="18" t="str">
        <f>ÖSSZES!$A$60</f>
        <v>Név12</v>
      </c>
      <c r="B15" s="59"/>
      <c r="C15" s="33"/>
      <c r="D15" s="33"/>
      <c r="E15" s="33"/>
      <c r="F15" s="33"/>
      <c r="G15" s="33"/>
      <c r="H15" s="58" t="s">
        <v>2</v>
      </c>
      <c r="I15" s="58" t="s">
        <v>2</v>
      </c>
      <c r="J15" s="33"/>
      <c r="K15" s="33"/>
      <c r="L15" s="33"/>
      <c r="M15" s="33"/>
      <c r="N15" s="33"/>
      <c r="O15" s="33"/>
      <c r="P15" s="58" t="s">
        <v>2</v>
      </c>
      <c r="Q15" s="58" t="s">
        <v>2</v>
      </c>
      <c r="R15" s="33"/>
      <c r="S15" s="33"/>
      <c r="T15" s="33"/>
      <c r="U15" s="33"/>
      <c r="V15" s="33"/>
      <c r="W15" s="33"/>
      <c r="X15" s="58" t="s">
        <v>2</v>
      </c>
      <c r="Y15" s="58" t="s">
        <v>2</v>
      </c>
      <c r="Z15" s="33"/>
      <c r="AA15" s="33"/>
      <c r="AB15" s="33"/>
      <c r="AC15" s="33"/>
      <c r="AD15" s="33"/>
      <c r="AE15" s="33"/>
      <c r="AF15" s="58" t="s">
        <v>2</v>
      </c>
      <c r="AH15" s="16">
        <f t="shared" si="0"/>
        <v>0</v>
      </c>
      <c r="AI15" s="16">
        <f t="shared" si="1"/>
        <v>0</v>
      </c>
    </row>
    <row r="16" spans="1:35" ht="20.100000000000001" hidden="1" customHeight="1">
      <c r="A16" s="18" t="str">
        <f>ÖSSZES!$A$61</f>
        <v>Név13</v>
      </c>
      <c r="B16" s="59"/>
      <c r="C16" s="33"/>
      <c r="D16" s="33"/>
      <c r="E16" s="33"/>
      <c r="F16" s="33"/>
      <c r="G16" s="33"/>
      <c r="H16" s="58" t="s">
        <v>2</v>
      </c>
      <c r="I16" s="58" t="s">
        <v>2</v>
      </c>
      <c r="J16" s="33"/>
      <c r="K16" s="33"/>
      <c r="L16" s="33"/>
      <c r="M16" s="33"/>
      <c r="N16" s="33"/>
      <c r="O16" s="33"/>
      <c r="P16" s="58" t="s">
        <v>2</v>
      </c>
      <c r="Q16" s="58" t="s">
        <v>2</v>
      </c>
      <c r="R16" s="33"/>
      <c r="S16" s="33"/>
      <c r="T16" s="33"/>
      <c r="U16" s="33"/>
      <c r="V16" s="33"/>
      <c r="W16" s="33"/>
      <c r="X16" s="58" t="s">
        <v>2</v>
      </c>
      <c r="Y16" s="58" t="s">
        <v>2</v>
      </c>
      <c r="Z16" s="33"/>
      <c r="AA16" s="33"/>
      <c r="AB16" s="33"/>
      <c r="AC16" s="33"/>
      <c r="AD16" s="33"/>
      <c r="AE16" s="33"/>
      <c r="AF16" s="58" t="s">
        <v>2</v>
      </c>
      <c r="AH16" s="16">
        <f t="shared" si="0"/>
        <v>0</v>
      </c>
      <c r="AI16" s="16">
        <f t="shared" si="1"/>
        <v>0</v>
      </c>
    </row>
    <row r="17" spans="1:35" ht="20.100000000000001" hidden="1" customHeight="1">
      <c r="A17" s="18" t="str">
        <f>ÖSSZES!$A$62</f>
        <v>Név14</v>
      </c>
      <c r="B17" s="59"/>
      <c r="C17" s="33"/>
      <c r="D17" s="33"/>
      <c r="E17" s="33"/>
      <c r="F17" s="33"/>
      <c r="G17" s="33"/>
      <c r="H17" s="58" t="s">
        <v>2</v>
      </c>
      <c r="I17" s="58" t="s">
        <v>2</v>
      </c>
      <c r="J17" s="33"/>
      <c r="K17" s="33"/>
      <c r="L17" s="33"/>
      <c r="M17" s="33"/>
      <c r="N17" s="33"/>
      <c r="O17" s="33"/>
      <c r="P17" s="58" t="s">
        <v>2</v>
      </c>
      <c r="Q17" s="58" t="s">
        <v>2</v>
      </c>
      <c r="R17" s="33"/>
      <c r="S17" s="33"/>
      <c r="T17" s="33"/>
      <c r="U17" s="33"/>
      <c r="V17" s="33"/>
      <c r="W17" s="33"/>
      <c r="X17" s="58" t="s">
        <v>2</v>
      </c>
      <c r="Y17" s="58" t="s">
        <v>2</v>
      </c>
      <c r="Z17" s="33"/>
      <c r="AA17" s="33"/>
      <c r="AB17" s="33"/>
      <c r="AC17" s="33"/>
      <c r="AD17" s="33"/>
      <c r="AE17" s="33"/>
      <c r="AF17" s="58" t="s">
        <v>2</v>
      </c>
      <c r="AH17" s="16">
        <f t="shared" si="0"/>
        <v>0</v>
      </c>
      <c r="AI17" s="16">
        <f t="shared" si="1"/>
        <v>0</v>
      </c>
    </row>
    <row r="18" spans="1:35" ht="20.100000000000001" hidden="1" customHeight="1">
      <c r="A18" s="18" t="str">
        <f>ÖSSZES!$A$63</f>
        <v>Név15</v>
      </c>
      <c r="B18" s="59"/>
      <c r="C18" s="33"/>
      <c r="D18" s="33"/>
      <c r="E18" s="33"/>
      <c r="F18" s="33"/>
      <c r="G18" s="33"/>
      <c r="H18" s="58" t="s">
        <v>2</v>
      </c>
      <c r="I18" s="58" t="s">
        <v>2</v>
      </c>
      <c r="J18" s="33"/>
      <c r="K18" s="33"/>
      <c r="L18" s="33"/>
      <c r="M18" s="33"/>
      <c r="N18" s="33"/>
      <c r="O18" s="33"/>
      <c r="P18" s="58" t="s">
        <v>2</v>
      </c>
      <c r="Q18" s="58" t="s">
        <v>2</v>
      </c>
      <c r="R18" s="33"/>
      <c r="S18" s="33"/>
      <c r="T18" s="33"/>
      <c r="U18" s="33"/>
      <c r="V18" s="33"/>
      <c r="W18" s="33"/>
      <c r="X18" s="58" t="s">
        <v>2</v>
      </c>
      <c r="Y18" s="58" t="s">
        <v>2</v>
      </c>
      <c r="Z18" s="33"/>
      <c r="AA18" s="33"/>
      <c r="AB18" s="33"/>
      <c r="AC18" s="33"/>
      <c r="AD18" s="33"/>
      <c r="AE18" s="33"/>
      <c r="AF18" s="58" t="s">
        <v>2</v>
      </c>
      <c r="AH18" s="16">
        <f t="shared" si="0"/>
        <v>0</v>
      </c>
      <c r="AI18" s="16">
        <f t="shared" si="1"/>
        <v>0</v>
      </c>
    </row>
    <row r="19" spans="1:35" ht="20.100000000000001" hidden="1" customHeight="1">
      <c r="A19" s="18" t="str">
        <f>ÖSSZES!$A$64</f>
        <v>Név16</v>
      </c>
      <c r="B19" s="59"/>
      <c r="C19" s="33"/>
      <c r="D19" s="33"/>
      <c r="E19" s="33"/>
      <c r="F19" s="33"/>
      <c r="G19" s="33"/>
      <c r="H19" s="58" t="s">
        <v>2</v>
      </c>
      <c r="I19" s="58" t="s">
        <v>2</v>
      </c>
      <c r="J19" s="33"/>
      <c r="K19" s="33"/>
      <c r="L19" s="33"/>
      <c r="M19" s="33"/>
      <c r="N19" s="33"/>
      <c r="O19" s="33"/>
      <c r="P19" s="58" t="s">
        <v>2</v>
      </c>
      <c r="Q19" s="58" t="s">
        <v>2</v>
      </c>
      <c r="R19" s="33"/>
      <c r="S19" s="33"/>
      <c r="T19" s="33"/>
      <c r="U19" s="33"/>
      <c r="V19" s="33"/>
      <c r="W19" s="33"/>
      <c r="X19" s="58" t="s">
        <v>2</v>
      </c>
      <c r="Y19" s="58" t="s">
        <v>2</v>
      </c>
      <c r="Z19" s="33"/>
      <c r="AA19" s="33"/>
      <c r="AB19" s="33"/>
      <c r="AC19" s="33"/>
      <c r="AD19" s="33"/>
      <c r="AE19" s="33"/>
      <c r="AF19" s="58" t="s">
        <v>2</v>
      </c>
      <c r="AH19" s="16">
        <f t="shared" si="0"/>
        <v>0</v>
      </c>
      <c r="AI19" s="16">
        <f t="shared" si="1"/>
        <v>0</v>
      </c>
    </row>
    <row r="20" spans="1:35" ht="20.100000000000001" hidden="1" customHeight="1">
      <c r="A20" s="18" t="str">
        <f>ÖSSZES!$A$65</f>
        <v>Név17</v>
      </c>
      <c r="B20" s="59"/>
      <c r="C20" s="33"/>
      <c r="D20" s="33"/>
      <c r="E20" s="33"/>
      <c r="F20" s="33"/>
      <c r="G20" s="33"/>
      <c r="H20" s="58" t="s">
        <v>2</v>
      </c>
      <c r="I20" s="58" t="s">
        <v>2</v>
      </c>
      <c r="J20" s="33"/>
      <c r="K20" s="33"/>
      <c r="L20" s="33"/>
      <c r="M20" s="33"/>
      <c r="N20" s="33"/>
      <c r="O20" s="33"/>
      <c r="P20" s="58" t="s">
        <v>2</v>
      </c>
      <c r="Q20" s="58" t="s">
        <v>2</v>
      </c>
      <c r="R20" s="33"/>
      <c r="S20" s="33"/>
      <c r="T20" s="33"/>
      <c r="U20" s="33"/>
      <c r="V20" s="33"/>
      <c r="W20" s="33"/>
      <c r="X20" s="58" t="s">
        <v>2</v>
      </c>
      <c r="Y20" s="58" t="s">
        <v>2</v>
      </c>
      <c r="Z20" s="33"/>
      <c r="AA20" s="33"/>
      <c r="AB20" s="33"/>
      <c r="AC20" s="33"/>
      <c r="AD20" s="33"/>
      <c r="AE20" s="33"/>
      <c r="AF20" s="58" t="s">
        <v>2</v>
      </c>
      <c r="AH20" s="16">
        <f t="shared" si="0"/>
        <v>0</v>
      </c>
      <c r="AI20" s="16">
        <f t="shared" si="1"/>
        <v>0</v>
      </c>
    </row>
    <row r="21" spans="1:35" ht="20.100000000000001" hidden="1" customHeight="1">
      <c r="A21" s="18" t="str">
        <f>ÖSSZES!$A$66</f>
        <v>Név18</v>
      </c>
      <c r="B21" s="59"/>
      <c r="C21" s="33"/>
      <c r="D21" s="33"/>
      <c r="E21" s="33"/>
      <c r="F21" s="33"/>
      <c r="G21" s="33"/>
      <c r="H21" s="58" t="s">
        <v>2</v>
      </c>
      <c r="I21" s="58" t="s">
        <v>2</v>
      </c>
      <c r="J21" s="33"/>
      <c r="K21" s="33"/>
      <c r="L21" s="33"/>
      <c r="M21" s="33"/>
      <c r="N21" s="33"/>
      <c r="O21" s="33"/>
      <c r="P21" s="58" t="s">
        <v>2</v>
      </c>
      <c r="Q21" s="58" t="s">
        <v>2</v>
      </c>
      <c r="R21" s="33"/>
      <c r="S21" s="33"/>
      <c r="T21" s="33"/>
      <c r="U21" s="33"/>
      <c r="V21" s="33"/>
      <c r="W21" s="33"/>
      <c r="X21" s="58" t="s">
        <v>2</v>
      </c>
      <c r="Y21" s="58" t="s">
        <v>2</v>
      </c>
      <c r="Z21" s="33"/>
      <c r="AA21" s="33"/>
      <c r="AB21" s="33"/>
      <c r="AC21" s="33"/>
      <c r="AD21" s="33"/>
      <c r="AE21" s="33"/>
      <c r="AF21" s="58" t="s">
        <v>2</v>
      </c>
      <c r="AH21" s="16">
        <f t="shared" si="0"/>
        <v>0</v>
      </c>
      <c r="AI21" s="16">
        <f t="shared" si="1"/>
        <v>0</v>
      </c>
    </row>
    <row r="22" spans="1:35" ht="20.100000000000001" hidden="1" customHeight="1">
      <c r="A22" s="18" t="str">
        <f>ÖSSZES!$A$67</f>
        <v>Név19</v>
      </c>
      <c r="B22" s="59"/>
      <c r="C22" s="33"/>
      <c r="D22" s="33"/>
      <c r="E22" s="33"/>
      <c r="F22" s="33"/>
      <c r="G22" s="33"/>
      <c r="H22" s="58" t="s">
        <v>2</v>
      </c>
      <c r="I22" s="58" t="s">
        <v>2</v>
      </c>
      <c r="J22" s="33"/>
      <c r="K22" s="33"/>
      <c r="L22" s="33"/>
      <c r="M22" s="33"/>
      <c r="N22" s="33"/>
      <c r="O22" s="33"/>
      <c r="P22" s="58" t="s">
        <v>2</v>
      </c>
      <c r="Q22" s="58" t="s">
        <v>2</v>
      </c>
      <c r="R22" s="33"/>
      <c r="S22" s="33"/>
      <c r="T22" s="33"/>
      <c r="U22" s="33"/>
      <c r="V22" s="33"/>
      <c r="W22" s="33"/>
      <c r="X22" s="58" t="s">
        <v>2</v>
      </c>
      <c r="Y22" s="58" t="s">
        <v>2</v>
      </c>
      <c r="Z22" s="33"/>
      <c r="AA22" s="33"/>
      <c r="AB22" s="33"/>
      <c r="AC22" s="33"/>
      <c r="AD22" s="33"/>
      <c r="AE22" s="33"/>
      <c r="AF22" s="58" t="s">
        <v>2</v>
      </c>
      <c r="AH22" s="16">
        <f t="shared" si="0"/>
        <v>0</v>
      </c>
      <c r="AI22" s="16">
        <f t="shared" si="1"/>
        <v>0</v>
      </c>
    </row>
    <row r="23" spans="1:35" ht="20.100000000000001" hidden="1" customHeight="1">
      <c r="A23" s="18" t="str">
        <f>ÖSSZES!$A$68</f>
        <v>Név20</v>
      </c>
      <c r="B23" s="59"/>
      <c r="C23" s="33"/>
      <c r="D23" s="33"/>
      <c r="E23" s="33"/>
      <c r="F23" s="33"/>
      <c r="G23" s="33"/>
      <c r="H23" s="58" t="s">
        <v>2</v>
      </c>
      <c r="I23" s="58" t="s">
        <v>2</v>
      </c>
      <c r="J23" s="33"/>
      <c r="K23" s="33"/>
      <c r="L23" s="33"/>
      <c r="M23" s="33"/>
      <c r="N23" s="33"/>
      <c r="O23" s="33"/>
      <c r="P23" s="58" t="s">
        <v>2</v>
      </c>
      <c r="Q23" s="58" t="s">
        <v>2</v>
      </c>
      <c r="R23" s="33"/>
      <c r="S23" s="33"/>
      <c r="T23" s="33"/>
      <c r="U23" s="33"/>
      <c r="V23" s="33"/>
      <c r="W23" s="33"/>
      <c r="X23" s="58" t="s">
        <v>2</v>
      </c>
      <c r="Y23" s="58" t="s">
        <v>2</v>
      </c>
      <c r="Z23" s="33"/>
      <c r="AA23" s="33"/>
      <c r="AB23" s="33"/>
      <c r="AC23" s="33"/>
      <c r="AD23" s="33"/>
      <c r="AE23" s="33"/>
      <c r="AF23" s="58" t="s">
        <v>2</v>
      </c>
      <c r="AH23" s="16">
        <f t="shared" si="0"/>
        <v>0</v>
      </c>
      <c r="AI23" s="16">
        <f t="shared" si="1"/>
        <v>0</v>
      </c>
    </row>
    <row r="24" spans="1:35" ht="20.100000000000001" customHeight="1"/>
    <row r="25" spans="1:35" s="6" customFormat="1" ht="20.100000000000001" customHeight="1">
      <c r="A25" s="88" t="s">
        <v>6</v>
      </c>
      <c r="B25" s="67">
        <v>1</v>
      </c>
      <c r="C25" s="67">
        <v>2</v>
      </c>
      <c r="D25" s="67">
        <v>3</v>
      </c>
      <c r="E25" s="67">
        <v>4</v>
      </c>
      <c r="F25" s="67">
        <v>5</v>
      </c>
      <c r="G25" s="67">
        <v>6</v>
      </c>
      <c r="H25" s="67">
        <v>7</v>
      </c>
      <c r="I25" s="67">
        <v>8</v>
      </c>
      <c r="J25" s="67">
        <v>9</v>
      </c>
      <c r="K25" s="67">
        <v>10</v>
      </c>
      <c r="L25" s="67">
        <v>11</v>
      </c>
      <c r="M25" s="67">
        <v>12</v>
      </c>
      <c r="N25" s="67">
        <v>13</v>
      </c>
      <c r="O25" s="67">
        <v>14</v>
      </c>
      <c r="P25" s="67">
        <v>15</v>
      </c>
      <c r="Q25" s="67">
        <v>16</v>
      </c>
      <c r="R25" s="67">
        <v>17</v>
      </c>
      <c r="S25" s="67">
        <v>18</v>
      </c>
      <c r="T25" s="67">
        <v>19</v>
      </c>
      <c r="U25" s="67">
        <v>20</v>
      </c>
      <c r="V25" s="67">
        <v>21</v>
      </c>
      <c r="W25" s="67">
        <v>22</v>
      </c>
      <c r="X25" s="67">
        <v>23</v>
      </c>
      <c r="Y25" s="67">
        <v>24</v>
      </c>
      <c r="Z25" s="67">
        <v>25</v>
      </c>
      <c r="AA25" s="67">
        <v>26</v>
      </c>
      <c r="AB25" s="67">
        <v>27</v>
      </c>
      <c r="AC25" s="67">
        <v>28</v>
      </c>
      <c r="AD25" s="67">
        <v>29</v>
      </c>
      <c r="AH25" s="93" t="s">
        <v>18</v>
      </c>
      <c r="AI25" s="93" t="s">
        <v>19</v>
      </c>
    </row>
    <row r="26" spans="1:35" ht="20.100000000000001" customHeight="1">
      <c r="A26" s="95"/>
      <c r="B26" s="68" t="str">
        <f>'2020'!B12</f>
        <v>Szo</v>
      </c>
      <c r="C26" s="68" t="str">
        <f>'2020'!C12</f>
        <v>V</v>
      </c>
      <c r="D26" s="68" t="str">
        <f>'2020'!D12</f>
        <v>H</v>
      </c>
      <c r="E26" s="68" t="str">
        <f>'2020'!E12</f>
        <v>K</v>
      </c>
      <c r="F26" s="68" t="str">
        <f>'2020'!F12</f>
        <v>Sze</v>
      </c>
      <c r="G26" s="68" t="str">
        <f>'2020'!G12</f>
        <v>Cs</v>
      </c>
      <c r="H26" s="68" t="str">
        <f>'2020'!H12</f>
        <v>P</v>
      </c>
      <c r="I26" s="68" t="str">
        <f>'2020'!I12</f>
        <v>Szo</v>
      </c>
      <c r="J26" s="68" t="str">
        <f>'2020'!J12</f>
        <v>V</v>
      </c>
      <c r="K26" s="68" t="str">
        <f>'2020'!K12</f>
        <v>H</v>
      </c>
      <c r="L26" s="68" t="str">
        <f>'2020'!L12</f>
        <v>K</v>
      </c>
      <c r="M26" s="68" t="str">
        <f>'2020'!M12</f>
        <v>Sze</v>
      </c>
      <c r="N26" s="68" t="str">
        <f>'2020'!N12</f>
        <v>Cs</v>
      </c>
      <c r="O26" s="68" t="str">
        <f>'2020'!O12</f>
        <v>P</v>
      </c>
      <c r="P26" s="68" t="str">
        <f>'2020'!P12</f>
        <v>Szo</v>
      </c>
      <c r="Q26" s="68" t="str">
        <f>'2020'!Q12</f>
        <v>V</v>
      </c>
      <c r="R26" s="68" t="str">
        <f>'2020'!R12</f>
        <v>H</v>
      </c>
      <c r="S26" s="68" t="str">
        <f>'2020'!S12</f>
        <v>K</v>
      </c>
      <c r="T26" s="68" t="str">
        <f>'2020'!T12</f>
        <v>Sze</v>
      </c>
      <c r="U26" s="68" t="str">
        <f>'2020'!U12</f>
        <v>Cs</v>
      </c>
      <c r="V26" s="68" t="str">
        <f>'2020'!V12</f>
        <v>P</v>
      </c>
      <c r="W26" s="68" t="str">
        <f>'2020'!W12</f>
        <v>Szo</v>
      </c>
      <c r="X26" s="68" t="str">
        <f>'2020'!X12</f>
        <v>V</v>
      </c>
      <c r="Y26" s="68" t="str">
        <f>'2020'!Y12</f>
        <v>H</v>
      </c>
      <c r="Z26" s="68" t="str">
        <f>'2020'!Z12</f>
        <v>K</v>
      </c>
      <c r="AA26" s="68" t="str">
        <f>'2020'!AA12</f>
        <v>Sze</v>
      </c>
      <c r="AB26" s="68" t="str">
        <f>'2020'!AB12</f>
        <v>Cs</v>
      </c>
      <c r="AC26" s="68" t="str">
        <f>'2020'!AC12</f>
        <v>P</v>
      </c>
      <c r="AD26" s="68" t="str">
        <f>'2020'!AD12</f>
        <v>Szo</v>
      </c>
      <c r="AE26" s="1"/>
      <c r="AF26" s="1"/>
      <c r="AH26" s="94"/>
      <c r="AI26" s="94"/>
    </row>
    <row r="27" spans="1:35" ht="20.100000000000001" customHeight="1">
      <c r="A27" s="95"/>
      <c r="B27" s="68" t="str">
        <f>'2020'!B15</f>
        <v>X</v>
      </c>
      <c r="C27" s="68">
        <f>'2020'!C15</f>
        <v>3</v>
      </c>
      <c r="D27" s="68">
        <f>'2020'!D15</f>
        <v>3</v>
      </c>
      <c r="E27" s="68">
        <f>'2020'!E15</f>
        <v>3</v>
      </c>
      <c r="F27" s="68">
        <f>'2020'!F15</f>
        <v>3</v>
      </c>
      <c r="G27" s="68">
        <f>'2020'!G15</f>
        <v>3</v>
      </c>
      <c r="H27" s="68">
        <f>'2020'!H15</f>
        <v>3</v>
      </c>
      <c r="I27" s="68" t="str">
        <f>'2020'!I15</f>
        <v>X</v>
      </c>
      <c r="J27" s="68" t="str">
        <f>'2020'!J15</f>
        <v>X</v>
      </c>
      <c r="K27" s="68">
        <f>'2020'!K15</f>
        <v>2</v>
      </c>
      <c r="L27" s="68">
        <f>'2020'!L15</f>
        <v>2</v>
      </c>
      <c r="M27" s="68">
        <f>'2020'!M15</f>
        <v>2</v>
      </c>
      <c r="N27" s="68">
        <f>'2020'!N15</f>
        <v>2</v>
      </c>
      <c r="O27" s="68">
        <f>'2020'!O15</f>
        <v>2</v>
      </c>
      <c r="P27" s="68">
        <f>'2020'!P15</f>
        <v>2</v>
      </c>
      <c r="Q27" s="68" t="str">
        <f>'2020'!Q15</f>
        <v>X</v>
      </c>
      <c r="R27" s="68" t="str">
        <f>'2020'!R15</f>
        <v>X</v>
      </c>
      <c r="S27" s="68">
        <f>'2020'!S15</f>
        <v>1</v>
      </c>
      <c r="T27" s="68">
        <f>'2020'!T15</f>
        <v>1</v>
      </c>
      <c r="U27" s="68">
        <f>'2020'!U15</f>
        <v>1</v>
      </c>
      <c r="V27" s="68">
        <f>'2020'!V15</f>
        <v>1</v>
      </c>
      <c r="W27" s="68">
        <f>'2020'!W15</f>
        <v>1</v>
      </c>
      <c r="X27" s="68">
        <f>'2020'!X15</f>
        <v>1</v>
      </c>
      <c r="Y27" s="68" t="str">
        <f>'2020'!Y15</f>
        <v>X</v>
      </c>
      <c r="Z27" s="68" t="str">
        <f>'2020'!Z15</f>
        <v>X</v>
      </c>
      <c r="AA27" s="68">
        <f>'2020'!AA15</f>
        <v>3</v>
      </c>
      <c r="AB27" s="68">
        <f>'2020'!AB15</f>
        <v>3</v>
      </c>
      <c r="AC27" s="68">
        <f>'2020'!AC15</f>
        <v>3</v>
      </c>
      <c r="AD27" s="68">
        <f>'2020'!AD15</f>
        <v>3</v>
      </c>
      <c r="AE27" s="1"/>
      <c r="AF27" s="1"/>
      <c r="AH27" s="94"/>
      <c r="AI27" s="94"/>
    </row>
    <row r="28" spans="1:35" ht="20.100000000000001" customHeight="1">
      <c r="A28" s="18" t="str">
        <f>ÖSSZES!$A$49</f>
        <v>Kuik-Filep András</v>
      </c>
      <c r="B28" s="71" t="s">
        <v>2</v>
      </c>
      <c r="C28" s="70"/>
      <c r="D28" s="70"/>
      <c r="E28" s="70"/>
      <c r="F28" s="72"/>
      <c r="G28" s="72"/>
      <c r="H28" s="72"/>
      <c r="I28" s="71" t="s">
        <v>2</v>
      </c>
      <c r="J28" s="71" t="s">
        <v>2</v>
      </c>
      <c r="K28" s="70"/>
      <c r="L28" s="70"/>
      <c r="M28" s="70"/>
      <c r="N28" s="72"/>
      <c r="O28" s="72"/>
      <c r="P28" s="72"/>
      <c r="Q28" s="71" t="s">
        <v>2</v>
      </c>
      <c r="R28" s="71" t="s">
        <v>2</v>
      </c>
      <c r="S28" s="70"/>
      <c r="T28" s="70"/>
      <c r="U28" s="70"/>
      <c r="V28" s="72"/>
      <c r="W28" s="72" t="s">
        <v>114</v>
      </c>
      <c r="X28" s="72" t="s">
        <v>20</v>
      </c>
      <c r="Y28" s="71" t="s">
        <v>2</v>
      </c>
      <c r="Z28" s="71" t="s">
        <v>2</v>
      </c>
      <c r="AA28" s="70"/>
      <c r="AB28" s="70"/>
      <c r="AC28" s="70"/>
      <c r="AD28" s="70"/>
      <c r="AE28" s="1"/>
      <c r="AF28" s="1"/>
      <c r="AH28" s="16">
        <f>1*COUNTIF(A28:AF28,"+")</f>
        <v>1</v>
      </c>
      <c r="AI28" s="16">
        <f t="shared" ref="AI28" si="2">1*COUNTIF(B28:AF28,"szf")</f>
        <v>1</v>
      </c>
    </row>
    <row r="29" spans="1:35" ht="20.100000000000001" customHeight="1">
      <c r="A29" s="18" t="str">
        <f>ÖSSZES!$A$50</f>
        <v>Balogh Zsolt</v>
      </c>
      <c r="B29" s="71" t="s">
        <v>2</v>
      </c>
      <c r="C29" s="70" t="s">
        <v>114</v>
      </c>
      <c r="D29" s="70"/>
      <c r="E29" s="70"/>
      <c r="F29" s="72"/>
      <c r="G29" s="72"/>
      <c r="H29" s="72"/>
      <c r="I29" s="71" t="s">
        <v>2</v>
      </c>
      <c r="J29" s="71" t="s">
        <v>2</v>
      </c>
      <c r="K29" s="70"/>
      <c r="L29" s="70"/>
      <c r="M29" s="70"/>
      <c r="N29" s="72"/>
      <c r="O29" s="72"/>
      <c r="P29" s="72"/>
      <c r="Q29" s="71" t="s">
        <v>2</v>
      </c>
      <c r="R29" s="71" t="s">
        <v>2</v>
      </c>
      <c r="S29" s="70"/>
      <c r="T29" s="70"/>
      <c r="U29" s="70"/>
      <c r="V29" s="72"/>
      <c r="W29" s="72"/>
      <c r="X29" s="72"/>
      <c r="Y29" s="71" t="s">
        <v>2</v>
      </c>
      <c r="Z29" s="71" t="s">
        <v>2</v>
      </c>
      <c r="AA29" s="70"/>
      <c r="AB29" s="70"/>
      <c r="AC29" s="70"/>
      <c r="AD29" s="70"/>
      <c r="AE29" s="1"/>
      <c r="AF29" s="1"/>
      <c r="AH29" s="16">
        <f t="shared" ref="AH29:AH47" si="3">1*COUNTIF(A29:AF29,"+")</f>
        <v>1</v>
      </c>
      <c r="AI29" s="16">
        <f t="shared" ref="AI29:AI47" si="4">1*COUNTIF(B29:AF29,"szf")</f>
        <v>0</v>
      </c>
    </row>
    <row r="30" spans="1:35" ht="20.100000000000001" customHeight="1">
      <c r="A30" s="18" t="str">
        <f>ÖSSZES!$A$51</f>
        <v>Éliás Viktor</v>
      </c>
      <c r="B30" s="71" t="s">
        <v>2</v>
      </c>
      <c r="C30" s="70"/>
      <c r="D30" s="70"/>
      <c r="E30" s="70"/>
      <c r="F30" s="72"/>
      <c r="G30" s="72"/>
      <c r="H30" s="72"/>
      <c r="I30" s="71" t="s">
        <v>2</v>
      </c>
      <c r="J30" s="71" t="s">
        <v>2</v>
      </c>
      <c r="K30" s="70"/>
      <c r="L30" s="70"/>
      <c r="M30" s="70"/>
      <c r="N30" s="72"/>
      <c r="O30" s="72"/>
      <c r="P30" s="72"/>
      <c r="Q30" s="71" t="s">
        <v>2</v>
      </c>
      <c r="R30" s="71" t="s">
        <v>2</v>
      </c>
      <c r="S30" s="70"/>
      <c r="T30" s="70"/>
      <c r="U30" s="70"/>
      <c r="V30" s="72" t="s">
        <v>114</v>
      </c>
      <c r="W30" s="72"/>
      <c r="X30" s="72"/>
      <c r="Y30" s="71" t="s">
        <v>2</v>
      </c>
      <c r="Z30" s="71" t="s">
        <v>2</v>
      </c>
      <c r="AA30" s="70"/>
      <c r="AB30" s="70"/>
      <c r="AC30" s="70"/>
      <c r="AD30" s="70"/>
      <c r="AE30" s="1"/>
      <c r="AF30" s="1"/>
      <c r="AH30" s="16">
        <f t="shared" si="3"/>
        <v>1</v>
      </c>
      <c r="AI30" s="16">
        <f t="shared" si="4"/>
        <v>0</v>
      </c>
    </row>
    <row r="31" spans="1:35" ht="20.100000000000001" customHeight="1">
      <c r="A31" s="18" t="str">
        <f>ÖSSZES!$A$52</f>
        <v>Hadházi Kálmán</v>
      </c>
      <c r="B31" s="71" t="s">
        <v>2</v>
      </c>
      <c r="C31" s="70"/>
      <c r="D31" s="70"/>
      <c r="E31" s="70"/>
      <c r="F31" s="72"/>
      <c r="G31" s="72"/>
      <c r="H31" s="72"/>
      <c r="I31" s="71" t="s">
        <v>2</v>
      </c>
      <c r="J31" s="71" t="s">
        <v>2</v>
      </c>
      <c r="K31" s="70"/>
      <c r="L31" s="70"/>
      <c r="M31" s="70"/>
      <c r="N31" s="72"/>
      <c r="O31" s="72"/>
      <c r="P31" s="72"/>
      <c r="Q31" s="71" t="s">
        <v>2</v>
      </c>
      <c r="R31" s="71" t="s">
        <v>2</v>
      </c>
      <c r="S31" s="70"/>
      <c r="T31" s="70"/>
      <c r="U31" s="70"/>
      <c r="V31" s="72"/>
      <c r="W31" s="72"/>
      <c r="X31" s="72"/>
      <c r="Y31" s="71" t="s">
        <v>2</v>
      </c>
      <c r="Z31" s="71" t="s">
        <v>2</v>
      </c>
      <c r="AA31" s="70"/>
      <c r="AB31" s="70"/>
      <c r="AC31" s="70"/>
      <c r="AD31" s="70" t="s">
        <v>20</v>
      </c>
      <c r="AE31" s="1"/>
      <c r="AF31" s="1"/>
      <c r="AH31" s="16">
        <f t="shared" si="3"/>
        <v>0</v>
      </c>
      <c r="AI31" s="16">
        <f t="shared" si="4"/>
        <v>1</v>
      </c>
    </row>
    <row r="32" spans="1:35" ht="20.100000000000001" customHeight="1">
      <c r="A32" s="18" t="str">
        <f>ÖSSZES!$A$53</f>
        <v>Kiss Attila</v>
      </c>
      <c r="B32" s="71" t="s">
        <v>2</v>
      </c>
      <c r="C32" s="70"/>
      <c r="D32" s="70"/>
      <c r="E32" s="70"/>
      <c r="F32" s="72"/>
      <c r="G32" s="72"/>
      <c r="H32" s="72" t="s">
        <v>114</v>
      </c>
      <c r="I32" s="71" t="s">
        <v>2</v>
      </c>
      <c r="J32" s="71" t="s">
        <v>2</v>
      </c>
      <c r="K32" s="70"/>
      <c r="L32" s="70"/>
      <c r="M32" s="70"/>
      <c r="N32" s="72"/>
      <c r="O32" s="72"/>
      <c r="P32" s="72"/>
      <c r="Q32" s="71" t="s">
        <v>2</v>
      </c>
      <c r="R32" s="71" t="s">
        <v>2</v>
      </c>
      <c r="S32" s="70"/>
      <c r="T32" s="70"/>
      <c r="U32" s="70"/>
      <c r="V32" s="72"/>
      <c r="W32" s="72"/>
      <c r="X32" s="72"/>
      <c r="Y32" s="71" t="s">
        <v>2</v>
      </c>
      <c r="Z32" s="71" t="s">
        <v>2</v>
      </c>
      <c r="AA32" s="70"/>
      <c r="AB32" s="70"/>
      <c r="AC32" s="70"/>
      <c r="AD32" s="70"/>
      <c r="AE32" s="1"/>
      <c r="AF32" s="1"/>
      <c r="AH32" s="16">
        <f t="shared" si="3"/>
        <v>1</v>
      </c>
      <c r="AI32" s="16">
        <f t="shared" si="4"/>
        <v>0</v>
      </c>
    </row>
    <row r="33" spans="1:35" ht="20.100000000000001" customHeight="1">
      <c r="A33" s="18" t="str">
        <f>ÖSSZES!$A$54</f>
        <v>Serestyén Dániel</v>
      </c>
      <c r="B33" s="71" t="s">
        <v>2</v>
      </c>
      <c r="C33" s="70"/>
      <c r="D33" s="70"/>
      <c r="E33" s="70"/>
      <c r="F33" s="72"/>
      <c r="G33" s="72"/>
      <c r="H33" s="72"/>
      <c r="I33" s="71" t="s">
        <v>2</v>
      </c>
      <c r="J33" s="71" t="s">
        <v>2</v>
      </c>
      <c r="K33" s="70"/>
      <c r="L33" s="70"/>
      <c r="M33" s="70"/>
      <c r="N33" s="72"/>
      <c r="O33" s="72"/>
      <c r="P33" s="72" t="s">
        <v>114</v>
      </c>
      <c r="Q33" s="71" t="s">
        <v>2</v>
      </c>
      <c r="R33" s="71" t="s">
        <v>2</v>
      </c>
      <c r="S33" s="70"/>
      <c r="T33" s="70"/>
      <c r="U33" s="70"/>
      <c r="V33" s="72"/>
      <c r="W33" s="72"/>
      <c r="X33" s="72" t="s">
        <v>20</v>
      </c>
      <c r="Y33" s="71" t="s">
        <v>2</v>
      </c>
      <c r="Z33" s="71" t="s">
        <v>2</v>
      </c>
      <c r="AA33" s="70"/>
      <c r="AB33" s="70"/>
      <c r="AC33" s="70"/>
      <c r="AD33" s="70"/>
      <c r="AE33" s="1"/>
      <c r="AF33" s="1"/>
      <c r="AH33" s="16">
        <f t="shared" si="3"/>
        <v>1</v>
      </c>
      <c r="AI33" s="16">
        <f t="shared" si="4"/>
        <v>1</v>
      </c>
    </row>
    <row r="34" spans="1:35" ht="20.100000000000001" customHeight="1">
      <c r="A34" s="18" t="str">
        <f>ÖSSZES!$A$55</f>
        <v>Varga Imre</v>
      </c>
      <c r="B34" s="71" t="s">
        <v>2</v>
      </c>
      <c r="C34" s="70"/>
      <c r="D34" s="70"/>
      <c r="E34" s="70"/>
      <c r="F34" s="72"/>
      <c r="G34" s="72"/>
      <c r="H34" s="72"/>
      <c r="I34" s="71" t="s">
        <v>2</v>
      </c>
      <c r="J34" s="71" t="s">
        <v>2</v>
      </c>
      <c r="K34" s="70"/>
      <c r="L34" s="70"/>
      <c r="M34" s="70"/>
      <c r="N34" s="72"/>
      <c r="O34" s="72"/>
      <c r="P34" s="72"/>
      <c r="Q34" s="71" t="s">
        <v>2</v>
      </c>
      <c r="R34" s="71" t="s">
        <v>2</v>
      </c>
      <c r="S34" s="70"/>
      <c r="T34" s="70"/>
      <c r="U34" s="70"/>
      <c r="V34" s="72"/>
      <c r="W34" s="72"/>
      <c r="X34" s="72"/>
      <c r="Y34" s="71" t="s">
        <v>2</v>
      </c>
      <c r="Z34" s="71" t="s">
        <v>2</v>
      </c>
      <c r="AA34" s="70" t="s">
        <v>114</v>
      </c>
      <c r="AB34" s="70" t="s">
        <v>20</v>
      </c>
      <c r="AC34" s="70" t="s">
        <v>20</v>
      </c>
      <c r="AD34" s="70"/>
      <c r="AE34" s="1"/>
      <c r="AF34" s="1"/>
      <c r="AH34" s="16">
        <f t="shared" si="3"/>
        <v>1</v>
      </c>
      <c r="AI34" s="16">
        <f t="shared" si="4"/>
        <v>2</v>
      </c>
    </row>
    <row r="35" spans="1:35" ht="20.100000000000001" hidden="1" customHeight="1">
      <c r="A35" s="18" t="str">
        <f>ÖSSZES!$A$56</f>
        <v>Név8</v>
      </c>
      <c r="B35" s="58" t="s">
        <v>2</v>
      </c>
      <c r="C35" s="14"/>
      <c r="D35" s="14"/>
      <c r="E35" s="14"/>
      <c r="F35" s="33"/>
      <c r="G35" s="33"/>
      <c r="H35" s="33"/>
      <c r="I35" s="58" t="s">
        <v>2</v>
      </c>
      <c r="J35" s="58" t="s">
        <v>2</v>
      </c>
      <c r="K35" s="14"/>
      <c r="L35" s="14"/>
      <c r="M35" s="14"/>
      <c r="N35" s="33"/>
      <c r="O35" s="33"/>
      <c r="P35" s="33"/>
      <c r="Q35" s="58" t="s">
        <v>2</v>
      </c>
      <c r="R35" s="58" t="s">
        <v>2</v>
      </c>
      <c r="S35" s="14"/>
      <c r="T35" s="14"/>
      <c r="U35" s="14"/>
      <c r="V35" s="33"/>
      <c r="W35" s="33"/>
      <c r="X35" s="33"/>
      <c r="Y35" s="58" t="s">
        <v>2</v>
      </c>
      <c r="Z35" s="58" t="s">
        <v>2</v>
      </c>
      <c r="AA35" s="14"/>
      <c r="AB35" s="14"/>
      <c r="AC35" s="14"/>
      <c r="AD35" s="14"/>
      <c r="AE35" s="1"/>
      <c r="AF35" s="1"/>
      <c r="AH35" s="16">
        <f t="shared" si="3"/>
        <v>0</v>
      </c>
      <c r="AI35" s="16">
        <f t="shared" si="4"/>
        <v>0</v>
      </c>
    </row>
    <row r="36" spans="1:35" ht="20.100000000000001" hidden="1" customHeight="1">
      <c r="A36" s="18" t="str">
        <f>ÖSSZES!$A$57</f>
        <v>Név9</v>
      </c>
      <c r="B36" s="58" t="s">
        <v>2</v>
      </c>
      <c r="C36" s="14"/>
      <c r="D36" s="14"/>
      <c r="E36" s="14"/>
      <c r="F36" s="33"/>
      <c r="G36" s="33"/>
      <c r="H36" s="33"/>
      <c r="I36" s="58" t="s">
        <v>2</v>
      </c>
      <c r="J36" s="58" t="s">
        <v>2</v>
      </c>
      <c r="K36" s="14"/>
      <c r="L36" s="14"/>
      <c r="M36" s="14"/>
      <c r="N36" s="33"/>
      <c r="O36" s="33"/>
      <c r="P36" s="33"/>
      <c r="Q36" s="58" t="s">
        <v>2</v>
      </c>
      <c r="R36" s="58" t="s">
        <v>2</v>
      </c>
      <c r="S36" s="14"/>
      <c r="T36" s="14"/>
      <c r="U36" s="14"/>
      <c r="V36" s="33"/>
      <c r="W36" s="33"/>
      <c r="X36" s="33"/>
      <c r="Y36" s="58" t="s">
        <v>2</v>
      </c>
      <c r="Z36" s="58" t="s">
        <v>2</v>
      </c>
      <c r="AA36" s="14"/>
      <c r="AB36" s="14"/>
      <c r="AC36" s="14"/>
      <c r="AD36" s="14"/>
      <c r="AE36" s="1"/>
      <c r="AF36" s="1"/>
      <c r="AH36" s="16">
        <f t="shared" si="3"/>
        <v>0</v>
      </c>
      <c r="AI36" s="16">
        <f t="shared" si="4"/>
        <v>0</v>
      </c>
    </row>
    <row r="37" spans="1:35" ht="20.100000000000001" hidden="1" customHeight="1">
      <c r="A37" s="18" t="str">
        <f>ÖSSZES!$A$58</f>
        <v>Név10</v>
      </c>
      <c r="B37" s="58" t="s">
        <v>2</v>
      </c>
      <c r="C37" s="14"/>
      <c r="D37" s="14"/>
      <c r="E37" s="14"/>
      <c r="F37" s="33"/>
      <c r="G37" s="33"/>
      <c r="H37" s="33"/>
      <c r="I37" s="58" t="s">
        <v>2</v>
      </c>
      <c r="J37" s="58" t="s">
        <v>2</v>
      </c>
      <c r="K37" s="14"/>
      <c r="L37" s="14"/>
      <c r="M37" s="14"/>
      <c r="N37" s="33"/>
      <c r="O37" s="33"/>
      <c r="P37" s="33"/>
      <c r="Q37" s="58" t="s">
        <v>2</v>
      </c>
      <c r="R37" s="58" t="s">
        <v>2</v>
      </c>
      <c r="S37" s="14"/>
      <c r="T37" s="14"/>
      <c r="U37" s="14"/>
      <c r="V37" s="33"/>
      <c r="W37" s="33"/>
      <c r="X37" s="33"/>
      <c r="Y37" s="58" t="s">
        <v>2</v>
      </c>
      <c r="Z37" s="58" t="s">
        <v>2</v>
      </c>
      <c r="AA37" s="14"/>
      <c r="AB37" s="14"/>
      <c r="AC37" s="14"/>
      <c r="AD37" s="14"/>
      <c r="AE37" s="1"/>
      <c r="AF37" s="1"/>
      <c r="AH37" s="16">
        <f t="shared" si="3"/>
        <v>0</v>
      </c>
      <c r="AI37" s="16">
        <f t="shared" si="4"/>
        <v>0</v>
      </c>
    </row>
    <row r="38" spans="1:35" ht="20.100000000000001" hidden="1" customHeight="1">
      <c r="A38" s="18" t="str">
        <f>ÖSSZES!$A$59</f>
        <v>Név11</v>
      </c>
      <c r="B38" s="58" t="s">
        <v>2</v>
      </c>
      <c r="C38" s="14"/>
      <c r="D38" s="14"/>
      <c r="E38" s="14"/>
      <c r="F38" s="33"/>
      <c r="G38" s="33"/>
      <c r="H38" s="33"/>
      <c r="I38" s="58" t="s">
        <v>2</v>
      </c>
      <c r="J38" s="58" t="s">
        <v>2</v>
      </c>
      <c r="K38" s="14"/>
      <c r="L38" s="14"/>
      <c r="M38" s="14"/>
      <c r="N38" s="33"/>
      <c r="O38" s="33"/>
      <c r="P38" s="33"/>
      <c r="Q38" s="58" t="s">
        <v>2</v>
      </c>
      <c r="R38" s="58" t="s">
        <v>2</v>
      </c>
      <c r="S38" s="14"/>
      <c r="T38" s="14"/>
      <c r="U38" s="14"/>
      <c r="V38" s="33"/>
      <c r="W38" s="33"/>
      <c r="X38" s="33"/>
      <c r="Y38" s="58" t="s">
        <v>2</v>
      </c>
      <c r="Z38" s="58" t="s">
        <v>2</v>
      </c>
      <c r="AA38" s="14"/>
      <c r="AB38" s="14"/>
      <c r="AC38" s="14"/>
      <c r="AD38" s="14"/>
      <c r="AE38" s="1"/>
      <c r="AF38" s="1"/>
      <c r="AH38" s="16">
        <f t="shared" si="3"/>
        <v>0</v>
      </c>
      <c r="AI38" s="16">
        <f t="shared" si="4"/>
        <v>0</v>
      </c>
    </row>
    <row r="39" spans="1:35" ht="20.100000000000001" hidden="1" customHeight="1">
      <c r="A39" s="18" t="str">
        <f>ÖSSZES!$A$60</f>
        <v>Név12</v>
      </c>
      <c r="B39" s="58" t="s">
        <v>2</v>
      </c>
      <c r="C39" s="14"/>
      <c r="D39" s="14"/>
      <c r="E39" s="14"/>
      <c r="F39" s="33"/>
      <c r="G39" s="33"/>
      <c r="H39" s="33"/>
      <c r="I39" s="58" t="s">
        <v>2</v>
      </c>
      <c r="J39" s="58" t="s">
        <v>2</v>
      </c>
      <c r="K39" s="14"/>
      <c r="L39" s="14"/>
      <c r="M39" s="14"/>
      <c r="N39" s="33"/>
      <c r="O39" s="33"/>
      <c r="P39" s="33"/>
      <c r="Q39" s="58" t="s">
        <v>2</v>
      </c>
      <c r="R39" s="58" t="s">
        <v>2</v>
      </c>
      <c r="S39" s="14"/>
      <c r="T39" s="14"/>
      <c r="U39" s="14"/>
      <c r="V39" s="33"/>
      <c r="W39" s="33"/>
      <c r="X39" s="33"/>
      <c r="Y39" s="58" t="s">
        <v>2</v>
      </c>
      <c r="Z39" s="58" t="s">
        <v>2</v>
      </c>
      <c r="AA39" s="14"/>
      <c r="AB39" s="14"/>
      <c r="AC39" s="14"/>
      <c r="AD39" s="14"/>
      <c r="AE39" s="1"/>
      <c r="AF39" s="1"/>
      <c r="AH39" s="16">
        <f t="shared" si="3"/>
        <v>0</v>
      </c>
      <c r="AI39" s="16">
        <f t="shared" si="4"/>
        <v>0</v>
      </c>
    </row>
    <row r="40" spans="1:35" ht="20.100000000000001" hidden="1" customHeight="1">
      <c r="A40" s="18" t="str">
        <f>ÖSSZES!$A$61</f>
        <v>Név13</v>
      </c>
      <c r="B40" s="58" t="s">
        <v>2</v>
      </c>
      <c r="C40" s="14"/>
      <c r="D40" s="14"/>
      <c r="E40" s="14"/>
      <c r="F40" s="33"/>
      <c r="G40" s="33"/>
      <c r="H40" s="33"/>
      <c r="I40" s="58" t="s">
        <v>2</v>
      </c>
      <c r="J40" s="58" t="s">
        <v>2</v>
      </c>
      <c r="K40" s="14"/>
      <c r="L40" s="14"/>
      <c r="M40" s="14"/>
      <c r="N40" s="33"/>
      <c r="O40" s="33"/>
      <c r="P40" s="33"/>
      <c r="Q40" s="58" t="s">
        <v>2</v>
      </c>
      <c r="R40" s="58" t="s">
        <v>2</v>
      </c>
      <c r="S40" s="14"/>
      <c r="T40" s="14"/>
      <c r="U40" s="14"/>
      <c r="V40" s="33"/>
      <c r="W40" s="33"/>
      <c r="X40" s="33"/>
      <c r="Y40" s="58" t="s">
        <v>2</v>
      </c>
      <c r="Z40" s="58" t="s">
        <v>2</v>
      </c>
      <c r="AA40" s="14"/>
      <c r="AB40" s="14"/>
      <c r="AC40" s="14"/>
      <c r="AD40" s="14"/>
      <c r="AE40" s="1"/>
      <c r="AF40" s="1"/>
      <c r="AH40" s="16">
        <f t="shared" si="3"/>
        <v>0</v>
      </c>
      <c r="AI40" s="16">
        <f t="shared" si="4"/>
        <v>0</v>
      </c>
    </row>
    <row r="41" spans="1:35" ht="20.100000000000001" hidden="1" customHeight="1">
      <c r="A41" s="18" t="str">
        <f>ÖSSZES!$A$62</f>
        <v>Név14</v>
      </c>
      <c r="B41" s="58" t="s">
        <v>2</v>
      </c>
      <c r="C41" s="14"/>
      <c r="D41" s="14"/>
      <c r="E41" s="14"/>
      <c r="F41" s="33"/>
      <c r="G41" s="33"/>
      <c r="H41" s="33"/>
      <c r="I41" s="58" t="s">
        <v>2</v>
      </c>
      <c r="J41" s="58" t="s">
        <v>2</v>
      </c>
      <c r="K41" s="14"/>
      <c r="L41" s="14"/>
      <c r="M41" s="14"/>
      <c r="N41" s="33"/>
      <c r="O41" s="33"/>
      <c r="P41" s="33"/>
      <c r="Q41" s="58" t="s">
        <v>2</v>
      </c>
      <c r="R41" s="58" t="s">
        <v>2</v>
      </c>
      <c r="S41" s="14"/>
      <c r="T41" s="14"/>
      <c r="U41" s="14"/>
      <c r="V41" s="33"/>
      <c r="W41" s="33"/>
      <c r="X41" s="33"/>
      <c r="Y41" s="58" t="s">
        <v>2</v>
      </c>
      <c r="Z41" s="58" t="s">
        <v>2</v>
      </c>
      <c r="AA41" s="14"/>
      <c r="AB41" s="14"/>
      <c r="AC41" s="14"/>
      <c r="AD41" s="14"/>
      <c r="AE41" s="1"/>
      <c r="AF41" s="1"/>
      <c r="AH41" s="16">
        <f t="shared" si="3"/>
        <v>0</v>
      </c>
      <c r="AI41" s="16">
        <f t="shared" si="4"/>
        <v>0</v>
      </c>
    </row>
    <row r="42" spans="1:35" ht="20.100000000000001" hidden="1" customHeight="1">
      <c r="A42" s="18" t="str">
        <f>ÖSSZES!$A$63</f>
        <v>Név15</v>
      </c>
      <c r="B42" s="58" t="s">
        <v>2</v>
      </c>
      <c r="C42" s="14"/>
      <c r="D42" s="14"/>
      <c r="E42" s="14"/>
      <c r="F42" s="33"/>
      <c r="G42" s="33"/>
      <c r="H42" s="33"/>
      <c r="I42" s="58" t="s">
        <v>2</v>
      </c>
      <c r="J42" s="58" t="s">
        <v>2</v>
      </c>
      <c r="K42" s="14"/>
      <c r="L42" s="14"/>
      <c r="M42" s="14"/>
      <c r="N42" s="33"/>
      <c r="O42" s="33"/>
      <c r="P42" s="33"/>
      <c r="Q42" s="58" t="s">
        <v>2</v>
      </c>
      <c r="R42" s="58" t="s">
        <v>2</v>
      </c>
      <c r="S42" s="14"/>
      <c r="T42" s="14"/>
      <c r="U42" s="14"/>
      <c r="V42" s="33"/>
      <c r="W42" s="33"/>
      <c r="X42" s="33"/>
      <c r="Y42" s="58" t="s">
        <v>2</v>
      </c>
      <c r="Z42" s="58" t="s">
        <v>2</v>
      </c>
      <c r="AA42" s="14"/>
      <c r="AB42" s="14"/>
      <c r="AC42" s="14"/>
      <c r="AD42" s="14"/>
      <c r="AE42" s="1"/>
      <c r="AF42" s="1"/>
      <c r="AH42" s="16">
        <f t="shared" si="3"/>
        <v>0</v>
      </c>
      <c r="AI42" s="16">
        <f t="shared" si="4"/>
        <v>0</v>
      </c>
    </row>
    <row r="43" spans="1:35" ht="20.100000000000001" hidden="1" customHeight="1">
      <c r="A43" s="18" t="str">
        <f>ÖSSZES!$A$64</f>
        <v>Név16</v>
      </c>
      <c r="B43" s="58" t="s">
        <v>2</v>
      </c>
      <c r="C43" s="14"/>
      <c r="D43" s="14"/>
      <c r="E43" s="14"/>
      <c r="F43" s="33"/>
      <c r="G43" s="33"/>
      <c r="H43" s="33"/>
      <c r="I43" s="58" t="s">
        <v>2</v>
      </c>
      <c r="J43" s="58" t="s">
        <v>2</v>
      </c>
      <c r="K43" s="14"/>
      <c r="L43" s="14"/>
      <c r="M43" s="14"/>
      <c r="N43" s="33"/>
      <c r="O43" s="33"/>
      <c r="P43" s="33"/>
      <c r="Q43" s="58" t="s">
        <v>2</v>
      </c>
      <c r="R43" s="58" t="s">
        <v>2</v>
      </c>
      <c r="S43" s="14"/>
      <c r="T43" s="14"/>
      <c r="U43" s="14"/>
      <c r="V43" s="33"/>
      <c r="W43" s="33"/>
      <c r="X43" s="33"/>
      <c r="Y43" s="58" t="s">
        <v>2</v>
      </c>
      <c r="Z43" s="58" t="s">
        <v>2</v>
      </c>
      <c r="AA43" s="14"/>
      <c r="AB43" s="14"/>
      <c r="AC43" s="14"/>
      <c r="AD43" s="14"/>
      <c r="AE43" s="1"/>
      <c r="AF43" s="1"/>
      <c r="AH43" s="16">
        <f t="shared" si="3"/>
        <v>0</v>
      </c>
      <c r="AI43" s="16">
        <f t="shared" si="4"/>
        <v>0</v>
      </c>
    </row>
    <row r="44" spans="1:35" ht="20.100000000000001" hidden="1" customHeight="1">
      <c r="A44" s="18" t="str">
        <f>ÖSSZES!$A$65</f>
        <v>Név17</v>
      </c>
      <c r="B44" s="58" t="s">
        <v>2</v>
      </c>
      <c r="C44" s="14"/>
      <c r="D44" s="14"/>
      <c r="E44" s="14"/>
      <c r="F44" s="33"/>
      <c r="G44" s="33"/>
      <c r="H44" s="33"/>
      <c r="I44" s="58" t="s">
        <v>2</v>
      </c>
      <c r="J44" s="58" t="s">
        <v>2</v>
      </c>
      <c r="K44" s="14"/>
      <c r="L44" s="14"/>
      <c r="M44" s="14"/>
      <c r="N44" s="33"/>
      <c r="O44" s="33"/>
      <c r="P44" s="33"/>
      <c r="Q44" s="58" t="s">
        <v>2</v>
      </c>
      <c r="R44" s="58" t="s">
        <v>2</v>
      </c>
      <c r="S44" s="14"/>
      <c r="T44" s="14"/>
      <c r="U44" s="14"/>
      <c r="V44" s="33"/>
      <c r="W44" s="33"/>
      <c r="X44" s="33"/>
      <c r="Y44" s="58" t="s">
        <v>2</v>
      </c>
      <c r="Z44" s="58" t="s">
        <v>2</v>
      </c>
      <c r="AA44" s="14"/>
      <c r="AB44" s="14"/>
      <c r="AC44" s="14"/>
      <c r="AD44" s="14"/>
      <c r="AE44" s="1"/>
      <c r="AF44" s="1"/>
      <c r="AH44" s="16">
        <f t="shared" si="3"/>
        <v>0</v>
      </c>
      <c r="AI44" s="16">
        <f t="shared" si="4"/>
        <v>0</v>
      </c>
    </row>
    <row r="45" spans="1:35" ht="20.100000000000001" hidden="1" customHeight="1">
      <c r="A45" s="18" t="str">
        <f>ÖSSZES!$A$66</f>
        <v>Név18</v>
      </c>
      <c r="B45" s="58" t="s">
        <v>2</v>
      </c>
      <c r="C45" s="14"/>
      <c r="D45" s="14"/>
      <c r="E45" s="14"/>
      <c r="F45" s="33"/>
      <c r="G45" s="33"/>
      <c r="H45" s="33"/>
      <c r="I45" s="58" t="s">
        <v>2</v>
      </c>
      <c r="J45" s="58" t="s">
        <v>2</v>
      </c>
      <c r="K45" s="14"/>
      <c r="L45" s="14"/>
      <c r="M45" s="14"/>
      <c r="N45" s="33"/>
      <c r="O45" s="33"/>
      <c r="P45" s="33"/>
      <c r="Q45" s="58" t="s">
        <v>2</v>
      </c>
      <c r="R45" s="58" t="s">
        <v>2</v>
      </c>
      <c r="S45" s="14"/>
      <c r="T45" s="14"/>
      <c r="U45" s="14"/>
      <c r="V45" s="33"/>
      <c r="W45" s="33"/>
      <c r="X45" s="33"/>
      <c r="Y45" s="58" t="s">
        <v>2</v>
      </c>
      <c r="Z45" s="58" t="s">
        <v>2</v>
      </c>
      <c r="AA45" s="14"/>
      <c r="AB45" s="14"/>
      <c r="AC45" s="14"/>
      <c r="AD45" s="14"/>
      <c r="AE45" s="1"/>
      <c r="AF45" s="1"/>
      <c r="AH45" s="16">
        <f t="shared" si="3"/>
        <v>0</v>
      </c>
      <c r="AI45" s="16">
        <f t="shared" si="4"/>
        <v>0</v>
      </c>
    </row>
    <row r="46" spans="1:35" ht="20.100000000000001" hidden="1" customHeight="1">
      <c r="A46" s="18" t="str">
        <f>ÖSSZES!$A$67</f>
        <v>Név19</v>
      </c>
      <c r="B46" s="58" t="s">
        <v>2</v>
      </c>
      <c r="C46" s="14"/>
      <c r="D46" s="14"/>
      <c r="E46" s="14"/>
      <c r="F46" s="33"/>
      <c r="G46" s="33"/>
      <c r="H46" s="33"/>
      <c r="I46" s="58" t="s">
        <v>2</v>
      </c>
      <c r="J46" s="58" t="s">
        <v>2</v>
      </c>
      <c r="K46" s="14"/>
      <c r="L46" s="14"/>
      <c r="M46" s="14"/>
      <c r="N46" s="33"/>
      <c r="O46" s="33"/>
      <c r="P46" s="33"/>
      <c r="Q46" s="58" t="s">
        <v>2</v>
      </c>
      <c r="R46" s="58" t="s">
        <v>2</v>
      </c>
      <c r="S46" s="14"/>
      <c r="T46" s="14"/>
      <c r="U46" s="14"/>
      <c r="V46" s="33"/>
      <c r="W46" s="33"/>
      <c r="X46" s="33"/>
      <c r="Y46" s="58" t="s">
        <v>2</v>
      </c>
      <c r="Z46" s="58" t="s">
        <v>2</v>
      </c>
      <c r="AA46" s="14"/>
      <c r="AB46" s="14"/>
      <c r="AC46" s="14"/>
      <c r="AD46" s="14"/>
      <c r="AE46" s="1"/>
      <c r="AF46" s="1"/>
      <c r="AH46" s="16">
        <f t="shared" si="3"/>
        <v>0</v>
      </c>
      <c r="AI46" s="16">
        <f t="shared" si="4"/>
        <v>0</v>
      </c>
    </row>
    <row r="47" spans="1:35" ht="20.100000000000001" hidden="1" customHeight="1">
      <c r="A47" s="18" t="str">
        <f>ÖSSZES!$A$68</f>
        <v>Név20</v>
      </c>
      <c r="B47" s="58" t="s">
        <v>2</v>
      </c>
      <c r="C47" s="14"/>
      <c r="D47" s="14"/>
      <c r="E47" s="14"/>
      <c r="F47" s="33"/>
      <c r="G47" s="33"/>
      <c r="H47" s="33"/>
      <c r="I47" s="58" t="s">
        <v>2</v>
      </c>
      <c r="J47" s="58" t="s">
        <v>2</v>
      </c>
      <c r="K47" s="14"/>
      <c r="L47" s="14"/>
      <c r="M47" s="14"/>
      <c r="N47" s="33"/>
      <c r="O47" s="33"/>
      <c r="P47" s="33"/>
      <c r="Q47" s="58" t="s">
        <v>2</v>
      </c>
      <c r="R47" s="58" t="s">
        <v>2</v>
      </c>
      <c r="S47" s="14"/>
      <c r="T47" s="14"/>
      <c r="U47" s="14"/>
      <c r="V47" s="33"/>
      <c r="W47" s="33"/>
      <c r="X47" s="33"/>
      <c r="Y47" s="58" t="s">
        <v>2</v>
      </c>
      <c r="Z47" s="58" t="s">
        <v>2</v>
      </c>
      <c r="AA47" s="14"/>
      <c r="AB47" s="14"/>
      <c r="AC47" s="14"/>
      <c r="AD47" s="14"/>
      <c r="AE47" s="1"/>
      <c r="AF47" s="1"/>
      <c r="AH47" s="16">
        <f t="shared" si="3"/>
        <v>0</v>
      </c>
      <c r="AI47" s="16">
        <f t="shared" si="4"/>
        <v>0</v>
      </c>
    </row>
    <row r="48" spans="1:35" ht="20.100000000000001" customHeight="1"/>
    <row r="49" spans="1:35" s="6" customFormat="1" ht="20.100000000000001" customHeight="1">
      <c r="A49" s="91" t="s">
        <v>7</v>
      </c>
      <c r="B49" s="17">
        <v>1</v>
      </c>
      <c r="C49" s="17">
        <v>2</v>
      </c>
      <c r="D49" s="17">
        <v>3</v>
      </c>
      <c r="E49" s="17">
        <v>4</v>
      </c>
      <c r="F49" s="17">
        <v>5</v>
      </c>
      <c r="G49" s="17">
        <v>6</v>
      </c>
      <c r="H49" s="17">
        <v>7</v>
      </c>
      <c r="I49" s="17">
        <v>8</v>
      </c>
      <c r="J49" s="17">
        <v>9</v>
      </c>
      <c r="K49" s="17">
        <v>10</v>
      </c>
      <c r="L49" s="17">
        <v>11</v>
      </c>
      <c r="M49" s="17">
        <v>12</v>
      </c>
      <c r="N49" s="17">
        <v>13</v>
      </c>
      <c r="O49" s="17">
        <v>14</v>
      </c>
      <c r="P49" s="32">
        <v>15</v>
      </c>
      <c r="Q49" s="17">
        <v>16</v>
      </c>
      <c r="R49" s="17">
        <v>17</v>
      </c>
      <c r="S49" s="17">
        <v>18</v>
      </c>
      <c r="T49" s="17">
        <v>19</v>
      </c>
      <c r="U49" s="17">
        <v>20</v>
      </c>
      <c r="V49" s="17">
        <v>21</v>
      </c>
      <c r="W49" s="17">
        <v>22</v>
      </c>
      <c r="X49" s="17">
        <v>23</v>
      </c>
      <c r="Y49" s="17">
        <v>24</v>
      </c>
      <c r="Z49" s="17">
        <v>25</v>
      </c>
      <c r="AA49" s="17">
        <v>26</v>
      </c>
      <c r="AB49" s="17">
        <v>27</v>
      </c>
      <c r="AC49" s="17">
        <v>28</v>
      </c>
      <c r="AD49" s="17">
        <v>29</v>
      </c>
      <c r="AE49" s="17">
        <v>30</v>
      </c>
      <c r="AF49" s="17">
        <v>31</v>
      </c>
      <c r="AH49" s="93" t="s">
        <v>18</v>
      </c>
      <c r="AI49" s="93" t="s">
        <v>19</v>
      </c>
    </row>
    <row r="50" spans="1:35" ht="20.100000000000001" customHeight="1">
      <c r="A50" s="96"/>
      <c r="B50" s="10" t="str">
        <f>'2020'!B20</f>
        <v>V</v>
      </c>
      <c r="C50" s="10" t="str">
        <f>'2020'!C20</f>
        <v>H</v>
      </c>
      <c r="D50" s="10" t="str">
        <f>'2020'!D20</f>
        <v>K</v>
      </c>
      <c r="E50" s="10" t="str">
        <f>'2020'!E20</f>
        <v>Sze</v>
      </c>
      <c r="F50" s="10" t="str">
        <f>'2020'!F20</f>
        <v>Cs</v>
      </c>
      <c r="G50" s="10" t="str">
        <f>'2020'!G20</f>
        <v>P</v>
      </c>
      <c r="H50" s="10" t="str">
        <f>'2020'!H20</f>
        <v>Szo</v>
      </c>
      <c r="I50" s="10" t="str">
        <f>'2020'!I20</f>
        <v>V</v>
      </c>
      <c r="J50" s="10" t="str">
        <f>'2020'!J20</f>
        <v>H</v>
      </c>
      <c r="K50" s="10" t="str">
        <f>'2020'!K20</f>
        <v>K</v>
      </c>
      <c r="L50" s="10" t="str">
        <f>'2020'!L20</f>
        <v>Sze</v>
      </c>
      <c r="M50" s="10" t="str">
        <f>'2020'!M20</f>
        <v>Cs</v>
      </c>
      <c r="N50" s="10" t="str">
        <f>'2020'!N20</f>
        <v>P</v>
      </c>
      <c r="O50" s="10" t="str">
        <f>'2020'!O20</f>
        <v>Szo</v>
      </c>
      <c r="P50" s="10" t="str">
        <f>'2020'!P20</f>
        <v>V</v>
      </c>
      <c r="Q50" s="10" t="str">
        <f>'2020'!Q20</f>
        <v>H</v>
      </c>
      <c r="R50" s="10" t="str">
        <f>'2020'!R20</f>
        <v>K</v>
      </c>
      <c r="S50" s="10" t="str">
        <f>'2020'!S20</f>
        <v>Sze</v>
      </c>
      <c r="T50" s="10" t="str">
        <f>'2020'!T20</f>
        <v>Cs</v>
      </c>
      <c r="U50" s="10" t="str">
        <f>'2020'!U20</f>
        <v>P</v>
      </c>
      <c r="V50" s="10" t="str">
        <f>'2020'!V20</f>
        <v>Szo</v>
      </c>
      <c r="W50" s="10" t="str">
        <f>'2020'!W20</f>
        <v>V</v>
      </c>
      <c r="X50" s="10" t="str">
        <f>'2020'!X20</f>
        <v>H</v>
      </c>
      <c r="Y50" s="10" t="str">
        <f>'2020'!Y20</f>
        <v>K</v>
      </c>
      <c r="Z50" s="10" t="str">
        <f>'2020'!Z20</f>
        <v>Sze</v>
      </c>
      <c r="AA50" s="10" t="str">
        <f>'2020'!AA20</f>
        <v>Cs</v>
      </c>
      <c r="AB50" s="10" t="str">
        <f>'2020'!AB20</f>
        <v>P</v>
      </c>
      <c r="AC50" s="10" t="str">
        <f>'2020'!AC20</f>
        <v>Szo</v>
      </c>
      <c r="AD50" s="10" t="str">
        <f>'2020'!AD20</f>
        <v>V</v>
      </c>
      <c r="AE50" s="10" t="str">
        <f>'2020'!AE20</f>
        <v>H</v>
      </c>
      <c r="AF50" s="10" t="str">
        <f>'2020'!AF20</f>
        <v>K</v>
      </c>
      <c r="AH50" s="94"/>
      <c r="AI50" s="94"/>
    </row>
    <row r="51" spans="1:35" ht="20.100000000000001" customHeight="1">
      <c r="A51" s="96"/>
      <c r="B51" s="10">
        <f>'2020'!B23</f>
        <v>3</v>
      </c>
      <c r="C51" s="10">
        <f>'2020'!C23</f>
        <v>3</v>
      </c>
      <c r="D51" s="10" t="str">
        <f>'2020'!D23</f>
        <v>X</v>
      </c>
      <c r="E51" s="10" t="str">
        <f>'2020'!E23</f>
        <v>X</v>
      </c>
      <c r="F51" s="10">
        <f>'2020'!F23</f>
        <v>2</v>
      </c>
      <c r="G51" s="10">
        <f>'2020'!G23</f>
        <v>2</v>
      </c>
      <c r="H51" s="10">
        <f>'2020'!H23</f>
        <v>2</v>
      </c>
      <c r="I51" s="10">
        <f>'2020'!I23</f>
        <v>2</v>
      </c>
      <c r="J51" s="10">
        <f>'2020'!J23</f>
        <v>2</v>
      </c>
      <c r="K51" s="10">
        <f>'2020'!K23</f>
        <v>2</v>
      </c>
      <c r="L51" s="10" t="str">
        <f>'2020'!L23</f>
        <v>X</v>
      </c>
      <c r="M51" s="10" t="str">
        <f>'2020'!M23</f>
        <v>X</v>
      </c>
      <c r="N51" s="10">
        <f>'2020'!N23</f>
        <v>1</v>
      </c>
      <c r="O51" s="10">
        <f>'2020'!O23</f>
        <v>1</v>
      </c>
      <c r="P51" s="10">
        <f>'2020'!P23</f>
        <v>1</v>
      </c>
      <c r="Q51" s="10">
        <f>'2020'!Q23</f>
        <v>1</v>
      </c>
      <c r="R51" s="10">
        <f>'2020'!R23</f>
        <v>1</v>
      </c>
      <c r="S51" s="10">
        <f>'2020'!S23</f>
        <v>1</v>
      </c>
      <c r="T51" s="10" t="str">
        <f>'2020'!T23</f>
        <v>X</v>
      </c>
      <c r="U51" s="10" t="str">
        <f>'2020'!U23</f>
        <v>X</v>
      </c>
      <c r="V51" s="10">
        <f>'2020'!V23</f>
        <v>3</v>
      </c>
      <c r="W51" s="10">
        <f>'2020'!W23</f>
        <v>3</v>
      </c>
      <c r="X51" s="10">
        <f>'2020'!X23</f>
        <v>3</v>
      </c>
      <c r="Y51" s="10">
        <f>'2020'!Y23</f>
        <v>3</v>
      </c>
      <c r="Z51" s="10">
        <f>'2020'!Z23</f>
        <v>3</v>
      </c>
      <c r="AA51" s="10">
        <f>'2020'!AA23</f>
        <v>3</v>
      </c>
      <c r="AB51" s="10" t="str">
        <f>'2020'!AB23</f>
        <v>X</v>
      </c>
      <c r="AC51" s="10" t="str">
        <f>'2020'!AC23</f>
        <v>X</v>
      </c>
      <c r="AD51" s="10">
        <f>'2020'!AD23</f>
        <v>2</v>
      </c>
      <c r="AE51" s="10">
        <f>'2020'!AE23</f>
        <v>2</v>
      </c>
      <c r="AF51" s="10">
        <f>'2020'!AF23</f>
        <v>2</v>
      </c>
      <c r="AH51" s="94"/>
      <c r="AI51" s="94"/>
    </row>
    <row r="52" spans="1:35" ht="20.100000000000001" customHeight="1">
      <c r="A52" s="18" t="str">
        <f>ÖSSZES!$A$49</f>
        <v>Kuik-Filep András</v>
      </c>
      <c r="B52" s="33"/>
      <c r="C52" s="33"/>
      <c r="D52" s="58" t="s">
        <v>2</v>
      </c>
      <c r="E52" s="58" t="s">
        <v>2</v>
      </c>
      <c r="F52" s="14"/>
      <c r="G52" s="14"/>
      <c r="H52" s="14"/>
      <c r="I52" s="14"/>
      <c r="J52" s="33"/>
      <c r="K52" s="33"/>
      <c r="L52" s="58" t="s">
        <v>2</v>
      </c>
      <c r="M52" s="58" t="s">
        <v>2</v>
      </c>
      <c r="N52" s="14"/>
      <c r="O52" s="14"/>
      <c r="P52" s="59"/>
      <c r="Q52" s="14"/>
      <c r="R52" s="33"/>
      <c r="S52" s="33"/>
      <c r="T52" s="58" t="s">
        <v>2</v>
      </c>
      <c r="U52" s="58" t="s">
        <v>2</v>
      </c>
      <c r="V52" s="14"/>
      <c r="W52" s="14"/>
      <c r="X52" s="14"/>
      <c r="Y52" s="14"/>
      <c r="Z52" s="33"/>
      <c r="AA52" s="33"/>
      <c r="AB52" s="58" t="s">
        <v>2</v>
      </c>
      <c r="AC52" s="58" t="s">
        <v>2</v>
      </c>
      <c r="AD52" s="14"/>
      <c r="AE52" s="14"/>
      <c r="AF52" s="14"/>
      <c r="AH52" s="16">
        <f>1*COUNTIF(A52:AF52,"+")</f>
        <v>0</v>
      </c>
      <c r="AI52" s="16">
        <f t="shared" ref="AI52" si="5">1*COUNTIF(B52:AF52,"szf")</f>
        <v>0</v>
      </c>
    </row>
    <row r="53" spans="1:35" ht="20.100000000000001" customHeight="1">
      <c r="A53" s="18" t="str">
        <f>ÖSSZES!$A$50</f>
        <v>Balogh Zsolt</v>
      </c>
      <c r="B53" s="33"/>
      <c r="C53" s="33"/>
      <c r="D53" s="58" t="s">
        <v>2</v>
      </c>
      <c r="E53" s="58" t="s">
        <v>2</v>
      </c>
      <c r="F53" s="14"/>
      <c r="G53" s="14"/>
      <c r="H53" s="14"/>
      <c r="I53" s="14"/>
      <c r="J53" s="33"/>
      <c r="K53" s="33"/>
      <c r="L53" s="58" t="s">
        <v>2</v>
      </c>
      <c r="M53" s="58" t="s">
        <v>2</v>
      </c>
      <c r="N53" s="14"/>
      <c r="O53" s="14"/>
      <c r="P53" s="59"/>
      <c r="Q53" s="14"/>
      <c r="R53" s="33"/>
      <c r="S53" s="33"/>
      <c r="T53" s="58" t="s">
        <v>2</v>
      </c>
      <c r="U53" s="58" t="s">
        <v>2</v>
      </c>
      <c r="V53" s="14"/>
      <c r="W53" s="14"/>
      <c r="X53" s="14"/>
      <c r="Y53" s="14"/>
      <c r="Z53" s="33"/>
      <c r="AA53" s="33"/>
      <c r="AB53" s="58" t="s">
        <v>2</v>
      </c>
      <c r="AC53" s="58" t="s">
        <v>2</v>
      </c>
      <c r="AD53" s="14"/>
      <c r="AE53" s="14"/>
      <c r="AF53" s="14"/>
      <c r="AH53" s="16">
        <f t="shared" ref="AH53:AH71" si="6">1*COUNTIF(A53:AF53,"+")</f>
        <v>0</v>
      </c>
      <c r="AI53" s="16">
        <f t="shared" ref="AI53:AI71" si="7">1*COUNTIF(B53:AF53,"szf")</f>
        <v>0</v>
      </c>
    </row>
    <row r="54" spans="1:35" ht="20.100000000000001" customHeight="1">
      <c r="A54" s="18" t="str">
        <f>ÖSSZES!$A$51</f>
        <v>Éliás Viktor</v>
      </c>
      <c r="B54" s="33"/>
      <c r="C54" s="33"/>
      <c r="D54" s="58" t="s">
        <v>2</v>
      </c>
      <c r="E54" s="58" t="s">
        <v>2</v>
      </c>
      <c r="F54" s="14"/>
      <c r="G54" s="14"/>
      <c r="H54" s="14"/>
      <c r="I54" s="14"/>
      <c r="J54" s="33"/>
      <c r="K54" s="33"/>
      <c r="L54" s="58" t="s">
        <v>2</v>
      </c>
      <c r="M54" s="58" t="s">
        <v>2</v>
      </c>
      <c r="N54" s="14" t="s">
        <v>114</v>
      </c>
      <c r="O54" s="14"/>
      <c r="P54" s="59"/>
      <c r="Q54" s="14"/>
      <c r="R54" s="33"/>
      <c r="S54" s="33"/>
      <c r="T54" s="58" t="s">
        <v>2</v>
      </c>
      <c r="U54" s="58" t="s">
        <v>2</v>
      </c>
      <c r="V54" s="14" t="s">
        <v>20</v>
      </c>
      <c r="W54" s="14"/>
      <c r="X54" s="14"/>
      <c r="Y54" s="14"/>
      <c r="Z54" s="33"/>
      <c r="AA54" s="33"/>
      <c r="AB54" s="58" t="s">
        <v>2</v>
      </c>
      <c r="AC54" s="58" t="s">
        <v>2</v>
      </c>
      <c r="AD54" s="14"/>
      <c r="AE54" s="14"/>
      <c r="AF54" s="14"/>
      <c r="AH54" s="16">
        <f t="shared" si="6"/>
        <v>1</v>
      </c>
      <c r="AI54" s="16">
        <f t="shared" si="7"/>
        <v>1</v>
      </c>
    </row>
    <row r="55" spans="1:35" ht="20.100000000000001" customHeight="1">
      <c r="A55" s="18" t="str">
        <f>ÖSSZES!$A$52</f>
        <v>Hadházi Kálmán</v>
      </c>
      <c r="B55" s="33" t="s">
        <v>114</v>
      </c>
      <c r="C55" s="33" t="s">
        <v>20</v>
      </c>
      <c r="D55" s="58" t="s">
        <v>2</v>
      </c>
      <c r="E55" s="58" t="s">
        <v>2</v>
      </c>
      <c r="F55" s="14"/>
      <c r="G55" s="14"/>
      <c r="H55" s="14"/>
      <c r="I55" s="14"/>
      <c r="J55" s="33"/>
      <c r="K55" s="33"/>
      <c r="L55" s="58" t="s">
        <v>2</v>
      </c>
      <c r="M55" s="58" t="s">
        <v>2</v>
      </c>
      <c r="N55" s="14"/>
      <c r="O55" s="14"/>
      <c r="P55" s="59"/>
      <c r="Q55" s="14"/>
      <c r="R55" s="33" t="s">
        <v>114</v>
      </c>
      <c r="S55" s="33" t="s">
        <v>114</v>
      </c>
      <c r="T55" s="58" t="s">
        <v>2</v>
      </c>
      <c r="U55" s="58" t="s">
        <v>2</v>
      </c>
      <c r="V55" s="14"/>
      <c r="W55" s="14"/>
      <c r="X55" s="14"/>
      <c r="Y55" s="14"/>
      <c r="Z55" s="33"/>
      <c r="AA55" s="33"/>
      <c r="AB55" s="58" t="s">
        <v>2</v>
      </c>
      <c r="AC55" s="58" t="s">
        <v>2</v>
      </c>
      <c r="AD55" s="14"/>
      <c r="AE55" s="14"/>
      <c r="AF55" s="14"/>
      <c r="AH55" s="16">
        <f t="shared" si="6"/>
        <v>3</v>
      </c>
      <c r="AI55" s="16">
        <f t="shared" si="7"/>
        <v>1</v>
      </c>
    </row>
    <row r="56" spans="1:35" ht="20.100000000000001" customHeight="1">
      <c r="A56" s="18" t="str">
        <f>ÖSSZES!$A$53</f>
        <v>Kiss Attila</v>
      </c>
      <c r="B56" s="33"/>
      <c r="C56" s="33"/>
      <c r="D56" s="58" t="s">
        <v>2</v>
      </c>
      <c r="E56" s="58" t="s">
        <v>2</v>
      </c>
      <c r="F56" s="14" t="s">
        <v>114</v>
      </c>
      <c r="G56" s="14"/>
      <c r="H56" s="14"/>
      <c r="I56" s="14" t="s">
        <v>114</v>
      </c>
      <c r="J56" s="33" t="s">
        <v>20</v>
      </c>
      <c r="K56" s="33"/>
      <c r="L56" s="58" t="s">
        <v>2</v>
      </c>
      <c r="M56" s="58" t="s">
        <v>2</v>
      </c>
      <c r="N56" s="14"/>
      <c r="O56" s="14"/>
      <c r="P56" s="59"/>
      <c r="Q56" s="14"/>
      <c r="R56" s="33"/>
      <c r="S56" s="33"/>
      <c r="T56" s="58" t="s">
        <v>2</v>
      </c>
      <c r="U56" s="58" t="s">
        <v>2</v>
      </c>
      <c r="V56" s="14"/>
      <c r="W56" s="14"/>
      <c r="X56" s="14"/>
      <c r="Y56" s="14"/>
      <c r="Z56" s="33"/>
      <c r="AA56" s="33"/>
      <c r="AB56" s="58" t="s">
        <v>2</v>
      </c>
      <c r="AC56" s="58" t="s">
        <v>2</v>
      </c>
      <c r="AD56" s="14"/>
      <c r="AE56" s="14"/>
      <c r="AF56" s="14"/>
      <c r="AH56" s="16">
        <f t="shared" si="6"/>
        <v>2</v>
      </c>
      <c r="AI56" s="16">
        <f t="shared" si="7"/>
        <v>1</v>
      </c>
    </row>
    <row r="57" spans="1:35" ht="20.100000000000001" customHeight="1">
      <c r="A57" s="18" t="str">
        <f>ÖSSZES!$A$54</f>
        <v>Serestyén Dániel</v>
      </c>
      <c r="B57" s="33"/>
      <c r="C57" s="33"/>
      <c r="D57" s="58" t="s">
        <v>2</v>
      </c>
      <c r="E57" s="58" t="s">
        <v>2</v>
      </c>
      <c r="F57" s="14"/>
      <c r="G57" s="14"/>
      <c r="H57" s="14"/>
      <c r="I57" s="14"/>
      <c r="J57" s="33"/>
      <c r="K57" s="33"/>
      <c r="L57" s="58" t="s">
        <v>2</v>
      </c>
      <c r="M57" s="58" t="s">
        <v>2</v>
      </c>
      <c r="N57" s="14"/>
      <c r="O57" s="14"/>
      <c r="P57" s="59"/>
      <c r="Q57" s="14"/>
      <c r="R57" s="33"/>
      <c r="S57" s="33"/>
      <c r="T57" s="58" t="s">
        <v>2</v>
      </c>
      <c r="U57" s="58" t="s">
        <v>2</v>
      </c>
      <c r="V57" s="14"/>
      <c r="W57" s="14"/>
      <c r="X57" s="14"/>
      <c r="Y57" s="14"/>
      <c r="Z57" s="33"/>
      <c r="AA57" s="33"/>
      <c r="AB57" s="58" t="s">
        <v>2</v>
      </c>
      <c r="AC57" s="58" t="s">
        <v>2</v>
      </c>
      <c r="AD57" s="14" t="s">
        <v>114</v>
      </c>
      <c r="AE57" s="14"/>
      <c r="AF57" s="14"/>
      <c r="AH57" s="16">
        <f t="shared" si="6"/>
        <v>1</v>
      </c>
      <c r="AI57" s="16">
        <f t="shared" si="7"/>
        <v>0</v>
      </c>
    </row>
    <row r="58" spans="1:35" ht="20.100000000000001" customHeight="1">
      <c r="A58" s="18" t="str">
        <f>ÖSSZES!$A$55</f>
        <v>Varga Imre</v>
      </c>
      <c r="B58" s="33"/>
      <c r="C58" s="33"/>
      <c r="D58" s="58" t="s">
        <v>2</v>
      </c>
      <c r="E58" s="58" t="s">
        <v>2</v>
      </c>
      <c r="F58" s="14"/>
      <c r="G58" s="14"/>
      <c r="H58" s="14"/>
      <c r="I58" s="14"/>
      <c r="J58" s="33"/>
      <c r="K58" s="33"/>
      <c r="L58" s="58" t="s">
        <v>2</v>
      </c>
      <c r="M58" s="58" t="s">
        <v>2</v>
      </c>
      <c r="N58" s="14"/>
      <c r="O58" s="14"/>
      <c r="P58" s="59"/>
      <c r="Q58" s="14"/>
      <c r="R58" s="33"/>
      <c r="S58" s="33"/>
      <c r="T58" s="58" t="s">
        <v>2</v>
      </c>
      <c r="U58" s="58" t="s">
        <v>2</v>
      </c>
      <c r="V58" s="14"/>
      <c r="W58" s="14"/>
      <c r="X58" s="14"/>
      <c r="Y58" s="14"/>
      <c r="Z58" s="33"/>
      <c r="AA58" s="33"/>
      <c r="AB58" s="58" t="s">
        <v>2</v>
      </c>
      <c r="AC58" s="58" t="s">
        <v>2</v>
      </c>
      <c r="AD58" s="14"/>
      <c r="AE58" s="14"/>
      <c r="AF58" s="14"/>
      <c r="AH58" s="16">
        <f t="shared" si="6"/>
        <v>0</v>
      </c>
      <c r="AI58" s="16">
        <f t="shared" si="7"/>
        <v>0</v>
      </c>
    </row>
    <row r="59" spans="1:35" ht="20.100000000000001" hidden="1" customHeight="1">
      <c r="A59" s="18" t="str">
        <f>ÖSSZES!$A$56</f>
        <v>Név8</v>
      </c>
      <c r="B59" s="33"/>
      <c r="C59" s="33"/>
      <c r="D59" s="58" t="s">
        <v>2</v>
      </c>
      <c r="E59" s="58" t="s">
        <v>2</v>
      </c>
      <c r="F59" s="14"/>
      <c r="G59" s="14"/>
      <c r="H59" s="14"/>
      <c r="I59" s="14"/>
      <c r="J59" s="33"/>
      <c r="K59" s="33"/>
      <c r="L59" s="58" t="s">
        <v>2</v>
      </c>
      <c r="M59" s="58" t="s">
        <v>2</v>
      </c>
      <c r="N59" s="14"/>
      <c r="O59" s="14"/>
      <c r="P59" s="59"/>
      <c r="Q59" s="14"/>
      <c r="R59" s="33"/>
      <c r="S59" s="33"/>
      <c r="T59" s="58" t="s">
        <v>2</v>
      </c>
      <c r="U59" s="58" t="s">
        <v>2</v>
      </c>
      <c r="V59" s="14"/>
      <c r="W59" s="14"/>
      <c r="X59" s="14"/>
      <c r="Y59" s="14"/>
      <c r="Z59" s="33"/>
      <c r="AA59" s="33"/>
      <c r="AB59" s="58" t="s">
        <v>2</v>
      </c>
      <c r="AC59" s="58" t="s">
        <v>2</v>
      </c>
      <c r="AD59" s="14"/>
      <c r="AE59" s="14"/>
      <c r="AF59" s="14"/>
      <c r="AH59" s="16">
        <f t="shared" si="6"/>
        <v>0</v>
      </c>
      <c r="AI59" s="16">
        <f t="shared" si="7"/>
        <v>0</v>
      </c>
    </row>
    <row r="60" spans="1:35" ht="20.100000000000001" hidden="1" customHeight="1">
      <c r="A60" s="18" t="str">
        <f>ÖSSZES!$A$57</f>
        <v>Név9</v>
      </c>
      <c r="B60" s="33"/>
      <c r="C60" s="33"/>
      <c r="D60" s="58" t="s">
        <v>2</v>
      </c>
      <c r="E60" s="58" t="s">
        <v>2</v>
      </c>
      <c r="F60" s="14"/>
      <c r="G60" s="14"/>
      <c r="H60" s="14"/>
      <c r="I60" s="14"/>
      <c r="J60" s="33"/>
      <c r="K60" s="33"/>
      <c r="L60" s="58" t="s">
        <v>2</v>
      </c>
      <c r="M60" s="58" t="s">
        <v>2</v>
      </c>
      <c r="N60" s="14"/>
      <c r="O60" s="14"/>
      <c r="P60" s="59"/>
      <c r="Q60" s="14"/>
      <c r="R60" s="33"/>
      <c r="S60" s="33"/>
      <c r="T60" s="58" t="s">
        <v>2</v>
      </c>
      <c r="U60" s="58" t="s">
        <v>2</v>
      </c>
      <c r="V60" s="14"/>
      <c r="W60" s="14"/>
      <c r="X60" s="14"/>
      <c r="Y60" s="14"/>
      <c r="Z60" s="33"/>
      <c r="AA60" s="33"/>
      <c r="AB60" s="58" t="s">
        <v>2</v>
      </c>
      <c r="AC60" s="58" t="s">
        <v>2</v>
      </c>
      <c r="AD60" s="14"/>
      <c r="AE60" s="14"/>
      <c r="AF60" s="14"/>
      <c r="AH60" s="16">
        <f t="shared" si="6"/>
        <v>0</v>
      </c>
      <c r="AI60" s="16">
        <f t="shared" si="7"/>
        <v>0</v>
      </c>
    </row>
    <row r="61" spans="1:35" ht="20.100000000000001" hidden="1" customHeight="1">
      <c r="A61" s="18" t="str">
        <f>ÖSSZES!$A$58</f>
        <v>Név10</v>
      </c>
      <c r="B61" s="33"/>
      <c r="C61" s="33"/>
      <c r="D61" s="58" t="s">
        <v>2</v>
      </c>
      <c r="E61" s="58" t="s">
        <v>2</v>
      </c>
      <c r="F61" s="14"/>
      <c r="G61" s="14"/>
      <c r="H61" s="14"/>
      <c r="I61" s="14"/>
      <c r="J61" s="33"/>
      <c r="K61" s="33"/>
      <c r="L61" s="58" t="s">
        <v>2</v>
      </c>
      <c r="M61" s="58" t="s">
        <v>2</v>
      </c>
      <c r="N61" s="14"/>
      <c r="O61" s="14"/>
      <c r="P61" s="59"/>
      <c r="Q61" s="14"/>
      <c r="R61" s="33"/>
      <c r="S61" s="33"/>
      <c r="T61" s="58" t="s">
        <v>2</v>
      </c>
      <c r="U61" s="58" t="s">
        <v>2</v>
      </c>
      <c r="V61" s="14"/>
      <c r="W61" s="14"/>
      <c r="X61" s="14"/>
      <c r="Y61" s="14"/>
      <c r="Z61" s="33"/>
      <c r="AA61" s="33"/>
      <c r="AB61" s="58" t="s">
        <v>2</v>
      </c>
      <c r="AC61" s="58" t="s">
        <v>2</v>
      </c>
      <c r="AD61" s="14"/>
      <c r="AE61" s="14"/>
      <c r="AF61" s="14"/>
      <c r="AH61" s="16">
        <f t="shared" si="6"/>
        <v>0</v>
      </c>
      <c r="AI61" s="16">
        <f t="shared" si="7"/>
        <v>0</v>
      </c>
    </row>
    <row r="62" spans="1:35" ht="20.100000000000001" hidden="1" customHeight="1">
      <c r="A62" s="18" t="str">
        <f>ÖSSZES!$A$59</f>
        <v>Név11</v>
      </c>
      <c r="B62" s="33"/>
      <c r="C62" s="33"/>
      <c r="D62" s="58" t="s">
        <v>2</v>
      </c>
      <c r="E62" s="58" t="s">
        <v>2</v>
      </c>
      <c r="F62" s="14"/>
      <c r="G62" s="14"/>
      <c r="H62" s="14"/>
      <c r="I62" s="14"/>
      <c r="J62" s="33"/>
      <c r="K62" s="33"/>
      <c r="L62" s="58" t="s">
        <v>2</v>
      </c>
      <c r="M62" s="58" t="s">
        <v>2</v>
      </c>
      <c r="N62" s="14"/>
      <c r="O62" s="14"/>
      <c r="P62" s="59"/>
      <c r="Q62" s="14"/>
      <c r="R62" s="33"/>
      <c r="S62" s="33"/>
      <c r="T62" s="58" t="s">
        <v>2</v>
      </c>
      <c r="U62" s="58" t="s">
        <v>2</v>
      </c>
      <c r="V62" s="14"/>
      <c r="W62" s="14"/>
      <c r="X62" s="14"/>
      <c r="Y62" s="14"/>
      <c r="Z62" s="33"/>
      <c r="AA62" s="33"/>
      <c r="AB62" s="58" t="s">
        <v>2</v>
      </c>
      <c r="AC62" s="58" t="s">
        <v>2</v>
      </c>
      <c r="AD62" s="14"/>
      <c r="AE62" s="14"/>
      <c r="AF62" s="14"/>
      <c r="AH62" s="16">
        <f t="shared" si="6"/>
        <v>0</v>
      </c>
      <c r="AI62" s="16">
        <f t="shared" si="7"/>
        <v>0</v>
      </c>
    </row>
    <row r="63" spans="1:35" ht="20.100000000000001" hidden="1" customHeight="1">
      <c r="A63" s="18" t="str">
        <f>ÖSSZES!$A$60</f>
        <v>Név12</v>
      </c>
      <c r="B63" s="33"/>
      <c r="C63" s="33"/>
      <c r="D63" s="58" t="s">
        <v>2</v>
      </c>
      <c r="E63" s="58" t="s">
        <v>2</v>
      </c>
      <c r="F63" s="14"/>
      <c r="G63" s="14"/>
      <c r="H63" s="14"/>
      <c r="I63" s="14"/>
      <c r="J63" s="33"/>
      <c r="K63" s="33"/>
      <c r="L63" s="58" t="s">
        <v>2</v>
      </c>
      <c r="M63" s="58" t="s">
        <v>2</v>
      </c>
      <c r="N63" s="14"/>
      <c r="O63" s="14"/>
      <c r="P63" s="59"/>
      <c r="Q63" s="14"/>
      <c r="R63" s="33"/>
      <c r="S63" s="33"/>
      <c r="T63" s="58" t="s">
        <v>2</v>
      </c>
      <c r="U63" s="58" t="s">
        <v>2</v>
      </c>
      <c r="V63" s="14"/>
      <c r="W63" s="14"/>
      <c r="X63" s="14"/>
      <c r="Y63" s="14"/>
      <c r="Z63" s="33"/>
      <c r="AA63" s="33"/>
      <c r="AB63" s="58" t="s">
        <v>2</v>
      </c>
      <c r="AC63" s="58" t="s">
        <v>2</v>
      </c>
      <c r="AD63" s="14"/>
      <c r="AE63" s="14"/>
      <c r="AF63" s="14"/>
      <c r="AH63" s="16">
        <f t="shared" si="6"/>
        <v>0</v>
      </c>
      <c r="AI63" s="16">
        <f t="shared" si="7"/>
        <v>0</v>
      </c>
    </row>
    <row r="64" spans="1:35" ht="20.100000000000001" hidden="1" customHeight="1">
      <c r="A64" s="18" t="str">
        <f>ÖSSZES!$A$61</f>
        <v>Név13</v>
      </c>
      <c r="B64" s="33"/>
      <c r="C64" s="33"/>
      <c r="D64" s="58" t="s">
        <v>2</v>
      </c>
      <c r="E64" s="58" t="s">
        <v>2</v>
      </c>
      <c r="F64" s="14"/>
      <c r="G64" s="14"/>
      <c r="H64" s="14"/>
      <c r="I64" s="14"/>
      <c r="J64" s="33"/>
      <c r="K64" s="33"/>
      <c r="L64" s="58" t="s">
        <v>2</v>
      </c>
      <c r="M64" s="58" t="s">
        <v>2</v>
      </c>
      <c r="N64" s="14"/>
      <c r="O64" s="14"/>
      <c r="P64" s="59"/>
      <c r="Q64" s="14"/>
      <c r="R64" s="33"/>
      <c r="S64" s="33"/>
      <c r="T64" s="58" t="s">
        <v>2</v>
      </c>
      <c r="U64" s="58" t="s">
        <v>2</v>
      </c>
      <c r="V64" s="14"/>
      <c r="W64" s="14"/>
      <c r="X64" s="14"/>
      <c r="Y64" s="14"/>
      <c r="Z64" s="33"/>
      <c r="AA64" s="33"/>
      <c r="AB64" s="58" t="s">
        <v>2</v>
      </c>
      <c r="AC64" s="58" t="s">
        <v>2</v>
      </c>
      <c r="AD64" s="14"/>
      <c r="AE64" s="14"/>
      <c r="AF64" s="14"/>
      <c r="AH64" s="16">
        <f t="shared" si="6"/>
        <v>0</v>
      </c>
      <c r="AI64" s="16">
        <f t="shared" si="7"/>
        <v>0</v>
      </c>
    </row>
    <row r="65" spans="1:35" ht="20.100000000000001" hidden="1" customHeight="1">
      <c r="A65" s="18" t="str">
        <f>ÖSSZES!$A$62</f>
        <v>Név14</v>
      </c>
      <c r="B65" s="33"/>
      <c r="C65" s="33"/>
      <c r="D65" s="58" t="s">
        <v>2</v>
      </c>
      <c r="E65" s="58" t="s">
        <v>2</v>
      </c>
      <c r="F65" s="14"/>
      <c r="G65" s="14"/>
      <c r="H65" s="14"/>
      <c r="I65" s="14"/>
      <c r="J65" s="33"/>
      <c r="K65" s="33"/>
      <c r="L65" s="58" t="s">
        <v>2</v>
      </c>
      <c r="M65" s="58" t="s">
        <v>2</v>
      </c>
      <c r="N65" s="14"/>
      <c r="O65" s="14"/>
      <c r="P65" s="59"/>
      <c r="Q65" s="14"/>
      <c r="R65" s="33"/>
      <c r="S65" s="33"/>
      <c r="T65" s="58" t="s">
        <v>2</v>
      </c>
      <c r="U65" s="58" t="s">
        <v>2</v>
      </c>
      <c r="V65" s="14"/>
      <c r="W65" s="14"/>
      <c r="X65" s="14"/>
      <c r="Y65" s="14"/>
      <c r="Z65" s="33"/>
      <c r="AA65" s="33"/>
      <c r="AB65" s="58" t="s">
        <v>2</v>
      </c>
      <c r="AC65" s="58" t="s">
        <v>2</v>
      </c>
      <c r="AD65" s="14"/>
      <c r="AE65" s="14"/>
      <c r="AF65" s="14"/>
      <c r="AH65" s="16">
        <f t="shared" si="6"/>
        <v>0</v>
      </c>
      <c r="AI65" s="16">
        <f t="shared" si="7"/>
        <v>0</v>
      </c>
    </row>
    <row r="66" spans="1:35" ht="20.100000000000001" hidden="1" customHeight="1">
      <c r="A66" s="18" t="str">
        <f>ÖSSZES!$A$63</f>
        <v>Név15</v>
      </c>
      <c r="B66" s="33"/>
      <c r="C66" s="33"/>
      <c r="D66" s="58" t="s">
        <v>2</v>
      </c>
      <c r="E66" s="58" t="s">
        <v>2</v>
      </c>
      <c r="F66" s="14"/>
      <c r="G66" s="14"/>
      <c r="H66" s="14"/>
      <c r="I66" s="14"/>
      <c r="J66" s="33"/>
      <c r="K66" s="33"/>
      <c r="L66" s="58" t="s">
        <v>2</v>
      </c>
      <c r="M66" s="58" t="s">
        <v>2</v>
      </c>
      <c r="N66" s="14"/>
      <c r="O66" s="14"/>
      <c r="P66" s="59"/>
      <c r="Q66" s="14"/>
      <c r="R66" s="33"/>
      <c r="S66" s="33"/>
      <c r="T66" s="58" t="s">
        <v>2</v>
      </c>
      <c r="U66" s="58" t="s">
        <v>2</v>
      </c>
      <c r="V66" s="14"/>
      <c r="W66" s="14"/>
      <c r="X66" s="14"/>
      <c r="Y66" s="14"/>
      <c r="Z66" s="33"/>
      <c r="AA66" s="33"/>
      <c r="AB66" s="58" t="s">
        <v>2</v>
      </c>
      <c r="AC66" s="58" t="s">
        <v>2</v>
      </c>
      <c r="AD66" s="14"/>
      <c r="AE66" s="14"/>
      <c r="AF66" s="14"/>
      <c r="AH66" s="16">
        <f t="shared" si="6"/>
        <v>0</v>
      </c>
      <c r="AI66" s="16">
        <f t="shared" si="7"/>
        <v>0</v>
      </c>
    </row>
    <row r="67" spans="1:35" ht="20.100000000000001" hidden="1" customHeight="1">
      <c r="A67" s="18" t="str">
        <f>ÖSSZES!$A$64</f>
        <v>Név16</v>
      </c>
      <c r="B67" s="33"/>
      <c r="C67" s="33"/>
      <c r="D67" s="58" t="s">
        <v>2</v>
      </c>
      <c r="E67" s="58" t="s">
        <v>2</v>
      </c>
      <c r="F67" s="14"/>
      <c r="G67" s="14"/>
      <c r="H67" s="14"/>
      <c r="I67" s="14"/>
      <c r="J67" s="33"/>
      <c r="K67" s="33"/>
      <c r="L67" s="58" t="s">
        <v>2</v>
      </c>
      <c r="M67" s="58" t="s">
        <v>2</v>
      </c>
      <c r="N67" s="14"/>
      <c r="O67" s="14"/>
      <c r="P67" s="59"/>
      <c r="Q67" s="14"/>
      <c r="R67" s="33"/>
      <c r="S67" s="33"/>
      <c r="T67" s="58" t="s">
        <v>2</v>
      </c>
      <c r="U67" s="58" t="s">
        <v>2</v>
      </c>
      <c r="V67" s="14"/>
      <c r="W67" s="14"/>
      <c r="X67" s="14"/>
      <c r="Y67" s="14"/>
      <c r="Z67" s="33"/>
      <c r="AA67" s="33"/>
      <c r="AB67" s="58" t="s">
        <v>2</v>
      </c>
      <c r="AC67" s="58" t="s">
        <v>2</v>
      </c>
      <c r="AD67" s="14"/>
      <c r="AE67" s="14"/>
      <c r="AF67" s="14"/>
      <c r="AH67" s="16">
        <f t="shared" si="6"/>
        <v>0</v>
      </c>
      <c r="AI67" s="16">
        <f t="shared" si="7"/>
        <v>0</v>
      </c>
    </row>
    <row r="68" spans="1:35" ht="20.100000000000001" hidden="1" customHeight="1">
      <c r="A68" s="18" t="str">
        <f>ÖSSZES!$A$65</f>
        <v>Név17</v>
      </c>
      <c r="B68" s="33"/>
      <c r="C68" s="33"/>
      <c r="D68" s="58" t="s">
        <v>2</v>
      </c>
      <c r="E68" s="58" t="s">
        <v>2</v>
      </c>
      <c r="F68" s="14"/>
      <c r="G68" s="14"/>
      <c r="H68" s="14"/>
      <c r="I68" s="14"/>
      <c r="J68" s="33"/>
      <c r="K68" s="33"/>
      <c r="L68" s="58" t="s">
        <v>2</v>
      </c>
      <c r="M68" s="58" t="s">
        <v>2</v>
      </c>
      <c r="N68" s="14"/>
      <c r="O68" s="14"/>
      <c r="P68" s="59"/>
      <c r="Q68" s="14"/>
      <c r="R68" s="33"/>
      <c r="S68" s="33"/>
      <c r="T68" s="58" t="s">
        <v>2</v>
      </c>
      <c r="U68" s="58" t="s">
        <v>2</v>
      </c>
      <c r="V68" s="14"/>
      <c r="W68" s="14"/>
      <c r="X68" s="14"/>
      <c r="Y68" s="14"/>
      <c r="Z68" s="33"/>
      <c r="AA68" s="33"/>
      <c r="AB68" s="58" t="s">
        <v>2</v>
      </c>
      <c r="AC68" s="58" t="s">
        <v>2</v>
      </c>
      <c r="AD68" s="14"/>
      <c r="AE68" s="14"/>
      <c r="AF68" s="14"/>
      <c r="AH68" s="16">
        <f t="shared" si="6"/>
        <v>0</v>
      </c>
      <c r="AI68" s="16">
        <f t="shared" si="7"/>
        <v>0</v>
      </c>
    </row>
    <row r="69" spans="1:35" ht="20.100000000000001" hidden="1" customHeight="1">
      <c r="A69" s="18" t="str">
        <f>ÖSSZES!$A$66</f>
        <v>Név18</v>
      </c>
      <c r="B69" s="33"/>
      <c r="C69" s="33"/>
      <c r="D69" s="58" t="s">
        <v>2</v>
      </c>
      <c r="E69" s="58" t="s">
        <v>2</v>
      </c>
      <c r="F69" s="14"/>
      <c r="G69" s="14"/>
      <c r="H69" s="14"/>
      <c r="I69" s="14"/>
      <c r="J69" s="33"/>
      <c r="K69" s="33"/>
      <c r="L69" s="58" t="s">
        <v>2</v>
      </c>
      <c r="M69" s="58" t="s">
        <v>2</v>
      </c>
      <c r="N69" s="14"/>
      <c r="O69" s="14"/>
      <c r="P69" s="59"/>
      <c r="Q69" s="14"/>
      <c r="R69" s="33"/>
      <c r="S69" s="33"/>
      <c r="T69" s="58" t="s">
        <v>2</v>
      </c>
      <c r="U69" s="58" t="s">
        <v>2</v>
      </c>
      <c r="V69" s="14"/>
      <c r="W69" s="14"/>
      <c r="X69" s="14"/>
      <c r="Y69" s="14"/>
      <c r="Z69" s="33"/>
      <c r="AA69" s="33"/>
      <c r="AB69" s="58" t="s">
        <v>2</v>
      </c>
      <c r="AC69" s="58" t="s">
        <v>2</v>
      </c>
      <c r="AD69" s="14"/>
      <c r="AE69" s="14"/>
      <c r="AF69" s="14"/>
      <c r="AH69" s="16">
        <f t="shared" si="6"/>
        <v>0</v>
      </c>
      <c r="AI69" s="16">
        <f t="shared" si="7"/>
        <v>0</v>
      </c>
    </row>
    <row r="70" spans="1:35" ht="20.100000000000001" hidden="1" customHeight="1">
      <c r="A70" s="18" t="str">
        <f>ÖSSZES!$A$67</f>
        <v>Név19</v>
      </c>
      <c r="B70" s="33"/>
      <c r="C70" s="33"/>
      <c r="D70" s="58" t="s">
        <v>2</v>
      </c>
      <c r="E70" s="58" t="s">
        <v>2</v>
      </c>
      <c r="F70" s="14"/>
      <c r="G70" s="14"/>
      <c r="H70" s="14"/>
      <c r="I70" s="14"/>
      <c r="J70" s="33"/>
      <c r="K70" s="33"/>
      <c r="L70" s="58" t="s">
        <v>2</v>
      </c>
      <c r="M70" s="58" t="s">
        <v>2</v>
      </c>
      <c r="N70" s="14"/>
      <c r="O70" s="14"/>
      <c r="P70" s="59"/>
      <c r="Q70" s="14"/>
      <c r="R70" s="33"/>
      <c r="S70" s="33"/>
      <c r="T70" s="58" t="s">
        <v>2</v>
      </c>
      <c r="U70" s="58" t="s">
        <v>2</v>
      </c>
      <c r="V70" s="14"/>
      <c r="W70" s="14"/>
      <c r="X70" s="14"/>
      <c r="Y70" s="14"/>
      <c r="Z70" s="33"/>
      <c r="AA70" s="33"/>
      <c r="AB70" s="58" t="s">
        <v>2</v>
      </c>
      <c r="AC70" s="58" t="s">
        <v>2</v>
      </c>
      <c r="AD70" s="14"/>
      <c r="AE70" s="14"/>
      <c r="AF70" s="14"/>
      <c r="AH70" s="16">
        <f t="shared" si="6"/>
        <v>0</v>
      </c>
      <c r="AI70" s="16">
        <f t="shared" si="7"/>
        <v>0</v>
      </c>
    </row>
    <row r="71" spans="1:35" ht="20.100000000000001" hidden="1" customHeight="1">
      <c r="A71" s="18" t="str">
        <f>ÖSSZES!$A$68</f>
        <v>Név20</v>
      </c>
      <c r="B71" s="33"/>
      <c r="C71" s="33"/>
      <c r="D71" s="58" t="s">
        <v>2</v>
      </c>
      <c r="E71" s="58" t="s">
        <v>2</v>
      </c>
      <c r="F71" s="14"/>
      <c r="G71" s="14"/>
      <c r="H71" s="14"/>
      <c r="I71" s="14"/>
      <c r="J71" s="33"/>
      <c r="K71" s="33"/>
      <c r="L71" s="58" t="s">
        <v>2</v>
      </c>
      <c r="M71" s="58" t="s">
        <v>2</v>
      </c>
      <c r="N71" s="14"/>
      <c r="O71" s="14"/>
      <c r="P71" s="59"/>
      <c r="Q71" s="14"/>
      <c r="R71" s="33"/>
      <c r="S71" s="33"/>
      <c r="T71" s="58" t="s">
        <v>2</v>
      </c>
      <c r="U71" s="58" t="s">
        <v>2</v>
      </c>
      <c r="V71" s="14"/>
      <c r="W71" s="14"/>
      <c r="X71" s="14"/>
      <c r="Y71" s="14"/>
      <c r="Z71" s="33"/>
      <c r="AA71" s="33"/>
      <c r="AB71" s="58" t="s">
        <v>2</v>
      </c>
      <c r="AC71" s="58" t="s">
        <v>2</v>
      </c>
      <c r="AD71" s="14"/>
      <c r="AE71" s="14"/>
      <c r="AF71" s="14"/>
      <c r="AH71" s="16">
        <f t="shared" si="6"/>
        <v>0</v>
      </c>
      <c r="AI71" s="16">
        <f t="shared" si="7"/>
        <v>0</v>
      </c>
    </row>
    <row r="72" spans="1:35" ht="20.100000000000001" customHeight="1"/>
    <row r="73" spans="1:35" s="6" customFormat="1" ht="20.100000000000001" customHeight="1">
      <c r="A73" s="88" t="s">
        <v>17</v>
      </c>
      <c r="B73" s="17">
        <v>1</v>
      </c>
      <c r="C73" s="17">
        <v>2</v>
      </c>
      <c r="D73" s="17">
        <v>3</v>
      </c>
      <c r="E73" s="17">
        <v>4</v>
      </c>
      <c r="F73" s="17">
        <v>5</v>
      </c>
      <c r="G73" s="17">
        <v>6</v>
      </c>
      <c r="H73" s="17">
        <v>7</v>
      </c>
      <c r="I73" s="17">
        <v>8</v>
      </c>
      <c r="J73" s="17">
        <v>9</v>
      </c>
      <c r="K73" s="32">
        <v>10</v>
      </c>
      <c r="L73" s="17">
        <v>11</v>
      </c>
      <c r="M73" s="32">
        <v>12</v>
      </c>
      <c r="N73" s="32">
        <v>13</v>
      </c>
      <c r="O73" s="17">
        <v>14</v>
      </c>
      <c r="P73" s="17">
        <v>15</v>
      </c>
      <c r="Q73" s="17">
        <v>16</v>
      </c>
      <c r="R73" s="17">
        <v>17</v>
      </c>
      <c r="S73" s="17">
        <v>18</v>
      </c>
      <c r="T73" s="17">
        <v>19</v>
      </c>
      <c r="U73" s="17">
        <v>20</v>
      </c>
      <c r="V73" s="17">
        <v>21</v>
      </c>
      <c r="W73" s="17">
        <v>22</v>
      </c>
      <c r="X73" s="17">
        <v>23</v>
      </c>
      <c r="Y73" s="17">
        <v>24</v>
      </c>
      <c r="Z73" s="17">
        <v>25</v>
      </c>
      <c r="AA73" s="17">
        <v>26</v>
      </c>
      <c r="AB73" s="17">
        <v>27</v>
      </c>
      <c r="AC73" s="17">
        <v>28</v>
      </c>
      <c r="AD73" s="17">
        <v>29</v>
      </c>
      <c r="AE73" s="17">
        <v>30</v>
      </c>
      <c r="AH73" s="93" t="s">
        <v>18</v>
      </c>
      <c r="AI73" s="93" t="s">
        <v>19</v>
      </c>
    </row>
    <row r="74" spans="1:35" ht="20.100000000000001" customHeight="1">
      <c r="A74" s="95"/>
      <c r="B74" s="10" t="str">
        <f>'2020'!B28</f>
        <v>Sze</v>
      </c>
      <c r="C74" s="10" t="str">
        <f>'2020'!C28</f>
        <v>Cs</v>
      </c>
      <c r="D74" s="10" t="str">
        <f>'2020'!D28</f>
        <v>P</v>
      </c>
      <c r="E74" s="10" t="str">
        <f>'2020'!E28</f>
        <v>Szo</v>
      </c>
      <c r="F74" s="10" t="str">
        <f>'2020'!F28</f>
        <v>V</v>
      </c>
      <c r="G74" s="10" t="str">
        <f>'2020'!G28</f>
        <v>H</v>
      </c>
      <c r="H74" s="10" t="str">
        <f>'2020'!H28</f>
        <v>K</v>
      </c>
      <c r="I74" s="10" t="str">
        <f>'2020'!I28</f>
        <v>Sze</v>
      </c>
      <c r="J74" s="10" t="str">
        <f>'2020'!J28</f>
        <v>Cs</v>
      </c>
      <c r="K74" s="10" t="str">
        <f>'2020'!K28</f>
        <v>P</v>
      </c>
      <c r="L74" s="10" t="str">
        <f>'2020'!L28</f>
        <v>Szo</v>
      </c>
      <c r="M74" s="10" t="str">
        <f>'2020'!M28</f>
        <v>V</v>
      </c>
      <c r="N74" s="10" t="str">
        <f>'2020'!N28</f>
        <v>H</v>
      </c>
      <c r="O74" s="10" t="str">
        <f>'2020'!O28</f>
        <v>K</v>
      </c>
      <c r="P74" s="10" t="str">
        <f>'2020'!P28</f>
        <v>Sze</v>
      </c>
      <c r="Q74" s="10" t="str">
        <f>'2020'!Q28</f>
        <v>Cs</v>
      </c>
      <c r="R74" s="10" t="str">
        <f>'2020'!R28</f>
        <v>P</v>
      </c>
      <c r="S74" s="10" t="str">
        <f>'2020'!S28</f>
        <v>Szo</v>
      </c>
      <c r="T74" s="10" t="str">
        <f>'2020'!T28</f>
        <v>V</v>
      </c>
      <c r="U74" s="10" t="str">
        <f>'2020'!U28</f>
        <v>H</v>
      </c>
      <c r="V74" s="10" t="str">
        <f>'2020'!V28</f>
        <v>K</v>
      </c>
      <c r="W74" s="10" t="str">
        <f>'2020'!W28</f>
        <v>Sze</v>
      </c>
      <c r="X74" s="10" t="str">
        <f>'2020'!X28</f>
        <v>Cs</v>
      </c>
      <c r="Y74" s="10" t="str">
        <f>'2020'!Y28</f>
        <v>P</v>
      </c>
      <c r="Z74" s="10" t="str">
        <f>'2020'!Z28</f>
        <v>Szo</v>
      </c>
      <c r="AA74" s="10" t="str">
        <f>'2020'!AA28</f>
        <v>V</v>
      </c>
      <c r="AB74" s="10" t="str">
        <f>'2020'!AB28</f>
        <v>H</v>
      </c>
      <c r="AC74" s="10" t="str">
        <f>'2020'!AC28</f>
        <v>K</v>
      </c>
      <c r="AD74" s="10" t="str">
        <f>'2020'!AD28</f>
        <v>Sze</v>
      </c>
      <c r="AE74" s="10" t="str">
        <f>'2020'!AE28</f>
        <v>Cs</v>
      </c>
      <c r="AF74" s="1"/>
      <c r="AH74" s="94"/>
      <c r="AI74" s="94"/>
    </row>
    <row r="75" spans="1:35" ht="20.100000000000001" customHeight="1">
      <c r="A75" s="95"/>
      <c r="B75" s="10">
        <f>'2020'!B31</f>
        <v>2</v>
      </c>
      <c r="C75" s="10">
        <f>'2020'!C31</f>
        <v>2</v>
      </c>
      <c r="D75" s="10">
        <f>'2020'!D31</f>
        <v>2</v>
      </c>
      <c r="E75" s="10" t="str">
        <f>'2020'!E31</f>
        <v>X</v>
      </c>
      <c r="F75" s="10" t="str">
        <f>'2020'!F31</f>
        <v>X</v>
      </c>
      <c r="G75" s="10">
        <f>'2020'!G31</f>
        <v>1</v>
      </c>
      <c r="H75" s="10">
        <f>'2020'!H31</f>
        <v>1</v>
      </c>
      <c r="I75" s="10">
        <f>'2020'!I31</f>
        <v>1</v>
      </c>
      <c r="J75" s="10">
        <f>'2020'!J31</f>
        <v>1</v>
      </c>
      <c r="K75" s="10">
        <f>'2020'!K31</f>
        <v>1</v>
      </c>
      <c r="L75" s="10">
        <f>'2020'!L31</f>
        <v>1</v>
      </c>
      <c r="M75" s="10" t="str">
        <f>'2020'!M31</f>
        <v>X</v>
      </c>
      <c r="N75" s="10" t="str">
        <f>'2020'!N31</f>
        <v>X</v>
      </c>
      <c r="O75" s="10">
        <f>'2020'!O31</f>
        <v>3</v>
      </c>
      <c r="P75" s="10">
        <f>'2020'!P31</f>
        <v>3</v>
      </c>
      <c r="Q75" s="10">
        <f>'2020'!Q31</f>
        <v>3</v>
      </c>
      <c r="R75" s="10">
        <f>'2020'!R31</f>
        <v>3</v>
      </c>
      <c r="S75" s="10">
        <f>'2020'!S31</f>
        <v>3</v>
      </c>
      <c r="T75" s="10">
        <f>'2020'!T31</f>
        <v>3</v>
      </c>
      <c r="U75" s="10" t="str">
        <f>'2020'!U31</f>
        <v>X</v>
      </c>
      <c r="V75" s="10" t="str">
        <f>'2020'!V31</f>
        <v>X</v>
      </c>
      <c r="W75" s="10">
        <f>'2020'!W31</f>
        <v>2</v>
      </c>
      <c r="X75" s="10">
        <f>'2020'!X31</f>
        <v>2</v>
      </c>
      <c r="Y75" s="10">
        <f>'2020'!Y31</f>
        <v>2</v>
      </c>
      <c r="Z75" s="10">
        <f>'2020'!Z31</f>
        <v>2</v>
      </c>
      <c r="AA75" s="10">
        <f>'2020'!AA31</f>
        <v>2</v>
      </c>
      <c r="AB75" s="10">
        <f>'2020'!AB31</f>
        <v>2</v>
      </c>
      <c r="AC75" s="10" t="str">
        <f>'2020'!AC31</f>
        <v>X</v>
      </c>
      <c r="AD75" s="10" t="str">
        <f>'2020'!AD31</f>
        <v>X</v>
      </c>
      <c r="AE75" s="10">
        <f>'2020'!AE31</f>
        <v>1</v>
      </c>
      <c r="AF75" s="1"/>
      <c r="AH75" s="94"/>
      <c r="AI75" s="94"/>
    </row>
    <row r="76" spans="1:35" ht="20.100000000000001" customHeight="1">
      <c r="A76" s="18" t="str">
        <f>ÖSSZES!$A$49</f>
        <v>Kuik-Filep András</v>
      </c>
      <c r="B76" s="14"/>
      <c r="C76" s="33"/>
      <c r="D76" s="33"/>
      <c r="E76" s="58" t="s">
        <v>2</v>
      </c>
      <c r="F76" s="58" t="s">
        <v>2</v>
      </c>
      <c r="G76" s="14"/>
      <c r="H76" s="14"/>
      <c r="I76" s="14"/>
      <c r="J76" s="14"/>
      <c r="K76" s="59"/>
      <c r="L76" s="33"/>
      <c r="M76" s="58" t="s">
        <v>2</v>
      </c>
      <c r="N76" s="58" t="s">
        <v>2</v>
      </c>
      <c r="O76" s="14"/>
      <c r="P76" s="14"/>
      <c r="Q76" s="14"/>
      <c r="R76" s="14"/>
      <c r="S76" s="33"/>
      <c r="T76" s="33"/>
      <c r="U76" s="58" t="s">
        <v>2</v>
      </c>
      <c r="V76" s="58" t="s">
        <v>2</v>
      </c>
      <c r="W76" s="14"/>
      <c r="X76" s="14"/>
      <c r="Y76" s="14"/>
      <c r="Z76" s="14"/>
      <c r="AA76" s="33"/>
      <c r="AB76" s="33"/>
      <c r="AC76" s="58" t="s">
        <v>2</v>
      </c>
      <c r="AD76" s="58" t="s">
        <v>2</v>
      </c>
      <c r="AE76" s="14"/>
      <c r="AF76" s="1"/>
      <c r="AH76" s="16">
        <f>1*COUNTIF(A76:AF76,"+")</f>
        <v>0</v>
      </c>
      <c r="AI76" s="16">
        <f t="shared" ref="AI76" si="8">1*COUNTIF(B76:AF76,"szf")</f>
        <v>0</v>
      </c>
    </row>
    <row r="77" spans="1:35" ht="20.100000000000001" customHeight="1">
      <c r="A77" s="18" t="str">
        <f>ÖSSZES!$A$50</f>
        <v>Balogh Zsolt</v>
      </c>
      <c r="B77" s="14"/>
      <c r="C77" s="33" t="s">
        <v>114</v>
      </c>
      <c r="D77" s="33" t="s">
        <v>20</v>
      </c>
      <c r="E77" s="58" t="s">
        <v>2</v>
      </c>
      <c r="F77" s="58" t="s">
        <v>2</v>
      </c>
      <c r="G77" s="14"/>
      <c r="H77" s="14"/>
      <c r="I77" s="14"/>
      <c r="J77" s="14"/>
      <c r="K77" s="59"/>
      <c r="L77" s="33"/>
      <c r="M77" s="58" t="s">
        <v>2</v>
      </c>
      <c r="N77" s="58" t="s">
        <v>2</v>
      </c>
      <c r="O77" s="14"/>
      <c r="P77" s="14"/>
      <c r="Q77" s="14"/>
      <c r="R77" s="14"/>
      <c r="S77" s="33"/>
      <c r="T77" s="33"/>
      <c r="U77" s="58" t="s">
        <v>2</v>
      </c>
      <c r="V77" s="58" t="s">
        <v>2</v>
      </c>
      <c r="W77" s="14"/>
      <c r="X77" s="14"/>
      <c r="Y77" s="14"/>
      <c r="Z77" s="14"/>
      <c r="AA77" s="14"/>
      <c r="AB77" s="14"/>
      <c r="AC77" s="58" t="s">
        <v>2</v>
      </c>
      <c r="AD77" s="58" t="s">
        <v>2</v>
      </c>
      <c r="AE77" s="14"/>
      <c r="AF77" s="1"/>
      <c r="AH77" s="16">
        <f t="shared" ref="AH77:AH95" si="9">1*COUNTIF(A77:AF77,"+")</f>
        <v>1</v>
      </c>
      <c r="AI77" s="16">
        <f t="shared" ref="AI77:AI95" si="10">1*COUNTIF(B77:AF77,"szf")</f>
        <v>1</v>
      </c>
    </row>
    <row r="78" spans="1:35" ht="20.100000000000001" customHeight="1">
      <c r="A78" s="18" t="str">
        <f>ÖSSZES!$A$51</f>
        <v>Éliás Viktor</v>
      </c>
      <c r="B78" s="14" t="s">
        <v>116</v>
      </c>
      <c r="C78" s="33" t="s">
        <v>116</v>
      </c>
      <c r="D78" s="33" t="s">
        <v>116</v>
      </c>
      <c r="E78" s="58" t="s">
        <v>2</v>
      </c>
      <c r="F78" s="58" t="s">
        <v>2</v>
      </c>
      <c r="G78" s="14" t="s">
        <v>116</v>
      </c>
      <c r="H78" s="14"/>
      <c r="I78" s="14"/>
      <c r="J78" s="14"/>
      <c r="K78" s="59"/>
      <c r="L78" s="33"/>
      <c r="M78" s="58" t="s">
        <v>2</v>
      </c>
      <c r="N78" s="58" t="s">
        <v>2</v>
      </c>
      <c r="O78" s="14"/>
      <c r="P78" s="14"/>
      <c r="Q78" s="14"/>
      <c r="R78" s="14"/>
      <c r="S78" s="33"/>
      <c r="T78" s="33"/>
      <c r="U78" s="58" t="s">
        <v>2</v>
      </c>
      <c r="V78" s="58" t="s">
        <v>2</v>
      </c>
      <c r="W78" s="14"/>
      <c r="X78" s="14"/>
      <c r="Y78" s="14"/>
      <c r="Z78" s="14"/>
      <c r="AA78" s="33"/>
      <c r="AB78" s="33"/>
      <c r="AC78" s="58" t="s">
        <v>2</v>
      </c>
      <c r="AD78" s="58" t="s">
        <v>2</v>
      </c>
      <c r="AE78" s="14"/>
      <c r="AF78" s="1"/>
      <c r="AH78" s="16">
        <f t="shared" si="9"/>
        <v>0</v>
      </c>
      <c r="AI78" s="16">
        <f t="shared" si="10"/>
        <v>0</v>
      </c>
    </row>
    <row r="79" spans="1:35" ht="20.100000000000001" customHeight="1">
      <c r="A79" s="18" t="str">
        <f>ÖSSZES!$A$52</f>
        <v>Hadházi Kálmán</v>
      </c>
      <c r="B79" s="14"/>
      <c r="C79" s="33"/>
      <c r="D79" s="33"/>
      <c r="E79" s="58" t="s">
        <v>2</v>
      </c>
      <c r="F79" s="58" t="s">
        <v>2</v>
      </c>
      <c r="G79" s="14"/>
      <c r="H79" s="14"/>
      <c r="I79" s="14" t="s">
        <v>20</v>
      </c>
      <c r="J79" s="14" t="s">
        <v>20</v>
      </c>
      <c r="K79" s="59" t="s">
        <v>20</v>
      </c>
      <c r="L79" s="33" t="s">
        <v>20</v>
      </c>
      <c r="M79" s="58" t="s">
        <v>2</v>
      </c>
      <c r="N79" s="58" t="s">
        <v>2</v>
      </c>
      <c r="O79" s="14"/>
      <c r="P79" s="14"/>
      <c r="Q79" s="14"/>
      <c r="R79" s="14"/>
      <c r="S79" s="33"/>
      <c r="T79" s="33"/>
      <c r="U79" s="58" t="s">
        <v>2</v>
      </c>
      <c r="V79" s="58" t="s">
        <v>2</v>
      </c>
      <c r="W79" s="14"/>
      <c r="X79" s="14"/>
      <c r="Y79" s="14"/>
      <c r="Z79" s="14"/>
      <c r="AA79" s="33"/>
      <c r="AB79" s="33"/>
      <c r="AC79" s="58" t="s">
        <v>2</v>
      </c>
      <c r="AD79" s="58" t="s">
        <v>2</v>
      </c>
      <c r="AE79" s="14"/>
      <c r="AF79" s="1"/>
      <c r="AH79" s="16">
        <f t="shared" si="9"/>
        <v>0</v>
      </c>
      <c r="AI79" s="16">
        <f t="shared" si="10"/>
        <v>4</v>
      </c>
    </row>
    <row r="80" spans="1:35" ht="20.100000000000001" customHeight="1">
      <c r="A80" s="18" t="str">
        <f>ÖSSZES!$A$53</f>
        <v>Kiss Attila</v>
      </c>
      <c r="B80" s="14"/>
      <c r="C80" s="33"/>
      <c r="D80" s="33"/>
      <c r="E80" s="58" t="s">
        <v>2</v>
      </c>
      <c r="F80" s="58" t="s">
        <v>2</v>
      </c>
      <c r="G80" s="14"/>
      <c r="H80" s="14"/>
      <c r="I80" s="14"/>
      <c r="J80" s="14"/>
      <c r="K80" s="59"/>
      <c r="L80" s="33"/>
      <c r="M80" s="58" t="s">
        <v>2</v>
      </c>
      <c r="N80" s="58" t="s">
        <v>2</v>
      </c>
      <c r="O80" s="14"/>
      <c r="P80" s="14"/>
      <c r="Q80" s="14"/>
      <c r="R80" s="14"/>
      <c r="S80" s="33"/>
      <c r="T80" s="33" t="s">
        <v>114</v>
      </c>
      <c r="U80" s="58" t="s">
        <v>2</v>
      </c>
      <c r="V80" s="58" t="s">
        <v>2</v>
      </c>
      <c r="W80" s="14" t="s">
        <v>20</v>
      </c>
      <c r="X80" s="14"/>
      <c r="Y80" s="14"/>
      <c r="Z80" s="14"/>
      <c r="AA80" s="33"/>
      <c r="AB80" s="33"/>
      <c r="AC80" s="58" t="s">
        <v>2</v>
      </c>
      <c r="AD80" s="58" t="s">
        <v>2</v>
      </c>
      <c r="AE80" s="14"/>
      <c r="AF80" s="1"/>
      <c r="AH80" s="16">
        <f t="shared" si="9"/>
        <v>1</v>
      </c>
      <c r="AI80" s="16">
        <f t="shared" si="10"/>
        <v>1</v>
      </c>
    </row>
    <row r="81" spans="1:35" ht="20.100000000000001" customHeight="1">
      <c r="A81" s="18" t="str">
        <f>ÖSSZES!$A$54</f>
        <v>Serestyén Dániel</v>
      </c>
      <c r="B81" s="14"/>
      <c r="C81" s="33"/>
      <c r="D81" s="33"/>
      <c r="E81" s="58" t="s">
        <v>2</v>
      </c>
      <c r="F81" s="58" t="s">
        <v>2</v>
      </c>
      <c r="G81" s="14"/>
      <c r="H81" s="14"/>
      <c r="I81" s="14"/>
      <c r="J81" s="14"/>
      <c r="K81" s="59"/>
      <c r="L81" s="33"/>
      <c r="M81" s="58" t="s">
        <v>2</v>
      </c>
      <c r="N81" s="58" t="s">
        <v>2</v>
      </c>
      <c r="O81" s="14"/>
      <c r="P81" s="14"/>
      <c r="Q81" s="14"/>
      <c r="R81" s="14"/>
      <c r="S81" s="33"/>
      <c r="T81" s="33"/>
      <c r="U81" s="58" t="s">
        <v>2</v>
      </c>
      <c r="V81" s="58" t="s">
        <v>2</v>
      </c>
      <c r="W81" s="14"/>
      <c r="X81" s="14"/>
      <c r="Y81" s="14"/>
      <c r="Z81" s="14"/>
      <c r="AA81" s="33"/>
      <c r="AB81" s="33"/>
      <c r="AC81" s="58" t="s">
        <v>2</v>
      </c>
      <c r="AD81" s="58" t="s">
        <v>2</v>
      </c>
      <c r="AE81" s="14"/>
      <c r="AF81" s="1"/>
      <c r="AH81" s="16">
        <f t="shared" si="9"/>
        <v>0</v>
      </c>
      <c r="AI81" s="16">
        <f t="shared" si="10"/>
        <v>0</v>
      </c>
    </row>
    <row r="82" spans="1:35" ht="20.100000000000001" customHeight="1">
      <c r="A82" s="18" t="str">
        <f>ÖSSZES!$A$55</f>
        <v>Varga Imre</v>
      </c>
      <c r="B82" s="14"/>
      <c r="C82" s="33"/>
      <c r="D82" s="33" t="s">
        <v>114</v>
      </c>
      <c r="E82" s="58" t="s">
        <v>2</v>
      </c>
      <c r="F82" s="58" t="s">
        <v>2</v>
      </c>
      <c r="G82" s="14"/>
      <c r="H82" s="14"/>
      <c r="I82" s="14"/>
      <c r="J82" s="14"/>
      <c r="K82" s="59"/>
      <c r="L82" s="33"/>
      <c r="M82" s="58" t="s">
        <v>2</v>
      </c>
      <c r="N82" s="58" t="s">
        <v>2</v>
      </c>
      <c r="O82" s="14"/>
      <c r="P82" s="14"/>
      <c r="Q82" s="14"/>
      <c r="R82" s="14"/>
      <c r="S82" s="33"/>
      <c r="T82" s="33"/>
      <c r="U82" s="58" t="s">
        <v>2</v>
      </c>
      <c r="V82" s="58" t="s">
        <v>2</v>
      </c>
      <c r="W82" s="14"/>
      <c r="X82" s="14"/>
      <c r="Y82" s="14"/>
      <c r="Z82" s="14"/>
      <c r="AA82" s="33"/>
      <c r="AB82" s="33"/>
      <c r="AC82" s="58" t="s">
        <v>2</v>
      </c>
      <c r="AD82" s="58" t="s">
        <v>2</v>
      </c>
      <c r="AE82" s="14"/>
      <c r="AF82" s="1"/>
      <c r="AH82" s="16">
        <f t="shared" si="9"/>
        <v>1</v>
      </c>
      <c r="AI82" s="16">
        <f t="shared" si="10"/>
        <v>0</v>
      </c>
    </row>
    <row r="83" spans="1:35" ht="20.100000000000001" hidden="1" customHeight="1">
      <c r="A83" s="18" t="str">
        <f>ÖSSZES!$A$56</f>
        <v>Név8</v>
      </c>
      <c r="B83" s="14"/>
      <c r="C83" s="33"/>
      <c r="D83" s="33"/>
      <c r="E83" s="58" t="s">
        <v>2</v>
      </c>
      <c r="F83" s="58" t="s">
        <v>2</v>
      </c>
      <c r="G83" s="14"/>
      <c r="H83" s="14"/>
      <c r="I83" s="14"/>
      <c r="J83" s="14"/>
      <c r="K83" s="59"/>
      <c r="L83" s="33"/>
      <c r="M83" s="58" t="s">
        <v>2</v>
      </c>
      <c r="N83" s="58" t="s">
        <v>2</v>
      </c>
      <c r="O83" s="14"/>
      <c r="P83" s="14"/>
      <c r="Q83" s="14"/>
      <c r="R83" s="14"/>
      <c r="S83" s="33"/>
      <c r="T83" s="33"/>
      <c r="U83" s="58" t="s">
        <v>2</v>
      </c>
      <c r="V83" s="58" t="s">
        <v>2</v>
      </c>
      <c r="W83" s="14"/>
      <c r="X83" s="14"/>
      <c r="Y83" s="14"/>
      <c r="Z83" s="14"/>
      <c r="AA83" s="33"/>
      <c r="AB83" s="33"/>
      <c r="AC83" s="58" t="s">
        <v>2</v>
      </c>
      <c r="AD83" s="58" t="s">
        <v>2</v>
      </c>
      <c r="AE83" s="14"/>
      <c r="AF83" s="1"/>
      <c r="AH83" s="16">
        <f t="shared" si="9"/>
        <v>0</v>
      </c>
      <c r="AI83" s="16">
        <f t="shared" si="10"/>
        <v>0</v>
      </c>
    </row>
    <row r="84" spans="1:35" ht="20.100000000000001" hidden="1" customHeight="1">
      <c r="A84" s="18" t="str">
        <f>ÖSSZES!$A$57</f>
        <v>Név9</v>
      </c>
      <c r="B84" s="14"/>
      <c r="C84" s="33"/>
      <c r="D84" s="33"/>
      <c r="E84" s="58" t="s">
        <v>2</v>
      </c>
      <c r="F84" s="58" t="s">
        <v>2</v>
      </c>
      <c r="G84" s="14"/>
      <c r="H84" s="14"/>
      <c r="I84" s="14"/>
      <c r="J84" s="14"/>
      <c r="K84" s="59"/>
      <c r="L84" s="33"/>
      <c r="M84" s="58" t="s">
        <v>2</v>
      </c>
      <c r="N84" s="58" t="s">
        <v>2</v>
      </c>
      <c r="O84" s="14"/>
      <c r="P84" s="14"/>
      <c r="Q84" s="14"/>
      <c r="R84" s="14"/>
      <c r="S84" s="33"/>
      <c r="T84" s="33"/>
      <c r="U84" s="58" t="s">
        <v>2</v>
      </c>
      <c r="V84" s="58" t="s">
        <v>2</v>
      </c>
      <c r="W84" s="14"/>
      <c r="X84" s="14"/>
      <c r="Y84" s="14"/>
      <c r="Z84" s="14"/>
      <c r="AA84" s="33"/>
      <c r="AB84" s="33"/>
      <c r="AC84" s="58" t="s">
        <v>2</v>
      </c>
      <c r="AD84" s="58" t="s">
        <v>2</v>
      </c>
      <c r="AE84" s="14"/>
      <c r="AF84" s="1"/>
      <c r="AH84" s="16">
        <f t="shared" si="9"/>
        <v>0</v>
      </c>
      <c r="AI84" s="16">
        <f t="shared" si="10"/>
        <v>0</v>
      </c>
    </row>
    <row r="85" spans="1:35" ht="20.100000000000001" hidden="1" customHeight="1">
      <c r="A85" s="18" t="str">
        <f>ÖSSZES!$A$58</f>
        <v>Név10</v>
      </c>
      <c r="B85" s="14"/>
      <c r="C85" s="33"/>
      <c r="D85" s="33"/>
      <c r="E85" s="58" t="s">
        <v>2</v>
      </c>
      <c r="F85" s="58" t="s">
        <v>2</v>
      </c>
      <c r="G85" s="14"/>
      <c r="H85" s="14"/>
      <c r="I85" s="14"/>
      <c r="J85" s="14"/>
      <c r="K85" s="59"/>
      <c r="L85" s="33"/>
      <c r="M85" s="58" t="s">
        <v>2</v>
      </c>
      <c r="N85" s="58" t="s">
        <v>2</v>
      </c>
      <c r="O85" s="14"/>
      <c r="P85" s="14"/>
      <c r="Q85" s="14"/>
      <c r="R85" s="14"/>
      <c r="S85" s="33"/>
      <c r="T85" s="33"/>
      <c r="U85" s="58" t="s">
        <v>2</v>
      </c>
      <c r="V85" s="58" t="s">
        <v>2</v>
      </c>
      <c r="W85" s="14"/>
      <c r="X85" s="14"/>
      <c r="Y85" s="14"/>
      <c r="Z85" s="14"/>
      <c r="AA85" s="33"/>
      <c r="AB85" s="33"/>
      <c r="AC85" s="58" t="s">
        <v>2</v>
      </c>
      <c r="AD85" s="58" t="s">
        <v>2</v>
      </c>
      <c r="AE85" s="14"/>
      <c r="AF85" s="1"/>
      <c r="AH85" s="16">
        <f t="shared" si="9"/>
        <v>0</v>
      </c>
      <c r="AI85" s="16">
        <f t="shared" si="10"/>
        <v>0</v>
      </c>
    </row>
    <row r="86" spans="1:35" ht="20.100000000000001" hidden="1" customHeight="1">
      <c r="A86" s="18" t="str">
        <f>ÖSSZES!$A$59</f>
        <v>Név11</v>
      </c>
      <c r="B86" s="14"/>
      <c r="C86" s="33"/>
      <c r="D86" s="33"/>
      <c r="E86" s="58" t="s">
        <v>2</v>
      </c>
      <c r="F86" s="58" t="s">
        <v>2</v>
      </c>
      <c r="G86" s="14"/>
      <c r="H86" s="14"/>
      <c r="I86" s="14"/>
      <c r="J86" s="14"/>
      <c r="K86" s="59"/>
      <c r="L86" s="33"/>
      <c r="M86" s="58" t="s">
        <v>2</v>
      </c>
      <c r="N86" s="58" t="s">
        <v>2</v>
      </c>
      <c r="O86" s="14"/>
      <c r="P86" s="14"/>
      <c r="Q86" s="14"/>
      <c r="R86" s="14"/>
      <c r="S86" s="33"/>
      <c r="T86" s="33"/>
      <c r="U86" s="58" t="s">
        <v>2</v>
      </c>
      <c r="V86" s="58" t="s">
        <v>2</v>
      </c>
      <c r="W86" s="14"/>
      <c r="X86" s="14"/>
      <c r="Y86" s="14"/>
      <c r="Z86" s="14"/>
      <c r="AA86" s="33"/>
      <c r="AB86" s="33"/>
      <c r="AC86" s="58" t="s">
        <v>2</v>
      </c>
      <c r="AD86" s="58" t="s">
        <v>2</v>
      </c>
      <c r="AE86" s="14"/>
      <c r="AF86" s="1"/>
      <c r="AH86" s="16">
        <f t="shared" si="9"/>
        <v>0</v>
      </c>
      <c r="AI86" s="16">
        <f t="shared" si="10"/>
        <v>0</v>
      </c>
    </row>
    <row r="87" spans="1:35" ht="20.100000000000001" hidden="1" customHeight="1">
      <c r="A87" s="18" t="str">
        <f>ÖSSZES!$A$60</f>
        <v>Név12</v>
      </c>
      <c r="B87" s="14"/>
      <c r="C87" s="33"/>
      <c r="D87" s="33"/>
      <c r="E87" s="58" t="s">
        <v>2</v>
      </c>
      <c r="F87" s="58" t="s">
        <v>2</v>
      </c>
      <c r="G87" s="14"/>
      <c r="H87" s="14"/>
      <c r="I87" s="14"/>
      <c r="J87" s="14"/>
      <c r="K87" s="59"/>
      <c r="L87" s="33"/>
      <c r="M87" s="58" t="s">
        <v>2</v>
      </c>
      <c r="N87" s="58" t="s">
        <v>2</v>
      </c>
      <c r="O87" s="14"/>
      <c r="P87" s="14"/>
      <c r="Q87" s="14"/>
      <c r="R87" s="14"/>
      <c r="S87" s="33"/>
      <c r="T87" s="33"/>
      <c r="U87" s="58" t="s">
        <v>2</v>
      </c>
      <c r="V87" s="58" t="s">
        <v>2</v>
      </c>
      <c r="W87" s="14"/>
      <c r="X87" s="14"/>
      <c r="Y87" s="14"/>
      <c r="Z87" s="14"/>
      <c r="AA87" s="33"/>
      <c r="AB87" s="33"/>
      <c r="AC87" s="58" t="s">
        <v>2</v>
      </c>
      <c r="AD87" s="58" t="s">
        <v>2</v>
      </c>
      <c r="AE87" s="14"/>
      <c r="AF87" s="1"/>
      <c r="AH87" s="16">
        <f t="shared" si="9"/>
        <v>0</v>
      </c>
      <c r="AI87" s="16">
        <f t="shared" si="10"/>
        <v>0</v>
      </c>
    </row>
    <row r="88" spans="1:35" ht="20.100000000000001" hidden="1" customHeight="1">
      <c r="A88" s="18" t="str">
        <f>ÖSSZES!$A$61</f>
        <v>Név13</v>
      </c>
      <c r="B88" s="14"/>
      <c r="C88" s="33"/>
      <c r="D88" s="33"/>
      <c r="E88" s="58" t="s">
        <v>2</v>
      </c>
      <c r="F88" s="58" t="s">
        <v>2</v>
      </c>
      <c r="G88" s="14"/>
      <c r="H88" s="14"/>
      <c r="I88" s="14"/>
      <c r="J88" s="14"/>
      <c r="K88" s="59"/>
      <c r="L88" s="33"/>
      <c r="M88" s="58" t="s">
        <v>2</v>
      </c>
      <c r="N88" s="58" t="s">
        <v>2</v>
      </c>
      <c r="O88" s="14"/>
      <c r="P88" s="14"/>
      <c r="Q88" s="14"/>
      <c r="R88" s="14"/>
      <c r="S88" s="33"/>
      <c r="T88" s="33"/>
      <c r="U88" s="58" t="s">
        <v>2</v>
      </c>
      <c r="V88" s="58" t="s">
        <v>2</v>
      </c>
      <c r="W88" s="14"/>
      <c r="X88" s="14"/>
      <c r="Y88" s="14"/>
      <c r="Z88" s="14"/>
      <c r="AA88" s="33"/>
      <c r="AB88" s="33"/>
      <c r="AC88" s="58" t="s">
        <v>2</v>
      </c>
      <c r="AD88" s="58" t="s">
        <v>2</v>
      </c>
      <c r="AE88" s="14"/>
      <c r="AF88" s="1"/>
      <c r="AH88" s="16">
        <f t="shared" si="9"/>
        <v>0</v>
      </c>
      <c r="AI88" s="16">
        <f t="shared" si="10"/>
        <v>0</v>
      </c>
    </row>
    <row r="89" spans="1:35" ht="20.100000000000001" hidden="1" customHeight="1">
      <c r="A89" s="18" t="str">
        <f>ÖSSZES!$A$62</f>
        <v>Név14</v>
      </c>
      <c r="B89" s="14"/>
      <c r="C89" s="33"/>
      <c r="D89" s="33"/>
      <c r="E89" s="58" t="s">
        <v>2</v>
      </c>
      <c r="F89" s="58" t="s">
        <v>2</v>
      </c>
      <c r="G89" s="14"/>
      <c r="H89" s="14"/>
      <c r="I89" s="14"/>
      <c r="J89" s="14"/>
      <c r="K89" s="59"/>
      <c r="L89" s="33"/>
      <c r="M89" s="58" t="s">
        <v>2</v>
      </c>
      <c r="N89" s="58" t="s">
        <v>2</v>
      </c>
      <c r="O89" s="14"/>
      <c r="P89" s="14"/>
      <c r="Q89" s="14"/>
      <c r="R89" s="14"/>
      <c r="S89" s="33"/>
      <c r="T89" s="33"/>
      <c r="U89" s="58" t="s">
        <v>2</v>
      </c>
      <c r="V89" s="58" t="s">
        <v>2</v>
      </c>
      <c r="W89" s="14"/>
      <c r="X89" s="14"/>
      <c r="Y89" s="14"/>
      <c r="Z89" s="14"/>
      <c r="AA89" s="33"/>
      <c r="AB89" s="33"/>
      <c r="AC89" s="58" t="s">
        <v>2</v>
      </c>
      <c r="AD89" s="58" t="s">
        <v>2</v>
      </c>
      <c r="AE89" s="14"/>
      <c r="AF89" s="1"/>
      <c r="AH89" s="16">
        <f t="shared" si="9"/>
        <v>0</v>
      </c>
      <c r="AI89" s="16">
        <f t="shared" si="10"/>
        <v>0</v>
      </c>
    </row>
    <row r="90" spans="1:35" ht="20.100000000000001" hidden="1" customHeight="1">
      <c r="A90" s="18" t="str">
        <f>ÖSSZES!$A$63</f>
        <v>Név15</v>
      </c>
      <c r="B90" s="14"/>
      <c r="C90" s="33"/>
      <c r="D90" s="33"/>
      <c r="E90" s="58" t="s">
        <v>2</v>
      </c>
      <c r="F90" s="58" t="s">
        <v>2</v>
      </c>
      <c r="G90" s="14"/>
      <c r="H90" s="14"/>
      <c r="I90" s="14"/>
      <c r="J90" s="14"/>
      <c r="K90" s="59"/>
      <c r="L90" s="33"/>
      <c r="M90" s="58" t="s">
        <v>2</v>
      </c>
      <c r="N90" s="58" t="s">
        <v>2</v>
      </c>
      <c r="O90" s="14"/>
      <c r="P90" s="14"/>
      <c r="Q90" s="14"/>
      <c r="R90" s="14"/>
      <c r="S90" s="33"/>
      <c r="T90" s="33"/>
      <c r="U90" s="58" t="s">
        <v>2</v>
      </c>
      <c r="V90" s="58" t="s">
        <v>2</v>
      </c>
      <c r="W90" s="14"/>
      <c r="X90" s="14"/>
      <c r="Y90" s="14"/>
      <c r="Z90" s="14"/>
      <c r="AA90" s="33"/>
      <c r="AB90" s="33"/>
      <c r="AC90" s="58" t="s">
        <v>2</v>
      </c>
      <c r="AD90" s="58" t="s">
        <v>2</v>
      </c>
      <c r="AE90" s="14"/>
      <c r="AF90" s="1"/>
      <c r="AH90" s="16">
        <f t="shared" si="9"/>
        <v>0</v>
      </c>
      <c r="AI90" s="16">
        <f t="shared" si="10"/>
        <v>0</v>
      </c>
    </row>
    <row r="91" spans="1:35" ht="20.100000000000001" hidden="1" customHeight="1">
      <c r="A91" s="18" t="str">
        <f>ÖSSZES!$A$64</f>
        <v>Név16</v>
      </c>
      <c r="B91" s="14"/>
      <c r="C91" s="33"/>
      <c r="D91" s="33"/>
      <c r="E91" s="58" t="s">
        <v>2</v>
      </c>
      <c r="F91" s="58" t="s">
        <v>2</v>
      </c>
      <c r="G91" s="14"/>
      <c r="H91" s="14"/>
      <c r="I91" s="14"/>
      <c r="J91" s="14"/>
      <c r="K91" s="59"/>
      <c r="L91" s="33"/>
      <c r="M91" s="58" t="s">
        <v>2</v>
      </c>
      <c r="N91" s="58" t="s">
        <v>2</v>
      </c>
      <c r="O91" s="14"/>
      <c r="P91" s="14"/>
      <c r="Q91" s="14"/>
      <c r="R91" s="14"/>
      <c r="S91" s="33"/>
      <c r="T91" s="33"/>
      <c r="U91" s="58" t="s">
        <v>2</v>
      </c>
      <c r="V91" s="58" t="s">
        <v>2</v>
      </c>
      <c r="W91" s="14"/>
      <c r="X91" s="14"/>
      <c r="Y91" s="14"/>
      <c r="Z91" s="14"/>
      <c r="AA91" s="33"/>
      <c r="AB91" s="33"/>
      <c r="AC91" s="58" t="s">
        <v>2</v>
      </c>
      <c r="AD91" s="58" t="s">
        <v>2</v>
      </c>
      <c r="AE91" s="14"/>
      <c r="AF91" s="1"/>
      <c r="AH91" s="16">
        <f t="shared" si="9"/>
        <v>0</v>
      </c>
      <c r="AI91" s="16">
        <f t="shared" si="10"/>
        <v>0</v>
      </c>
    </row>
    <row r="92" spans="1:35" ht="20.100000000000001" hidden="1" customHeight="1">
      <c r="A92" s="18" t="str">
        <f>ÖSSZES!$A$65</f>
        <v>Név17</v>
      </c>
      <c r="B92" s="14"/>
      <c r="C92" s="33"/>
      <c r="D92" s="33"/>
      <c r="E92" s="58" t="s">
        <v>2</v>
      </c>
      <c r="F92" s="58" t="s">
        <v>2</v>
      </c>
      <c r="G92" s="14"/>
      <c r="H92" s="14"/>
      <c r="I92" s="14"/>
      <c r="J92" s="14"/>
      <c r="K92" s="59"/>
      <c r="L92" s="33"/>
      <c r="M92" s="58" t="s">
        <v>2</v>
      </c>
      <c r="N92" s="58" t="s">
        <v>2</v>
      </c>
      <c r="O92" s="14"/>
      <c r="P92" s="14"/>
      <c r="Q92" s="14"/>
      <c r="R92" s="14"/>
      <c r="S92" s="33"/>
      <c r="T92" s="33"/>
      <c r="U92" s="58" t="s">
        <v>2</v>
      </c>
      <c r="V92" s="58" t="s">
        <v>2</v>
      </c>
      <c r="W92" s="14"/>
      <c r="X92" s="14"/>
      <c r="Y92" s="14"/>
      <c r="Z92" s="14"/>
      <c r="AA92" s="33"/>
      <c r="AB92" s="33"/>
      <c r="AC92" s="58" t="s">
        <v>2</v>
      </c>
      <c r="AD92" s="58" t="s">
        <v>2</v>
      </c>
      <c r="AE92" s="14"/>
      <c r="AF92" s="1"/>
      <c r="AH92" s="16">
        <f t="shared" si="9"/>
        <v>0</v>
      </c>
      <c r="AI92" s="16">
        <f t="shared" si="10"/>
        <v>0</v>
      </c>
    </row>
    <row r="93" spans="1:35" ht="20.100000000000001" hidden="1" customHeight="1">
      <c r="A93" s="18" t="str">
        <f>ÖSSZES!$A$66</f>
        <v>Név18</v>
      </c>
      <c r="B93" s="14"/>
      <c r="C93" s="33"/>
      <c r="D93" s="33"/>
      <c r="E93" s="58" t="s">
        <v>2</v>
      </c>
      <c r="F93" s="58" t="s">
        <v>2</v>
      </c>
      <c r="G93" s="14"/>
      <c r="H93" s="14"/>
      <c r="I93" s="14"/>
      <c r="J93" s="14"/>
      <c r="K93" s="59"/>
      <c r="L93" s="33"/>
      <c r="M93" s="58" t="s">
        <v>2</v>
      </c>
      <c r="N93" s="58" t="s">
        <v>2</v>
      </c>
      <c r="O93" s="14"/>
      <c r="P93" s="14"/>
      <c r="Q93" s="14"/>
      <c r="R93" s="14"/>
      <c r="S93" s="33"/>
      <c r="T93" s="33"/>
      <c r="U93" s="58" t="s">
        <v>2</v>
      </c>
      <c r="V93" s="58" t="s">
        <v>2</v>
      </c>
      <c r="W93" s="14"/>
      <c r="X93" s="14"/>
      <c r="Y93" s="14"/>
      <c r="Z93" s="14"/>
      <c r="AA93" s="33"/>
      <c r="AB93" s="33"/>
      <c r="AC93" s="58" t="s">
        <v>2</v>
      </c>
      <c r="AD93" s="58" t="s">
        <v>2</v>
      </c>
      <c r="AE93" s="14"/>
      <c r="AF93" s="1"/>
      <c r="AH93" s="16">
        <f t="shared" si="9"/>
        <v>0</v>
      </c>
      <c r="AI93" s="16">
        <f t="shared" si="10"/>
        <v>0</v>
      </c>
    </row>
    <row r="94" spans="1:35" ht="20.100000000000001" hidden="1" customHeight="1">
      <c r="A94" s="18" t="str">
        <f>ÖSSZES!$A$67</f>
        <v>Név19</v>
      </c>
      <c r="B94" s="14"/>
      <c r="C94" s="33"/>
      <c r="D94" s="33"/>
      <c r="E94" s="58" t="s">
        <v>2</v>
      </c>
      <c r="F94" s="58" t="s">
        <v>2</v>
      </c>
      <c r="G94" s="14"/>
      <c r="H94" s="14"/>
      <c r="I94" s="14"/>
      <c r="J94" s="14"/>
      <c r="K94" s="59"/>
      <c r="L94" s="33"/>
      <c r="M94" s="58" t="s">
        <v>2</v>
      </c>
      <c r="N94" s="58" t="s">
        <v>2</v>
      </c>
      <c r="O94" s="14"/>
      <c r="P94" s="14"/>
      <c r="Q94" s="14"/>
      <c r="R94" s="14"/>
      <c r="S94" s="33"/>
      <c r="T94" s="33"/>
      <c r="U94" s="58" t="s">
        <v>2</v>
      </c>
      <c r="V94" s="58" t="s">
        <v>2</v>
      </c>
      <c r="W94" s="14"/>
      <c r="X94" s="14"/>
      <c r="Y94" s="14"/>
      <c r="Z94" s="14"/>
      <c r="AA94" s="33"/>
      <c r="AB94" s="33"/>
      <c r="AC94" s="58" t="s">
        <v>2</v>
      </c>
      <c r="AD94" s="58" t="s">
        <v>2</v>
      </c>
      <c r="AE94" s="14"/>
      <c r="AF94" s="1"/>
      <c r="AH94" s="16">
        <f t="shared" si="9"/>
        <v>0</v>
      </c>
      <c r="AI94" s="16">
        <f t="shared" si="10"/>
        <v>0</v>
      </c>
    </row>
    <row r="95" spans="1:35" ht="20.100000000000001" hidden="1" customHeight="1">
      <c r="A95" s="18" t="str">
        <f>ÖSSZES!$A$68</f>
        <v>Név20</v>
      </c>
      <c r="B95" s="14"/>
      <c r="C95" s="33"/>
      <c r="D95" s="33"/>
      <c r="E95" s="58" t="s">
        <v>2</v>
      </c>
      <c r="F95" s="58" t="s">
        <v>2</v>
      </c>
      <c r="G95" s="14"/>
      <c r="H95" s="14"/>
      <c r="I95" s="14"/>
      <c r="J95" s="14"/>
      <c r="K95" s="59"/>
      <c r="L95" s="33"/>
      <c r="M95" s="58" t="s">
        <v>2</v>
      </c>
      <c r="N95" s="58" t="s">
        <v>2</v>
      </c>
      <c r="O95" s="14"/>
      <c r="P95" s="14"/>
      <c r="Q95" s="14"/>
      <c r="R95" s="14"/>
      <c r="S95" s="33"/>
      <c r="T95" s="33"/>
      <c r="U95" s="58" t="s">
        <v>2</v>
      </c>
      <c r="V95" s="58" t="s">
        <v>2</v>
      </c>
      <c r="W95" s="14"/>
      <c r="X95" s="14"/>
      <c r="Y95" s="14"/>
      <c r="Z95" s="14"/>
      <c r="AA95" s="33"/>
      <c r="AB95" s="33"/>
      <c r="AC95" s="58" t="s">
        <v>2</v>
      </c>
      <c r="AD95" s="58" t="s">
        <v>2</v>
      </c>
      <c r="AE95" s="14"/>
      <c r="AF95" s="1"/>
      <c r="AH95" s="16">
        <f t="shared" si="9"/>
        <v>0</v>
      </c>
      <c r="AI95" s="16">
        <f t="shared" si="10"/>
        <v>0</v>
      </c>
    </row>
    <row r="96" spans="1:35" ht="20.100000000000001" customHeight="1"/>
    <row r="97" spans="1:35" s="6" customFormat="1" ht="20.100000000000001" customHeight="1">
      <c r="A97" s="91" t="s">
        <v>9</v>
      </c>
      <c r="B97" s="19">
        <v>1</v>
      </c>
      <c r="C97" s="17">
        <v>2</v>
      </c>
      <c r="D97" s="17">
        <v>3</v>
      </c>
      <c r="E97" s="17">
        <v>4</v>
      </c>
      <c r="F97" s="17">
        <v>5</v>
      </c>
      <c r="G97" s="17">
        <v>6</v>
      </c>
      <c r="H97" s="17">
        <v>7</v>
      </c>
      <c r="I97" s="17">
        <v>8</v>
      </c>
      <c r="J97" s="17">
        <v>9</v>
      </c>
      <c r="K97" s="17">
        <v>10</v>
      </c>
      <c r="L97" s="17">
        <v>11</v>
      </c>
      <c r="M97" s="17">
        <v>12</v>
      </c>
      <c r="N97" s="17">
        <v>13</v>
      </c>
      <c r="O97" s="17">
        <v>14</v>
      </c>
      <c r="P97" s="17">
        <v>15</v>
      </c>
      <c r="Q97" s="17">
        <v>16</v>
      </c>
      <c r="R97" s="17">
        <v>17</v>
      </c>
      <c r="S97" s="17">
        <v>18</v>
      </c>
      <c r="T97" s="17">
        <v>19</v>
      </c>
      <c r="U97" s="17">
        <v>20</v>
      </c>
      <c r="V97" s="17">
        <v>21</v>
      </c>
      <c r="W97" s="17">
        <v>22</v>
      </c>
      <c r="X97" s="17">
        <v>23</v>
      </c>
      <c r="Y97" s="17">
        <v>24</v>
      </c>
      <c r="Z97" s="17">
        <v>25</v>
      </c>
      <c r="AA97" s="17">
        <v>26</v>
      </c>
      <c r="AB97" s="17">
        <v>27</v>
      </c>
      <c r="AC97" s="17">
        <v>28</v>
      </c>
      <c r="AD97" s="17">
        <v>29</v>
      </c>
      <c r="AE97" s="17">
        <v>30</v>
      </c>
      <c r="AF97" s="32">
        <v>31</v>
      </c>
      <c r="AH97" s="93" t="s">
        <v>18</v>
      </c>
      <c r="AI97" s="93" t="s">
        <v>19</v>
      </c>
    </row>
    <row r="98" spans="1:35" ht="20.100000000000001" customHeight="1">
      <c r="A98" s="96"/>
      <c r="B98" s="11" t="str">
        <f>'2020'!B36</f>
        <v>P</v>
      </c>
      <c r="C98" s="11" t="str">
        <f>'2020'!C36</f>
        <v>Szo</v>
      </c>
      <c r="D98" s="11" t="str">
        <f>'2020'!D36</f>
        <v>V</v>
      </c>
      <c r="E98" s="11" t="str">
        <f>'2020'!E36</f>
        <v>H</v>
      </c>
      <c r="F98" s="11" t="str">
        <f>'2020'!F36</f>
        <v>K</v>
      </c>
      <c r="G98" s="11" t="str">
        <f>'2020'!G36</f>
        <v>Sze</v>
      </c>
      <c r="H98" s="11" t="str">
        <f>'2020'!H36</f>
        <v>Cs</v>
      </c>
      <c r="I98" s="11" t="str">
        <f>'2020'!I36</f>
        <v>P</v>
      </c>
      <c r="J98" s="11" t="str">
        <f>'2020'!J36</f>
        <v>Szo</v>
      </c>
      <c r="K98" s="11" t="str">
        <f>'2020'!K36</f>
        <v>V</v>
      </c>
      <c r="L98" s="11" t="str">
        <f>'2020'!L36</f>
        <v>H</v>
      </c>
      <c r="M98" s="11" t="str">
        <f>'2020'!M36</f>
        <v>K</v>
      </c>
      <c r="N98" s="11" t="str">
        <f>'2020'!N36</f>
        <v>Sze</v>
      </c>
      <c r="O98" s="11" t="str">
        <f>'2020'!O36</f>
        <v>Cs</v>
      </c>
      <c r="P98" s="11" t="str">
        <f>'2020'!P36</f>
        <v>P</v>
      </c>
      <c r="Q98" s="11" t="str">
        <f>'2020'!Q36</f>
        <v>Szo</v>
      </c>
      <c r="R98" s="11" t="str">
        <f>'2020'!R36</f>
        <v>V</v>
      </c>
      <c r="S98" s="11" t="str">
        <f>'2020'!S36</f>
        <v>H</v>
      </c>
      <c r="T98" s="11" t="str">
        <f>'2020'!T36</f>
        <v>K</v>
      </c>
      <c r="U98" s="11" t="str">
        <f>'2020'!U36</f>
        <v>Sze</v>
      </c>
      <c r="V98" s="11" t="str">
        <f>'2020'!V36</f>
        <v>Cs</v>
      </c>
      <c r="W98" s="11" t="str">
        <f>'2020'!W36</f>
        <v>P</v>
      </c>
      <c r="X98" s="11" t="str">
        <f>'2020'!X36</f>
        <v>Szo</v>
      </c>
      <c r="Y98" s="11" t="str">
        <f>'2020'!Y36</f>
        <v>V</v>
      </c>
      <c r="Z98" s="11" t="str">
        <f>'2020'!Z36</f>
        <v>H</v>
      </c>
      <c r="AA98" s="11" t="str">
        <f>'2020'!AA36</f>
        <v>K</v>
      </c>
      <c r="AB98" s="11" t="str">
        <f>'2020'!AB36</f>
        <v>Sze</v>
      </c>
      <c r="AC98" s="11" t="str">
        <f>'2020'!AC36</f>
        <v>Cs</v>
      </c>
      <c r="AD98" s="11" t="str">
        <f>'2020'!AD36</f>
        <v>P</v>
      </c>
      <c r="AE98" s="11" t="str">
        <f>'2020'!AE36</f>
        <v>Szo</v>
      </c>
      <c r="AF98" s="11" t="str">
        <f>'2020'!AF36</f>
        <v>V</v>
      </c>
      <c r="AH98" s="94"/>
      <c r="AI98" s="94"/>
    </row>
    <row r="99" spans="1:35" ht="20.100000000000001" customHeight="1">
      <c r="A99" s="96"/>
      <c r="B99" s="10">
        <f>'2020'!B39</f>
        <v>1</v>
      </c>
      <c r="C99" s="10">
        <f>'2020'!C39</f>
        <v>1</v>
      </c>
      <c r="D99" s="10">
        <f>'2020'!D39</f>
        <v>1</v>
      </c>
      <c r="E99" s="10">
        <f>'2020'!E39</f>
        <v>1</v>
      </c>
      <c r="F99" s="10">
        <f>'2020'!F39</f>
        <v>1</v>
      </c>
      <c r="G99" s="10" t="str">
        <f>'2020'!G39</f>
        <v>X</v>
      </c>
      <c r="H99" s="10" t="str">
        <f>'2020'!H39</f>
        <v>X</v>
      </c>
      <c r="I99" s="10">
        <f>'2020'!I39</f>
        <v>3</v>
      </c>
      <c r="J99" s="10">
        <f>'2020'!J39</f>
        <v>3</v>
      </c>
      <c r="K99" s="10">
        <f>'2020'!K39</f>
        <v>3</v>
      </c>
      <c r="L99" s="10">
        <f>'2020'!L39</f>
        <v>3</v>
      </c>
      <c r="M99" s="10">
        <f>'2020'!M39</f>
        <v>3</v>
      </c>
      <c r="N99" s="10">
        <f>'2020'!N39</f>
        <v>3</v>
      </c>
      <c r="O99" s="10" t="str">
        <f>'2020'!O39</f>
        <v>X</v>
      </c>
      <c r="P99" s="10" t="str">
        <f>'2020'!P39</f>
        <v>X</v>
      </c>
      <c r="Q99" s="10">
        <f>'2020'!Q39</f>
        <v>2</v>
      </c>
      <c r="R99" s="10">
        <f>'2020'!R39</f>
        <v>2</v>
      </c>
      <c r="S99" s="10">
        <f>'2020'!S39</f>
        <v>2</v>
      </c>
      <c r="T99" s="10">
        <f>'2020'!T39</f>
        <v>2</v>
      </c>
      <c r="U99" s="10">
        <f>'2020'!U39</f>
        <v>2</v>
      </c>
      <c r="V99" s="10">
        <f>'2020'!V39</f>
        <v>2</v>
      </c>
      <c r="W99" s="10" t="str">
        <f>'2020'!W39</f>
        <v>X</v>
      </c>
      <c r="X99" s="10" t="str">
        <f>'2020'!X39</f>
        <v>X</v>
      </c>
      <c r="Y99" s="10">
        <f>'2020'!Y39</f>
        <v>1</v>
      </c>
      <c r="Z99" s="10">
        <f>'2020'!Z39</f>
        <v>1</v>
      </c>
      <c r="AA99" s="10">
        <f>'2020'!AA39</f>
        <v>1</v>
      </c>
      <c r="AB99" s="10">
        <f>'2020'!AB39</f>
        <v>1</v>
      </c>
      <c r="AC99" s="10">
        <f>'2020'!AC39</f>
        <v>1</v>
      </c>
      <c r="AD99" s="10">
        <f>'2020'!AD39</f>
        <v>1</v>
      </c>
      <c r="AE99" s="10" t="str">
        <f>'2020'!AE39</f>
        <v>X</v>
      </c>
      <c r="AF99" s="10" t="str">
        <f>'2020'!AF39</f>
        <v>X</v>
      </c>
      <c r="AH99" s="94"/>
      <c r="AI99" s="94"/>
    </row>
    <row r="100" spans="1:35" ht="20.100000000000001" customHeight="1">
      <c r="A100" s="18" t="str">
        <f>ÖSSZES!$A$49</f>
        <v>Kuik-Filep András</v>
      </c>
      <c r="B100" s="59"/>
      <c r="C100" s="33"/>
      <c r="D100" s="33"/>
      <c r="E100" s="33"/>
      <c r="F100" s="33"/>
      <c r="G100" s="58" t="s">
        <v>2</v>
      </c>
      <c r="H100" s="58" t="s">
        <v>2</v>
      </c>
      <c r="I100" s="33"/>
      <c r="J100" s="33"/>
      <c r="K100" s="33"/>
      <c r="L100" s="33"/>
      <c r="M100" s="33"/>
      <c r="N100" s="33"/>
      <c r="O100" s="58" t="s">
        <v>2</v>
      </c>
      <c r="P100" s="58" t="s">
        <v>2</v>
      </c>
      <c r="Q100" s="33"/>
      <c r="R100" s="33"/>
      <c r="S100" s="33"/>
      <c r="T100" s="33"/>
      <c r="U100" s="33"/>
      <c r="V100" s="33"/>
      <c r="W100" s="58" t="s">
        <v>2</v>
      </c>
      <c r="X100" s="58" t="s">
        <v>2</v>
      </c>
      <c r="Y100" s="33"/>
      <c r="Z100" s="33"/>
      <c r="AA100" s="33"/>
      <c r="AB100" s="33"/>
      <c r="AC100" s="33"/>
      <c r="AD100" s="33"/>
      <c r="AE100" s="58" t="s">
        <v>2</v>
      </c>
      <c r="AF100" s="58" t="s">
        <v>2</v>
      </c>
      <c r="AH100" s="16">
        <f>1*COUNTIF(A100:AF100,"+")</f>
        <v>0</v>
      </c>
      <c r="AI100" s="16">
        <f t="shared" ref="AI100" si="11">1*COUNTIF(B100:AF100,"szf")</f>
        <v>0</v>
      </c>
    </row>
    <row r="101" spans="1:35" ht="20.100000000000001" customHeight="1">
      <c r="A101" s="18" t="str">
        <f>ÖSSZES!$A$50</f>
        <v>Balogh Zsolt</v>
      </c>
      <c r="B101" s="59"/>
      <c r="C101" s="33"/>
      <c r="D101" s="33"/>
      <c r="E101" s="33"/>
      <c r="F101" s="33"/>
      <c r="G101" s="58" t="s">
        <v>2</v>
      </c>
      <c r="H101" s="58" t="s">
        <v>2</v>
      </c>
      <c r="I101" s="33"/>
      <c r="J101" s="33"/>
      <c r="K101" s="33"/>
      <c r="L101" s="33"/>
      <c r="M101" s="33"/>
      <c r="N101" s="33"/>
      <c r="O101" s="58" t="s">
        <v>2</v>
      </c>
      <c r="P101" s="58" t="s">
        <v>2</v>
      </c>
      <c r="Q101" s="33"/>
      <c r="R101" s="33"/>
      <c r="S101" s="33"/>
      <c r="T101" s="33"/>
      <c r="U101" s="33"/>
      <c r="V101" s="33"/>
      <c r="W101" s="58" t="s">
        <v>2</v>
      </c>
      <c r="X101" s="58" t="s">
        <v>2</v>
      </c>
      <c r="Y101" s="33"/>
      <c r="Z101" s="33"/>
      <c r="AA101" s="33"/>
      <c r="AB101" s="33"/>
      <c r="AC101" s="33"/>
      <c r="AD101" s="33"/>
      <c r="AE101" s="58" t="s">
        <v>2</v>
      </c>
      <c r="AF101" s="58" t="s">
        <v>2</v>
      </c>
      <c r="AH101" s="16">
        <f t="shared" ref="AH101:AH119" si="12">1*COUNTIF(A101:AF101,"+")</f>
        <v>0</v>
      </c>
      <c r="AI101" s="16">
        <f t="shared" ref="AI101:AI119" si="13">1*COUNTIF(B101:AF101,"szf")</f>
        <v>0</v>
      </c>
    </row>
    <row r="102" spans="1:35" ht="20.100000000000001" customHeight="1">
      <c r="A102" s="18" t="str">
        <f>ÖSSZES!$A$51</f>
        <v>Éliás Viktor</v>
      </c>
      <c r="B102" s="59"/>
      <c r="C102" s="33"/>
      <c r="D102" s="33"/>
      <c r="E102" s="33"/>
      <c r="F102" s="33"/>
      <c r="G102" s="58" t="s">
        <v>2</v>
      </c>
      <c r="H102" s="58" t="s">
        <v>2</v>
      </c>
      <c r="I102" s="33"/>
      <c r="J102" s="33"/>
      <c r="K102" s="33"/>
      <c r="L102" s="33"/>
      <c r="M102" s="33"/>
      <c r="N102" s="33"/>
      <c r="O102" s="58" t="s">
        <v>2</v>
      </c>
      <c r="P102" s="58" t="s">
        <v>2</v>
      </c>
      <c r="Q102" s="33"/>
      <c r="R102" s="33"/>
      <c r="S102" s="33"/>
      <c r="T102" s="33"/>
      <c r="U102" s="33"/>
      <c r="V102" s="33"/>
      <c r="W102" s="58" t="s">
        <v>2</v>
      </c>
      <c r="X102" s="58" t="s">
        <v>2</v>
      </c>
      <c r="Y102" s="33"/>
      <c r="Z102" s="33"/>
      <c r="AA102" s="33"/>
      <c r="AB102" s="33"/>
      <c r="AC102" s="33"/>
      <c r="AD102" s="33"/>
      <c r="AE102" s="58" t="s">
        <v>2</v>
      </c>
      <c r="AF102" s="58" t="s">
        <v>2</v>
      </c>
      <c r="AH102" s="16">
        <f t="shared" si="12"/>
        <v>0</v>
      </c>
      <c r="AI102" s="16">
        <f t="shared" si="13"/>
        <v>0</v>
      </c>
    </row>
    <row r="103" spans="1:35" ht="20.100000000000001" customHeight="1">
      <c r="A103" s="18" t="str">
        <f>ÖSSZES!$A$52</f>
        <v>Hadházi Kálmán</v>
      </c>
      <c r="B103" s="59"/>
      <c r="C103" s="33"/>
      <c r="D103" s="33"/>
      <c r="E103" s="33"/>
      <c r="F103" s="33"/>
      <c r="G103" s="58" t="s">
        <v>2</v>
      </c>
      <c r="H103" s="58" t="s">
        <v>2</v>
      </c>
      <c r="I103" s="33"/>
      <c r="J103" s="33"/>
      <c r="K103" s="33"/>
      <c r="L103" s="33"/>
      <c r="M103" s="33"/>
      <c r="N103" s="33"/>
      <c r="O103" s="58" t="s">
        <v>2</v>
      </c>
      <c r="P103" s="58" t="s">
        <v>2</v>
      </c>
      <c r="Q103" s="33"/>
      <c r="R103" s="33"/>
      <c r="S103" s="33"/>
      <c r="T103" s="33"/>
      <c r="U103" s="33"/>
      <c r="V103" s="33"/>
      <c r="W103" s="58" t="s">
        <v>2</v>
      </c>
      <c r="X103" s="58" t="s">
        <v>2</v>
      </c>
      <c r="Y103" s="33"/>
      <c r="Z103" s="33"/>
      <c r="AA103" s="33"/>
      <c r="AB103" s="33"/>
      <c r="AC103" s="33"/>
      <c r="AD103" s="33"/>
      <c r="AE103" s="58" t="s">
        <v>2</v>
      </c>
      <c r="AF103" s="58" t="s">
        <v>2</v>
      </c>
      <c r="AH103" s="16">
        <f t="shared" si="12"/>
        <v>0</v>
      </c>
      <c r="AI103" s="16">
        <f t="shared" si="13"/>
        <v>0</v>
      </c>
    </row>
    <row r="104" spans="1:35" ht="20.100000000000001" customHeight="1">
      <c r="A104" s="18" t="str">
        <f>ÖSSZES!$A$53</f>
        <v>Kiss Attila</v>
      </c>
      <c r="B104" s="59"/>
      <c r="C104" s="33"/>
      <c r="D104" s="33"/>
      <c r="E104" s="33"/>
      <c r="F104" s="33"/>
      <c r="G104" s="58" t="s">
        <v>2</v>
      </c>
      <c r="H104" s="58" t="s">
        <v>2</v>
      </c>
      <c r="I104" s="33"/>
      <c r="J104" s="33"/>
      <c r="K104" s="33"/>
      <c r="L104" s="33"/>
      <c r="M104" s="33"/>
      <c r="N104" s="33"/>
      <c r="O104" s="58" t="s">
        <v>2</v>
      </c>
      <c r="P104" s="58" t="s">
        <v>2</v>
      </c>
      <c r="Q104" s="33"/>
      <c r="R104" s="33"/>
      <c r="S104" s="33"/>
      <c r="T104" s="33"/>
      <c r="U104" s="33"/>
      <c r="V104" s="33"/>
      <c r="W104" s="58" t="s">
        <v>2</v>
      </c>
      <c r="X104" s="58" t="s">
        <v>2</v>
      </c>
      <c r="Y104" s="33"/>
      <c r="Z104" s="33"/>
      <c r="AA104" s="33"/>
      <c r="AB104" s="33"/>
      <c r="AC104" s="33"/>
      <c r="AD104" s="33"/>
      <c r="AE104" s="58" t="s">
        <v>2</v>
      </c>
      <c r="AF104" s="58" t="s">
        <v>2</v>
      </c>
      <c r="AH104" s="16">
        <f t="shared" si="12"/>
        <v>0</v>
      </c>
      <c r="AI104" s="16">
        <f t="shared" si="13"/>
        <v>0</v>
      </c>
    </row>
    <row r="105" spans="1:35" ht="20.100000000000001" customHeight="1">
      <c r="A105" s="18" t="str">
        <f>ÖSSZES!$A$54</f>
        <v>Serestyén Dániel</v>
      </c>
      <c r="B105" s="59"/>
      <c r="C105" s="33"/>
      <c r="D105" s="33"/>
      <c r="E105" s="33"/>
      <c r="F105" s="33"/>
      <c r="G105" s="58" t="s">
        <v>2</v>
      </c>
      <c r="H105" s="58" t="s">
        <v>2</v>
      </c>
      <c r="I105" s="33"/>
      <c r="J105" s="33"/>
      <c r="K105" s="33"/>
      <c r="L105" s="33"/>
      <c r="M105" s="33"/>
      <c r="N105" s="33"/>
      <c r="O105" s="58" t="s">
        <v>2</v>
      </c>
      <c r="P105" s="58" t="s">
        <v>2</v>
      </c>
      <c r="Q105" s="33"/>
      <c r="R105" s="33"/>
      <c r="S105" s="33"/>
      <c r="T105" s="33"/>
      <c r="U105" s="33"/>
      <c r="V105" s="33"/>
      <c r="W105" s="58" t="s">
        <v>2</v>
      </c>
      <c r="X105" s="58" t="s">
        <v>2</v>
      </c>
      <c r="Y105" s="33"/>
      <c r="Z105" s="33"/>
      <c r="AA105" s="33"/>
      <c r="AB105" s="33"/>
      <c r="AC105" s="33"/>
      <c r="AD105" s="33"/>
      <c r="AE105" s="58" t="s">
        <v>2</v>
      </c>
      <c r="AF105" s="58" t="s">
        <v>2</v>
      </c>
      <c r="AH105" s="16">
        <f t="shared" si="12"/>
        <v>0</v>
      </c>
      <c r="AI105" s="16">
        <f t="shared" si="13"/>
        <v>0</v>
      </c>
    </row>
    <row r="106" spans="1:35" ht="20.100000000000001" customHeight="1">
      <c r="A106" s="18" t="str">
        <f>ÖSSZES!$A$55</f>
        <v>Varga Imre</v>
      </c>
      <c r="B106" s="59"/>
      <c r="C106" s="33"/>
      <c r="D106" s="33"/>
      <c r="E106" s="33"/>
      <c r="F106" s="33"/>
      <c r="G106" s="58" t="s">
        <v>2</v>
      </c>
      <c r="H106" s="58" t="s">
        <v>2</v>
      </c>
      <c r="I106" s="33"/>
      <c r="J106" s="33"/>
      <c r="K106" s="33"/>
      <c r="L106" s="33"/>
      <c r="M106" s="33"/>
      <c r="N106" s="33"/>
      <c r="O106" s="58" t="s">
        <v>2</v>
      </c>
      <c r="P106" s="58" t="s">
        <v>2</v>
      </c>
      <c r="Q106" s="33"/>
      <c r="R106" s="33"/>
      <c r="S106" s="33"/>
      <c r="T106" s="33"/>
      <c r="U106" s="33"/>
      <c r="V106" s="33"/>
      <c r="W106" s="58" t="s">
        <v>2</v>
      </c>
      <c r="X106" s="58" t="s">
        <v>2</v>
      </c>
      <c r="Y106" s="33"/>
      <c r="Z106" s="33"/>
      <c r="AA106" s="33"/>
      <c r="AB106" s="33"/>
      <c r="AC106" s="33"/>
      <c r="AD106" s="33"/>
      <c r="AE106" s="58" t="s">
        <v>2</v>
      </c>
      <c r="AF106" s="58" t="s">
        <v>2</v>
      </c>
      <c r="AH106" s="16">
        <f t="shared" si="12"/>
        <v>0</v>
      </c>
      <c r="AI106" s="16">
        <f t="shared" si="13"/>
        <v>0</v>
      </c>
    </row>
    <row r="107" spans="1:35" ht="20.100000000000001" hidden="1" customHeight="1">
      <c r="A107" s="18" t="str">
        <f>ÖSSZES!$A$56</f>
        <v>Név8</v>
      </c>
      <c r="B107" s="59"/>
      <c r="C107" s="33"/>
      <c r="D107" s="33"/>
      <c r="E107" s="33"/>
      <c r="F107" s="33"/>
      <c r="G107" s="58" t="s">
        <v>2</v>
      </c>
      <c r="H107" s="58" t="s">
        <v>2</v>
      </c>
      <c r="I107" s="33"/>
      <c r="J107" s="33"/>
      <c r="K107" s="33"/>
      <c r="L107" s="33"/>
      <c r="M107" s="33"/>
      <c r="N107" s="33"/>
      <c r="O107" s="58" t="s">
        <v>2</v>
      </c>
      <c r="P107" s="58" t="s">
        <v>2</v>
      </c>
      <c r="Q107" s="33"/>
      <c r="R107" s="33"/>
      <c r="S107" s="33"/>
      <c r="T107" s="33"/>
      <c r="U107" s="33"/>
      <c r="V107" s="33"/>
      <c r="W107" s="58" t="s">
        <v>2</v>
      </c>
      <c r="X107" s="58" t="s">
        <v>2</v>
      </c>
      <c r="Y107" s="33"/>
      <c r="Z107" s="33"/>
      <c r="AA107" s="33"/>
      <c r="AB107" s="33"/>
      <c r="AC107" s="33"/>
      <c r="AD107" s="33"/>
      <c r="AE107" s="58" t="s">
        <v>2</v>
      </c>
      <c r="AF107" s="58" t="s">
        <v>2</v>
      </c>
      <c r="AH107" s="16">
        <f t="shared" si="12"/>
        <v>0</v>
      </c>
      <c r="AI107" s="16">
        <f t="shared" si="13"/>
        <v>0</v>
      </c>
    </row>
    <row r="108" spans="1:35" ht="20.100000000000001" hidden="1" customHeight="1">
      <c r="A108" s="18" t="str">
        <f>ÖSSZES!$A$57</f>
        <v>Név9</v>
      </c>
      <c r="B108" s="59"/>
      <c r="C108" s="33"/>
      <c r="D108" s="33"/>
      <c r="E108" s="33"/>
      <c r="F108" s="33"/>
      <c r="G108" s="58" t="s">
        <v>2</v>
      </c>
      <c r="H108" s="58" t="s">
        <v>2</v>
      </c>
      <c r="I108" s="33"/>
      <c r="J108" s="33"/>
      <c r="K108" s="33"/>
      <c r="L108" s="33"/>
      <c r="M108" s="33"/>
      <c r="N108" s="33"/>
      <c r="O108" s="58" t="s">
        <v>2</v>
      </c>
      <c r="P108" s="58" t="s">
        <v>2</v>
      </c>
      <c r="Q108" s="33"/>
      <c r="R108" s="33"/>
      <c r="S108" s="33"/>
      <c r="T108" s="33"/>
      <c r="U108" s="33"/>
      <c r="V108" s="33"/>
      <c r="W108" s="58" t="s">
        <v>2</v>
      </c>
      <c r="X108" s="58" t="s">
        <v>2</v>
      </c>
      <c r="Y108" s="33"/>
      <c r="Z108" s="33"/>
      <c r="AA108" s="33"/>
      <c r="AB108" s="33"/>
      <c r="AC108" s="33"/>
      <c r="AD108" s="33"/>
      <c r="AE108" s="58" t="s">
        <v>2</v>
      </c>
      <c r="AF108" s="58" t="s">
        <v>2</v>
      </c>
      <c r="AH108" s="16">
        <f t="shared" si="12"/>
        <v>0</v>
      </c>
      <c r="AI108" s="16">
        <f t="shared" si="13"/>
        <v>0</v>
      </c>
    </row>
    <row r="109" spans="1:35" ht="20.100000000000001" hidden="1" customHeight="1">
      <c r="A109" s="18" t="str">
        <f>ÖSSZES!$A$58</f>
        <v>Név10</v>
      </c>
      <c r="B109" s="59"/>
      <c r="C109" s="33"/>
      <c r="D109" s="33"/>
      <c r="E109" s="33"/>
      <c r="F109" s="33"/>
      <c r="G109" s="58" t="s">
        <v>2</v>
      </c>
      <c r="H109" s="58" t="s">
        <v>2</v>
      </c>
      <c r="I109" s="33"/>
      <c r="J109" s="33"/>
      <c r="K109" s="33"/>
      <c r="L109" s="33"/>
      <c r="M109" s="33"/>
      <c r="N109" s="33"/>
      <c r="O109" s="58" t="s">
        <v>2</v>
      </c>
      <c r="P109" s="58" t="s">
        <v>2</v>
      </c>
      <c r="Q109" s="33"/>
      <c r="R109" s="33"/>
      <c r="S109" s="33"/>
      <c r="T109" s="33"/>
      <c r="U109" s="33"/>
      <c r="V109" s="33"/>
      <c r="W109" s="58" t="s">
        <v>2</v>
      </c>
      <c r="X109" s="58" t="s">
        <v>2</v>
      </c>
      <c r="Y109" s="33"/>
      <c r="Z109" s="33"/>
      <c r="AA109" s="33"/>
      <c r="AB109" s="33"/>
      <c r="AC109" s="33"/>
      <c r="AD109" s="33"/>
      <c r="AE109" s="58" t="s">
        <v>2</v>
      </c>
      <c r="AF109" s="58" t="s">
        <v>2</v>
      </c>
      <c r="AH109" s="16">
        <f t="shared" si="12"/>
        <v>0</v>
      </c>
      <c r="AI109" s="16">
        <f t="shared" si="13"/>
        <v>0</v>
      </c>
    </row>
    <row r="110" spans="1:35" ht="20.100000000000001" hidden="1" customHeight="1">
      <c r="A110" s="18" t="str">
        <f>ÖSSZES!$A$59</f>
        <v>Név11</v>
      </c>
      <c r="B110" s="59"/>
      <c r="C110" s="33"/>
      <c r="D110" s="33"/>
      <c r="E110" s="33"/>
      <c r="F110" s="33"/>
      <c r="G110" s="58" t="s">
        <v>2</v>
      </c>
      <c r="H110" s="58" t="s">
        <v>2</v>
      </c>
      <c r="I110" s="33"/>
      <c r="J110" s="33"/>
      <c r="K110" s="33"/>
      <c r="L110" s="33"/>
      <c r="M110" s="33"/>
      <c r="N110" s="33"/>
      <c r="O110" s="58" t="s">
        <v>2</v>
      </c>
      <c r="P110" s="58" t="s">
        <v>2</v>
      </c>
      <c r="Q110" s="33"/>
      <c r="R110" s="33"/>
      <c r="S110" s="33"/>
      <c r="T110" s="33"/>
      <c r="U110" s="33"/>
      <c r="V110" s="33"/>
      <c r="W110" s="58" t="s">
        <v>2</v>
      </c>
      <c r="X110" s="58" t="s">
        <v>2</v>
      </c>
      <c r="Y110" s="33"/>
      <c r="Z110" s="33"/>
      <c r="AA110" s="33"/>
      <c r="AB110" s="33"/>
      <c r="AC110" s="33"/>
      <c r="AD110" s="33"/>
      <c r="AE110" s="58" t="s">
        <v>2</v>
      </c>
      <c r="AF110" s="58" t="s">
        <v>2</v>
      </c>
      <c r="AH110" s="16">
        <f t="shared" si="12"/>
        <v>0</v>
      </c>
      <c r="AI110" s="16">
        <f t="shared" si="13"/>
        <v>0</v>
      </c>
    </row>
    <row r="111" spans="1:35" ht="20.100000000000001" hidden="1" customHeight="1">
      <c r="A111" s="18" t="str">
        <f>ÖSSZES!$A$60</f>
        <v>Név12</v>
      </c>
      <c r="B111" s="59"/>
      <c r="C111" s="33"/>
      <c r="D111" s="33"/>
      <c r="E111" s="33"/>
      <c r="F111" s="33"/>
      <c r="G111" s="58" t="s">
        <v>2</v>
      </c>
      <c r="H111" s="58" t="s">
        <v>2</v>
      </c>
      <c r="I111" s="33"/>
      <c r="J111" s="33"/>
      <c r="K111" s="33"/>
      <c r="L111" s="33"/>
      <c r="M111" s="33"/>
      <c r="N111" s="33"/>
      <c r="O111" s="58" t="s">
        <v>2</v>
      </c>
      <c r="P111" s="58" t="s">
        <v>2</v>
      </c>
      <c r="Q111" s="33"/>
      <c r="R111" s="33"/>
      <c r="S111" s="33"/>
      <c r="T111" s="33"/>
      <c r="U111" s="33"/>
      <c r="V111" s="33"/>
      <c r="W111" s="58" t="s">
        <v>2</v>
      </c>
      <c r="X111" s="58" t="s">
        <v>2</v>
      </c>
      <c r="Y111" s="33"/>
      <c r="Z111" s="33"/>
      <c r="AA111" s="33"/>
      <c r="AB111" s="33"/>
      <c r="AC111" s="33"/>
      <c r="AD111" s="33"/>
      <c r="AE111" s="58" t="s">
        <v>2</v>
      </c>
      <c r="AF111" s="58" t="s">
        <v>2</v>
      </c>
      <c r="AH111" s="16">
        <f t="shared" si="12"/>
        <v>0</v>
      </c>
      <c r="AI111" s="16">
        <f t="shared" si="13"/>
        <v>0</v>
      </c>
    </row>
    <row r="112" spans="1:35" ht="20.100000000000001" hidden="1" customHeight="1">
      <c r="A112" s="18" t="str">
        <f>ÖSSZES!$A$61</f>
        <v>Név13</v>
      </c>
      <c r="B112" s="59"/>
      <c r="C112" s="33"/>
      <c r="D112" s="33"/>
      <c r="E112" s="33"/>
      <c r="F112" s="33"/>
      <c r="G112" s="58" t="s">
        <v>2</v>
      </c>
      <c r="H112" s="58" t="s">
        <v>2</v>
      </c>
      <c r="I112" s="33"/>
      <c r="J112" s="33"/>
      <c r="K112" s="33"/>
      <c r="L112" s="33"/>
      <c r="M112" s="33"/>
      <c r="N112" s="33"/>
      <c r="O112" s="58" t="s">
        <v>2</v>
      </c>
      <c r="P112" s="58" t="s">
        <v>2</v>
      </c>
      <c r="Q112" s="33"/>
      <c r="R112" s="33"/>
      <c r="S112" s="33"/>
      <c r="T112" s="33"/>
      <c r="U112" s="33"/>
      <c r="V112" s="33"/>
      <c r="W112" s="58" t="s">
        <v>2</v>
      </c>
      <c r="X112" s="58" t="s">
        <v>2</v>
      </c>
      <c r="Y112" s="33"/>
      <c r="Z112" s="33"/>
      <c r="AA112" s="33"/>
      <c r="AB112" s="33"/>
      <c r="AC112" s="33"/>
      <c r="AD112" s="33"/>
      <c r="AE112" s="58" t="s">
        <v>2</v>
      </c>
      <c r="AF112" s="58" t="s">
        <v>2</v>
      </c>
      <c r="AH112" s="16">
        <f t="shared" si="12"/>
        <v>0</v>
      </c>
      <c r="AI112" s="16">
        <f t="shared" si="13"/>
        <v>0</v>
      </c>
    </row>
    <row r="113" spans="1:35" ht="20.100000000000001" hidden="1" customHeight="1">
      <c r="A113" s="18" t="str">
        <f>ÖSSZES!$A$62</f>
        <v>Név14</v>
      </c>
      <c r="B113" s="59"/>
      <c r="C113" s="33"/>
      <c r="D113" s="33"/>
      <c r="E113" s="33"/>
      <c r="F113" s="33"/>
      <c r="G113" s="58" t="s">
        <v>2</v>
      </c>
      <c r="H113" s="58" t="s">
        <v>2</v>
      </c>
      <c r="I113" s="33"/>
      <c r="J113" s="33"/>
      <c r="K113" s="33"/>
      <c r="L113" s="33"/>
      <c r="M113" s="33"/>
      <c r="N113" s="33"/>
      <c r="O113" s="58" t="s">
        <v>2</v>
      </c>
      <c r="P113" s="58" t="s">
        <v>2</v>
      </c>
      <c r="Q113" s="33"/>
      <c r="R113" s="33"/>
      <c r="S113" s="33"/>
      <c r="T113" s="33"/>
      <c r="U113" s="33"/>
      <c r="V113" s="33"/>
      <c r="W113" s="58" t="s">
        <v>2</v>
      </c>
      <c r="X113" s="58" t="s">
        <v>2</v>
      </c>
      <c r="Y113" s="33"/>
      <c r="Z113" s="33"/>
      <c r="AA113" s="33"/>
      <c r="AB113" s="33"/>
      <c r="AC113" s="33"/>
      <c r="AD113" s="33"/>
      <c r="AE113" s="58" t="s">
        <v>2</v>
      </c>
      <c r="AF113" s="58" t="s">
        <v>2</v>
      </c>
      <c r="AH113" s="16">
        <f t="shared" si="12"/>
        <v>0</v>
      </c>
      <c r="AI113" s="16">
        <f t="shared" si="13"/>
        <v>0</v>
      </c>
    </row>
    <row r="114" spans="1:35" ht="20.100000000000001" hidden="1" customHeight="1">
      <c r="A114" s="18" t="str">
        <f>ÖSSZES!$A$63</f>
        <v>Név15</v>
      </c>
      <c r="B114" s="59"/>
      <c r="C114" s="33"/>
      <c r="D114" s="33"/>
      <c r="E114" s="33"/>
      <c r="F114" s="33"/>
      <c r="G114" s="58" t="s">
        <v>2</v>
      </c>
      <c r="H114" s="58" t="s">
        <v>2</v>
      </c>
      <c r="I114" s="33"/>
      <c r="J114" s="33"/>
      <c r="K114" s="33"/>
      <c r="L114" s="33"/>
      <c r="M114" s="33"/>
      <c r="N114" s="33"/>
      <c r="O114" s="58" t="s">
        <v>2</v>
      </c>
      <c r="P114" s="58" t="s">
        <v>2</v>
      </c>
      <c r="Q114" s="33"/>
      <c r="R114" s="33"/>
      <c r="S114" s="33"/>
      <c r="T114" s="33"/>
      <c r="U114" s="33"/>
      <c r="V114" s="33"/>
      <c r="W114" s="58" t="s">
        <v>2</v>
      </c>
      <c r="X114" s="58" t="s">
        <v>2</v>
      </c>
      <c r="Y114" s="33"/>
      <c r="Z114" s="33"/>
      <c r="AA114" s="33"/>
      <c r="AB114" s="33"/>
      <c r="AC114" s="33"/>
      <c r="AD114" s="33"/>
      <c r="AE114" s="58" t="s">
        <v>2</v>
      </c>
      <c r="AF114" s="58" t="s">
        <v>2</v>
      </c>
      <c r="AH114" s="16">
        <f t="shared" si="12"/>
        <v>0</v>
      </c>
      <c r="AI114" s="16">
        <f t="shared" si="13"/>
        <v>0</v>
      </c>
    </row>
    <row r="115" spans="1:35" ht="20.100000000000001" hidden="1" customHeight="1">
      <c r="A115" s="18" t="str">
        <f>ÖSSZES!$A$64</f>
        <v>Név16</v>
      </c>
      <c r="B115" s="59"/>
      <c r="C115" s="33"/>
      <c r="D115" s="33"/>
      <c r="E115" s="33"/>
      <c r="F115" s="33"/>
      <c r="G115" s="58" t="s">
        <v>2</v>
      </c>
      <c r="H115" s="58" t="s">
        <v>2</v>
      </c>
      <c r="I115" s="33"/>
      <c r="J115" s="33"/>
      <c r="K115" s="33"/>
      <c r="L115" s="33"/>
      <c r="M115" s="33"/>
      <c r="N115" s="33"/>
      <c r="O115" s="58" t="s">
        <v>2</v>
      </c>
      <c r="P115" s="58" t="s">
        <v>2</v>
      </c>
      <c r="Q115" s="33"/>
      <c r="R115" s="33"/>
      <c r="S115" s="33"/>
      <c r="T115" s="33"/>
      <c r="U115" s="33"/>
      <c r="V115" s="33"/>
      <c r="W115" s="58" t="s">
        <v>2</v>
      </c>
      <c r="X115" s="58" t="s">
        <v>2</v>
      </c>
      <c r="Y115" s="33"/>
      <c r="Z115" s="33"/>
      <c r="AA115" s="33"/>
      <c r="AB115" s="33"/>
      <c r="AC115" s="33"/>
      <c r="AD115" s="33"/>
      <c r="AE115" s="58" t="s">
        <v>2</v>
      </c>
      <c r="AF115" s="58" t="s">
        <v>2</v>
      </c>
      <c r="AH115" s="16">
        <f t="shared" si="12"/>
        <v>0</v>
      </c>
      <c r="AI115" s="16">
        <f t="shared" si="13"/>
        <v>0</v>
      </c>
    </row>
    <row r="116" spans="1:35" ht="20.100000000000001" hidden="1" customHeight="1">
      <c r="A116" s="18" t="str">
        <f>ÖSSZES!$A$65</f>
        <v>Név17</v>
      </c>
      <c r="B116" s="59"/>
      <c r="C116" s="33"/>
      <c r="D116" s="33"/>
      <c r="E116" s="33"/>
      <c r="F116" s="33"/>
      <c r="G116" s="58" t="s">
        <v>2</v>
      </c>
      <c r="H116" s="58" t="s">
        <v>2</v>
      </c>
      <c r="I116" s="33"/>
      <c r="J116" s="33"/>
      <c r="K116" s="33"/>
      <c r="L116" s="33"/>
      <c r="M116" s="33"/>
      <c r="N116" s="33"/>
      <c r="O116" s="58" t="s">
        <v>2</v>
      </c>
      <c r="P116" s="58" t="s">
        <v>2</v>
      </c>
      <c r="Q116" s="33"/>
      <c r="R116" s="33"/>
      <c r="S116" s="33"/>
      <c r="T116" s="33"/>
      <c r="U116" s="33"/>
      <c r="V116" s="33"/>
      <c r="W116" s="58" t="s">
        <v>2</v>
      </c>
      <c r="X116" s="58" t="s">
        <v>2</v>
      </c>
      <c r="Y116" s="33"/>
      <c r="Z116" s="33"/>
      <c r="AA116" s="33"/>
      <c r="AB116" s="33"/>
      <c r="AC116" s="33"/>
      <c r="AD116" s="33"/>
      <c r="AE116" s="58" t="s">
        <v>2</v>
      </c>
      <c r="AF116" s="58" t="s">
        <v>2</v>
      </c>
      <c r="AH116" s="16">
        <f t="shared" si="12"/>
        <v>0</v>
      </c>
      <c r="AI116" s="16">
        <f t="shared" si="13"/>
        <v>0</v>
      </c>
    </row>
    <row r="117" spans="1:35" ht="20.100000000000001" hidden="1" customHeight="1">
      <c r="A117" s="18" t="str">
        <f>ÖSSZES!$A$66</f>
        <v>Név18</v>
      </c>
      <c r="B117" s="59"/>
      <c r="C117" s="33"/>
      <c r="D117" s="33"/>
      <c r="E117" s="33"/>
      <c r="F117" s="33"/>
      <c r="G117" s="58" t="s">
        <v>2</v>
      </c>
      <c r="H117" s="58" t="s">
        <v>2</v>
      </c>
      <c r="I117" s="33"/>
      <c r="J117" s="33"/>
      <c r="K117" s="33"/>
      <c r="L117" s="33"/>
      <c r="M117" s="33"/>
      <c r="N117" s="33"/>
      <c r="O117" s="58" t="s">
        <v>2</v>
      </c>
      <c r="P117" s="58" t="s">
        <v>2</v>
      </c>
      <c r="Q117" s="33"/>
      <c r="R117" s="33"/>
      <c r="S117" s="33"/>
      <c r="T117" s="33"/>
      <c r="U117" s="33"/>
      <c r="V117" s="33"/>
      <c r="W117" s="58" t="s">
        <v>2</v>
      </c>
      <c r="X117" s="58" t="s">
        <v>2</v>
      </c>
      <c r="Y117" s="33"/>
      <c r="Z117" s="33"/>
      <c r="AA117" s="33"/>
      <c r="AB117" s="33"/>
      <c r="AC117" s="33"/>
      <c r="AD117" s="33"/>
      <c r="AE117" s="58" t="s">
        <v>2</v>
      </c>
      <c r="AF117" s="58" t="s">
        <v>2</v>
      </c>
      <c r="AH117" s="16">
        <f t="shared" si="12"/>
        <v>0</v>
      </c>
      <c r="AI117" s="16">
        <f t="shared" si="13"/>
        <v>0</v>
      </c>
    </row>
    <row r="118" spans="1:35" ht="20.100000000000001" hidden="1" customHeight="1">
      <c r="A118" s="18" t="str">
        <f>ÖSSZES!$A$67</f>
        <v>Név19</v>
      </c>
      <c r="B118" s="59"/>
      <c r="C118" s="33"/>
      <c r="D118" s="33"/>
      <c r="E118" s="33"/>
      <c r="F118" s="33"/>
      <c r="G118" s="58" t="s">
        <v>2</v>
      </c>
      <c r="H118" s="58" t="s">
        <v>2</v>
      </c>
      <c r="I118" s="33"/>
      <c r="J118" s="33"/>
      <c r="K118" s="33"/>
      <c r="L118" s="33"/>
      <c r="M118" s="33"/>
      <c r="N118" s="33"/>
      <c r="O118" s="58" t="s">
        <v>2</v>
      </c>
      <c r="P118" s="58" t="s">
        <v>2</v>
      </c>
      <c r="Q118" s="33"/>
      <c r="R118" s="33"/>
      <c r="S118" s="33"/>
      <c r="T118" s="33"/>
      <c r="U118" s="33"/>
      <c r="V118" s="33"/>
      <c r="W118" s="58" t="s">
        <v>2</v>
      </c>
      <c r="X118" s="58" t="s">
        <v>2</v>
      </c>
      <c r="Y118" s="33"/>
      <c r="Z118" s="33"/>
      <c r="AA118" s="33"/>
      <c r="AB118" s="33"/>
      <c r="AC118" s="33"/>
      <c r="AD118" s="33"/>
      <c r="AE118" s="58" t="s">
        <v>2</v>
      </c>
      <c r="AF118" s="58" t="s">
        <v>2</v>
      </c>
      <c r="AH118" s="16">
        <f t="shared" si="12"/>
        <v>0</v>
      </c>
      <c r="AI118" s="16">
        <f t="shared" si="13"/>
        <v>0</v>
      </c>
    </row>
    <row r="119" spans="1:35" ht="20.100000000000001" hidden="1" customHeight="1">
      <c r="A119" s="18" t="str">
        <f>ÖSSZES!$A$68</f>
        <v>Név20</v>
      </c>
      <c r="B119" s="59"/>
      <c r="C119" s="33"/>
      <c r="D119" s="33"/>
      <c r="E119" s="33"/>
      <c r="F119" s="33"/>
      <c r="G119" s="58" t="s">
        <v>2</v>
      </c>
      <c r="H119" s="58" t="s">
        <v>2</v>
      </c>
      <c r="I119" s="33"/>
      <c r="J119" s="33"/>
      <c r="K119" s="33"/>
      <c r="L119" s="33"/>
      <c r="M119" s="33"/>
      <c r="N119" s="33"/>
      <c r="O119" s="58" t="s">
        <v>2</v>
      </c>
      <c r="P119" s="58" t="s">
        <v>2</v>
      </c>
      <c r="Q119" s="33"/>
      <c r="R119" s="33"/>
      <c r="S119" s="33"/>
      <c r="T119" s="33"/>
      <c r="U119" s="33"/>
      <c r="V119" s="33"/>
      <c r="W119" s="58" t="s">
        <v>2</v>
      </c>
      <c r="X119" s="58" t="s">
        <v>2</v>
      </c>
      <c r="Y119" s="33"/>
      <c r="Z119" s="33"/>
      <c r="AA119" s="33"/>
      <c r="AB119" s="33"/>
      <c r="AC119" s="33"/>
      <c r="AD119" s="33"/>
      <c r="AE119" s="58" t="s">
        <v>2</v>
      </c>
      <c r="AF119" s="58" t="s">
        <v>2</v>
      </c>
      <c r="AH119" s="16">
        <f t="shared" si="12"/>
        <v>0</v>
      </c>
      <c r="AI119" s="16">
        <f t="shared" si="13"/>
        <v>0</v>
      </c>
    </row>
    <row r="120" spans="1:35" ht="20.100000000000001" customHeight="1"/>
    <row r="121" spans="1:35" s="6" customFormat="1" ht="20.100000000000001" customHeight="1">
      <c r="A121" s="91" t="s">
        <v>10</v>
      </c>
      <c r="B121" s="32">
        <v>1</v>
      </c>
      <c r="C121" s="17">
        <v>2</v>
      </c>
      <c r="D121" s="17">
        <v>3</v>
      </c>
      <c r="E121" s="17">
        <v>4</v>
      </c>
      <c r="F121" s="17">
        <v>5</v>
      </c>
      <c r="G121" s="17">
        <v>6</v>
      </c>
      <c r="H121" s="17">
        <v>7</v>
      </c>
      <c r="I121" s="17">
        <v>8</v>
      </c>
      <c r="J121" s="17">
        <v>9</v>
      </c>
      <c r="K121" s="17">
        <v>10</v>
      </c>
      <c r="L121" s="17">
        <v>11</v>
      </c>
      <c r="M121" s="17">
        <v>12</v>
      </c>
      <c r="N121" s="17">
        <v>13</v>
      </c>
      <c r="O121" s="17">
        <v>14</v>
      </c>
      <c r="P121" s="17">
        <v>15</v>
      </c>
      <c r="Q121" s="17">
        <v>16</v>
      </c>
      <c r="R121" s="17">
        <v>17</v>
      </c>
      <c r="S121" s="17">
        <v>18</v>
      </c>
      <c r="T121" s="17">
        <v>19</v>
      </c>
      <c r="U121" s="17">
        <v>20</v>
      </c>
      <c r="V121" s="17">
        <v>21</v>
      </c>
      <c r="W121" s="17">
        <v>22</v>
      </c>
      <c r="X121" s="17">
        <v>23</v>
      </c>
      <c r="Y121" s="17">
        <v>24</v>
      </c>
      <c r="Z121" s="17">
        <v>25</v>
      </c>
      <c r="AA121" s="17">
        <v>26</v>
      </c>
      <c r="AB121" s="17">
        <v>27</v>
      </c>
      <c r="AC121" s="17">
        <v>28</v>
      </c>
      <c r="AD121" s="17">
        <v>29</v>
      </c>
      <c r="AE121" s="17">
        <v>30</v>
      </c>
      <c r="AH121" s="93" t="s">
        <v>18</v>
      </c>
      <c r="AI121" s="93" t="s">
        <v>19</v>
      </c>
    </row>
    <row r="122" spans="1:35" ht="20.100000000000001" customHeight="1">
      <c r="A122" s="96"/>
      <c r="B122" s="10" t="str">
        <f>'2020'!B44</f>
        <v>H</v>
      </c>
      <c r="C122" s="10" t="str">
        <f>'2020'!C44</f>
        <v>K</v>
      </c>
      <c r="D122" s="10" t="str">
        <f>'2020'!D44</f>
        <v>Sze</v>
      </c>
      <c r="E122" s="10" t="str">
        <f>'2020'!E44</f>
        <v>Cs</v>
      </c>
      <c r="F122" s="10" t="str">
        <f>'2020'!F44</f>
        <v>P</v>
      </c>
      <c r="G122" s="10" t="str">
        <f>'2020'!G44</f>
        <v>Szo</v>
      </c>
      <c r="H122" s="10" t="str">
        <f>'2020'!H44</f>
        <v>V</v>
      </c>
      <c r="I122" s="10" t="str">
        <f>'2020'!I44</f>
        <v>H</v>
      </c>
      <c r="J122" s="10" t="str">
        <f>'2020'!J44</f>
        <v>K</v>
      </c>
      <c r="K122" s="10" t="str">
        <f>'2020'!K44</f>
        <v>Sze</v>
      </c>
      <c r="L122" s="10" t="str">
        <f>'2020'!L44</f>
        <v>Cs</v>
      </c>
      <c r="M122" s="10" t="str">
        <f>'2020'!M44</f>
        <v>P</v>
      </c>
      <c r="N122" s="10" t="str">
        <f>'2020'!N44</f>
        <v>Szo</v>
      </c>
      <c r="O122" s="10" t="str">
        <f>'2020'!O44</f>
        <v>V</v>
      </c>
      <c r="P122" s="10" t="str">
        <f>'2020'!P44</f>
        <v>H</v>
      </c>
      <c r="Q122" s="10" t="str">
        <f>'2020'!Q44</f>
        <v>K</v>
      </c>
      <c r="R122" s="10" t="str">
        <f>'2020'!R44</f>
        <v>Sze</v>
      </c>
      <c r="S122" s="10" t="str">
        <f>'2020'!S44</f>
        <v>Cs</v>
      </c>
      <c r="T122" s="10" t="str">
        <f>'2020'!T44</f>
        <v>P</v>
      </c>
      <c r="U122" s="10" t="str">
        <f>'2020'!U44</f>
        <v>Szo</v>
      </c>
      <c r="V122" s="10" t="str">
        <f>'2020'!V44</f>
        <v>V</v>
      </c>
      <c r="W122" s="10" t="str">
        <f>'2020'!W44</f>
        <v>H</v>
      </c>
      <c r="X122" s="10" t="str">
        <f>'2020'!X44</f>
        <v>K</v>
      </c>
      <c r="Y122" s="10" t="str">
        <f>'2020'!Y44</f>
        <v>Sze</v>
      </c>
      <c r="Z122" s="10" t="str">
        <f>'2020'!Z44</f>
        <v>Cs</v>
      </c>
      <c r="AA122" s="10" t="str">
        <f>'2020'!AA44</f>
        <v>P</v>
      </c>
      <c r="AB122" s="10" t="str">
        <f>'2020'!AB44</f>
        <v>Szo</v>
      </c>
      <c r="AC122" s="10" t="str">
        <f>'2020'!AC44</f>
        <v>V</v>
      </c>
      <c r="AD122" s="10" t="str">
        <f>'2020'!AD44</f>
        <v>H</v>
      </c>
      <c r="AE122" s="10" t="str">
        <f>'2020'!AE44</f>
        <v>K</v>
      </c>
      <c r="AF122" s="1"/>
      <c r="AH122" s="94"/>
      <c r="AI122" s="94"/>
    </row>
    <row r="123" spans="1:35" ht="20.100000000000001" customHeight="1">
      <c r="A123" s="96"/>
      <c r="B123" s="10">
        <f>'2020'!B47</f>
        <v>3</v>
      </c>
      <c r="C123" s="10">
        <f>'2020'!C47</f>
        <v>3</v>
      </c>
      <c r="D123" s="10">
        <f>'2020'!D47</f>
        <v>3</v>
      </c>
      <c r="E123" s="10">
        <f>'2020'!E47</f>
        <v>3</v>
      </c>
      <c r="F123" s="10">
        <f>'2020'!F47</f>
        <v>3</v>
      </c>
      <c r="G123" s="10">
        <f>'2020'!G47</f>
        <v>3</v>
      </c>
      <c r="H123" s="10" t="str">
        <f>'2020'!H47</f>
        <v>X</v>
      </c>
      <c r="I123" s="10" t="str">
        <f>'2020'!I47</f>
        <v>X</v>
      </c>
      <c r="J123" s="10">
        <f>'2020'!J47</f>
        <v>2</v>
      </c>
      <c r="K123" s="10">
        <f>'2020'!K47</f>
        <v>2</v>
      </c>
      <c r="L123" s="10">
        <f>'2020'!L47</f>
        <v>2</v>
      </c>
      <c r="M123" s="10">
        <f>'2020'!M47</f>
        <v>2</v>
      </c>
      <c r="N123" s="10">
        <f>'2020'!N47</f>
        <v>2</v>
      </c>
      <c r="O123" s="10">
        <f>'2020'!O47</f>
        <v>2</v>
      </c>
      <c r="P123" s="10" t="str">
        <f>'2020'!P47</f>
        <v>X</v>
      </c>
      <c r="Q123" s="10" t="str">
        <f>'2020'!Q47</f>
        <v>X</v>
      </c>
      <c r="R123" s="10">
        <f>'2020'!R47</f>
        <v>1</v>
      </c>
      <c r="S123" s="10">
        <f>'2020'!S47</f>
        <v>1</v>
      </c>
      <c r="T123" s="10">
        <f>'2020'!T47</f>
        <v>1</v>
      </c>
      <c r="U123" s="10">
        <f>'2020'!U47</f>
        <v>1</v>
      </c>
      <c r="V123" s="10">
        <f>'2020'!V47</f>
        <v>1</v>
      </c>
      <c r="W123" s="10">
        <f>'2020'!W47</f>
        <v>1</v>
      </c>
      <c r="X123" s="10" t="str">
        <f>'2020'!X47</f>
        <v>X</v>
      </c>
      <c r="Y123" s="10" t="str">
        <f>'2020'!Y47</f>
        <v>X</v>
      </c>
      <c r="Z123" s="10">
        <f>'2020'!Z47</f>
        <v>3</v>
      </c>
      <c r="AA123" s="10">
        <f>'2020'!AA47</f>
        <v>3</v>
      </c>
      <c r="AB123" s="10">
        <f>'2020'!AB47</f>
        <v>3</v>
      </c>
      <c r="AC123" s="10">
        <f>'2020'!AC47</f>
        <v>3</v>
      </c>
      <c r="AD123" s="10">
        <f>'2020'!AD47</f>
        <v>3</v>
      </c>
      <c r="AE123" s="10">
        <f>'2020'!AE47</f>
        <v>3</v>
      </c>
      <c r="AF123" s="1"/>
      <c r="AH123" s="94"/>
      <c r="AI123" s="94"/>
    </row>
    <row r="124" spans="1:35" ht="20.100000000000001" customHeight="1">
      <c r="A124" s="18" t="str">
        <f>ÖSSZES!$A$49</f>
        <v>Kuik-Filep András</v>
      </c>
      <c r="B124" s="59"/>
      <c r="C124" s="14"/>
      <c r="D124" s="14"/>
      <c r="E124" s="38"/>
      <c r="F124" s="33"/>
      <c r="G124" s="33"/>
      <c r="H124" s="58" t="s">
        <v>2</v>
      </c>
      <c r="I124" s="58" t="s">
        <v>2</v>
      </c>
      <c r="J124" s="14"/>
      <c r="K124" s="14"/>
      <c r="L124" s="14"/>
      <c r="M124" s="14"/>
      <c r="N124" s="33"/>
      <c r="O124" s="33"/>
      <c r="P124" s="58" t="s">
        <v>2</v>
      </c>
      <c r="Q124" s="58" t="s">
        <v>2</v>
      </c>
      <c r="R124" s="14"/>
      <c r="S124" s="14"/>
      <c r="T124" s="14"/>
      <c r="U124" s="14"/>
      <c r="V124" s="33"/>
      <c r="W124" s="33"/>
      <c r="X124" s="58" t="s">
        <v>2</v>
      </c>
      <c r="Y124" s="58" t="s">
        <v>2</v>
      </c>
      <c r="Z124" s="14"/>
      <c r="AA124" s="14"/>
      <c r="AB124" s="14"/>
      <c r="AC124" s="14"/>
      <c r="AD124" s="33"/>
      <c r="AE124" s="33"/>
      <c r="AF124" s="1"/>
      <c r="AH124" s="16">
        <f>1*COUNTIF(A124:AF124,"+")</f>
        <v>0</v>
      </c>
      <c r="AI124" s="16">
        <f t="shared" ref="AI124" si="14">1*COUNTIF(B124:AF124,"szf")</f>
        <v>0</v>
      </c>
    </row>
    <row r="125" spans="1:35" ht="20.100000000000001" customHeight="1">
      <c r="A125" s="18" t="str">
        <f>ÖSSZES!$A$50</f>
        <v>Balogh Zsolt</v>
      </c>
      <c r="B125" s="59"/>
      <c r="C125" s="14"/>
      <c r="D125" s="14"/>
      <c r="E125" s="38"/>
      <c r="F125" s="33"/>
      <c r="G125" s="33"/>
      <c r="H125" s="58" t="s">
        <v>2</v>
      </c>
      <c r="I125" s="58" t="s">
        <v>2</v>
      </c>
      <c r="J125" s="14"/>
      <c r="K125" s="14"/>
      <c r="L125" s="14"/>
      <c r="M125" s="14"/>
      <c r="N125" s="33"/>
      <c r="O125" s="33"/>
      <c r="P125" s="58" t="s">
        <v>2</v>
      </c>
      <c r="Q125" s="58" t="s">
        <v>2</v>
      </c>
      <c r="R125" s="14"/>
      <c r="S125" s="14"/>
      <c r="T125" s="14"/>
      <c r="U125" s="14"/>
      <c r="V125" s="33"/>
      <c r="W125" s="33"/>
      <c r="X125" s="58" t="s">
        <v>2</v>
      </c>
      <c r="Y125" s="58" t="s">
        <v>2</v>
      </c>
      <c r="Z125" s="14"/>
      <c r="AA125" s="14"/>
      <c r="AB125" s="14"/>
      <c r="AC125" s="14"/>
      <c r="AD125" s="33"/>
      <c r="AE125" s="33"/>
      <c r="AF125" s="1"/>
      <c r="AH125" s="16">
        <f t="shared" ref="AH125:AH143" si="15">1*COUNTIF(A125:AF125,"+")</f>
        <v>0</v>
      </c>
      <c r="AI125" s="16">
        <f t="shared" ref="AI125:AI143" si="16">1*COUNTIF(B125:AF125,"szf")</f>
        <v>0</v>
      </c>
    </row>
    <row r="126" spans="1:35" ht="20.100000000000001" customHeight="1">
      <c r="A126" s="18" t="str">
        <f>ÖSSZES!$A$51</f>
        <v>Éliás Viktor</v>
      </c>
      <c r="B126" s="59"/>
      <c r="C126" s="14"/>
      <c r="D126" s="14"/>
      <c r="E126" s="38"/>
      <c r="F126" s="33"/>
      <c r="G126" s="33"/>
      <c r="H126" s="58" t="s">
        <v>2</v>
      </c>
      <c r="I126" s="58" t="s">
        <v>2</v>
      </c>
      <c r="J126" s="14"/>
      <c r="K126" s="14"/>
      <c r="L126" s="14"/>
      <c r="M126" s="14"/>
      <c r="N126" s="33"/>
      <c r="O126" s="33"/>
      <c r="P126" s="58" t="s">
        <v>2</v>
      </c>
      <c r="Q126" s="58" t="s">
        <v>2</v>
      </c>
      <c r="R126" s="14"/>
      <c r="S126" s="14"/>
      <c r="T126" s="14"/>
      <c r="U126" s="14"/>
      <c r="V126" s="33"/>
      <c r="W126" s="33"/>
      <c r="X126" s="58" t="s">
        <v>2</v>
      </c>
      <c r="Y126" s="58" t="s">
        <v>2</v>
      </c>
      <c r="Z126" s="14"/>
      <c r="AA126" s="14"/>
      <c r="AB126" s="14"/>
      <c r="AC126" s="14"/>
      <c r="AD126" s="33"/>
      <c r="AE126" s="33"/>
      <c r="AF126" s="1"/>
      <c r="AH126" s="16">
        <f t="shared" si="15"/>
        <v>0</v>
      </c>
      <c r="AI126" s="16">
        <f t="shared" si="16"/>
        <v>0</v>
      </c>
    </row>
    <row r="127" spans="1:35" ht="20.100000000000001" customHeight="1">
      <c r="A127" s="18" t="str">
        <f>ÖSSZES!$A$52</f>
        <v>Hadházi Kálmán</v>
      </c>
      <c r="B127" s="59"/>
      <c r="C127" s="14"/>
      <c r="D127" s="14"/>
      <c r="E127" s="38"/>
      <c r="F127" s="33"/>
      <c r="G127" s="33"/>
      <c r="H127" s="58" t="s">
        <v>2</v>
      </c>
      <c r="I127" s="58" t="s">
        <v>2</v>
      </c>
      <c r="J127" s="14"/>
      <c r="K127" s="14"/>
      <c r="L127" s="14"/>
      <c r="M127" s="14"/>
      <c r="N127" s="33"/>
      <c r="O127" s="33"/>
      <c r="P127" s="58" t="s">
        <v>2</v>
      </c>
      <c r="Q127" s="58" t="s">
        <v>2</v>
      </c>
      <c r="R127" s="14"/>
      <c r="S127" s="14"/>
      <c r="T127" s="14"/>
      <c r="U127" s="14"/>
      <c r="V127" s="33"/>
      <c r="W127" s="33"/>
      <c r="X127" s="58" t="s">
        <v>2</v>
      </c>
      <c r="Y127" s="58" t="s">
        <v>2</v>
      </c>
      <c r="Z127" s="14"/>
      <c r="AA127" s="14"/>
      <c r="AB127" s="14"/>
      <c r="AC127" s="14"/>
      <c r="AD127" s="33"/>
      <c r="AE127" s="33"/>
      <c r="AF127" s="1"/>
      <c r="AH127" s="16">
        <f t="shared" si="15"/>
        <v>0</v>
      </c>
      <c r="AI127" s="16">
        <f t="shared" si="16"/>
        <v>0</v>
      </c>
    </row>
    <row r="128" spans="1:35" ht="20.100000000000001" customHeight="1">
      <c r="A128" s="18" t="str">
        <f>ÖSSZES!$A$53</f>
        <v>Kiss Attila</v>
      </c>
      <c r="B128" s="59"/>
      <c r="C128" s="14"/>
      <c r="D128" s="14"/>
      <c r="E128" s="38"/>
      <c r="F128" s="33"/>
      <c r="G128" s="33"/>
      <c r="H128" s="58" t="s">
        <v>2</v>
      </c>
      <c r="I128" s="58" t="s">
        <v>2</v>
      </c>
      <c r="J128" s="14"/>
      <c r="K128" s="14"/>
      <c r="L128" s="14"/>
      <c r="M128" s="14"/>
      <c r="N128" s="33"/>
      <c r="O128" s="33"/>
      <c r="P128" s="58" t="s">
        <v>2</v>
      </c>
      <c r="Q128" s="58" t="s">
        <v>2</v>
      </c>
      <c r="R128" s="14"/>
      <c r="S128" s="14"/>
      <c r="T128" s="14"/>
      <c r="U128" s="14"/>
      <c r="V128" s="33"/>
      <c r="W128" s="33"/>
      <c r="X128" s="58" t="s">
        <v>2</v>
      </c>
      <c r="Y128" s="58" t="s">
        <v>2</v>
      </c>
      <c r="Z128" s="14"/>
      <c r="AA128" s="14"/>
      <c r="AB128" s="14"/>
      <c r="AC128" s="14"/>
      <c r="AD128" s="33"/>
      <c r="AE128" s="33"/>
      <c r="AF128" s="1"/>
      <c r="AH128" s="16">
        <f t="shared" si="15"/>
        <v>0</v>
      </c>
      <c r="AI128" s="16">
        <f t="shared" si="16"/>
        <v>0</v>
      </c>
    </row>
    <row r="129" spans="1:35" ht="20.100000000000001" customHeight="1">
      <c r="A129" s="18" t="str">
        <f>ÖSSZES!$A$54</f>
        <v>Serestyén Dániel</v>
      </c>
      <c r="B129" s="59"/>
      <c r="C129" s="14"/>
      <c r="D129" s="14"/>
      <c r="E129" s="38"/>
      <c r="F129" s="33"/>
      <c r="G129" s="33"/>
      <c r="H129" s="58" t="s">
        <v>2</v>
      </c>
      <c r="I129" s="58" t="s">
        <v>2</v>
      </c>
      <c r="J129" s="14"/>
      <c r="K129" s="14"/>
      <c r="L129" s="14"/>
      <c r="M129" s="14"/>
      <c r="N129" s="33"/>
      <c r="O129" s="33"/>
      <c r="P129" s="58" t="s">
        <v>2</v>
      </c>
      <c r="Q129" s="58" t="s">
        <v>2</v>
      </c>
      <c r="R129" s="14"/>
      <c r="S129" s="14"/>
      <c r="T129" s="14"/>
      <c r="U129" s="14"/>
      <c r="V129" s="33"/>
      <c r="W129" s="33"/>
      <c r="X129" s="58" t="s">
        <v>2</v>
      </c>
      <c r="Y129" s="58" t="s">
        <v>2</v>
      </c>
      <c r="Z129" s="14"/>
      <c r="AA129" s="14"/>
      <c r="AB129" s="14"/>
      <c r="AC129" s="14"/>
      <c r="AD129" s="33"/>
      <c r="AE129" s="33"/>
      <c r="AF129" s="1"/>
      <c r="AH129" s="16">
        <f t="shared" si="15"/>
        <v>0</v>
      </c>
      <c r="AI129" s="16">
        <f t="shared" si="16"/>
        <v>0</v>
      </c>
    </row>
    <row r="130" spans="1:35" ht="20.100000000000001" customHeight="1">
      <c r="A130" s="18" t="str">
        <f>ÖSSZES!$A$55</f>
        <v>Varga Imre</v>
      </c>
      <c r="B130" s="59"/>
      <c r="C130" s="14"/>
      <c r="D130" s="14"/>
      <c r="E130" s="38"/>
      <c r="F130" s="33"/>
      <c r="G130" s="33"/>
      <c r="H130" s="58" t="s">
        <v>2</v>
      </c>
      <c r="I130" s="58" t="s">
        <v>2</v>
      </c>
      <c r="J130" s="14"/>
      <c r="K130" s="14"/>
      <c r="L130" s="14"/>
      <c r="M130" s="14"/>
      <c r="N130" s="33"/>
      <c r="O130" s="33"/>
      <c r="P130" s="58" t="s">
        <v>2</v>
      </c>
      <c r="Q130" s="58" t="s">
        <v>2</v>
      </c>
      <c r="R130" s="14"/>
      <c r="S130" s="14"/>
      <c r="T130" s="14"/>
      <c r="U130" s="14"/>
      <c r="V130" s="33"/>
      <c r="W130" s="33"/>
      <c r="X130" s="58" t="s">
        <v>2</v>
      </c>
      <c r="Y130" s="58" t="s">
        <v>2</v>
      </c>
      <c r="Z130" s="14"/>
      <c r="AA130" s="14"/>
      <c r="AB130" s="14"/>
      <c r="AC130" s="14"/>
      <c r="AD130" s="33"/>
      <c r="AE130" s="33"/>
      <c r="AF130" s="1"/>
      <c r="AH130" s="16">
        <f t="shared" si="15"/>
        <v>0</v>
      </c>
      <c r="AI130" s="16">
        <f t="shared" si="16"/>
        <v>0</v>
      </c>
    </row>
    <row r="131" spans="1:35" ht="20.100000000000001" hidden="1" customHeight="1">
      <c r="A131" s="18" t="str">
        <f>ÖSSZES!$A$56</f>
        <v>Név8</v>
      </c>
      <c r="B131" s="59"/>
      <c r="C131" s="14"/>
      <c r="D131" s="14"/>
      <c r="E131" s="38"/>
      <c r="F131" s="33"/>
      <c r="G131" s="33"/>
      <c r="H131" s="58" t="s">
        <v>2</v>
      </c>
      <c r="I131" s="58" t="s">
        <v>2</v>
      </c>
      <c r="J131" s="14"/>
      <c r="K131" s="14"/>
      <c r="L131" s="14"/>
      <c r="M131" s="14"/>
      <c r="N131" s="33"/>
      <c r="O131" s="33"/>
      <c r="P131" s="58" t="s">
        <v>2</v>
      </c>
      <c r="Q131" s="58" t="s">
        <v>2</v>
      </c>
      <c r="R131" s="14"/>
      <c r="S131" s="14"/>
      <c r="T131" s="14"/>
      <c r="U131" s="14"/>
      <c r="V131" s="33"/>
      <c r="W131" s="33"/>
      <c r="X131" s="58" t="s">
        <v>2</v>
      </c>
      <c r="Y131" s="58" t="s">
        <v>2</v>
      </c>
      <c r="Z131" s="14"/>
      <c r="AA131" s="14"/>
      <c r="AB131" s="14"/>
      <c r="AC131" s="14"/>
      <c r="AD131" s="33"/>
      <c r="AE131" s="33"/>
      <c r="AF131" s="1"/>
      <c r="AH131" s="16">
        <f t="shared" si="15"/>
        <v>0</v>
      </c>
      <c r="AI131" s="16">
        <f t="shared" si="16"/>
        <v>0</v>
      </c>
    </row>
    <row r="132" spans="1:35" ht="20.100000000000001" hidden="1" customHeight="1">
      <c r="A132" s="18" t="str">
        <f>ÖSSZES!$A$57</f>
        <v>Név9</v>
      </c>
      <c r="B132" s="59"/>
      <c r="C132" s="14"/>
      <c r="D132" s="14"/>
      <c r="E132" s="38"/>
      <c r="F132" s="33"/>
      <c r="G132" s="33"/>
      <c r="H132" s="58" t="s">
        <v>2</v>
      </c>
      <c r="I132" s="58" t="s">
        <v>2</v>
      </c>
      <c r="J132" s="14"/>
      <c r="K132" s="14"/>
      <c r="L132" s="14"/>
      <c r="M132" s="14"/>
      <c r="N132" s="33"/>
      <c r="O132" s="33"/>
      <c r="P132" s="58" t="s">
        <v>2</v>
      </c>
      <c r="Q132" s="58" t="s">
        <v>2</v>
      </c>
      <c r="R132" s="14"/>
      <c r="S132" s="14"/>
      <c r="T132" s="14"/>
      <c r="U132" s="14"/>
      <c r="V132" s="33"/>
      <c r="W132" s="33"/>
      <c r="X132" s="58" t="s">
        <v>2</v>
      </c>
      <c r="Y132" s="58" t="s">
        <v>2</v>
      </c>
      <c r="Z132" s="14"/>
      <c r="AA132" s="14"/>
      <c r="AB132" s="14"/>
      <c r="AC132" s="14"/>
      <c r="AD132" s="33"/>
      <c r="AE132" s="33"/>
      <c r="AF132" s="1"/>
      <c r="AH132" s="16">
        <f t="shared" si="15"/>
        <v>0</v>
      </c>
      <c r="AI132" s="16">
        <f t="shared" si="16"/>
        <v>0</v>
      </c>
    </row>
    <row r="133" spans="1:35" ht="20.100000000000001" hidden="1" customHeight="1">
      <c r="A133" s="18" t="str">
        <f>ÖSSZES!$A$58</f>
        <v>Név10</v>
      </c>
      <c r="B133" s="59"/>
      <c r="C133" s="14"/>
      <c r="D133" s="14"/>
      <c r="E133" s="38"/>
      <c r="F133" s="33"/>
      <c r="G133" s="33"/>
      <c r="H133" s="58" t="s">
        <v>2</v>
      </c>
      <c r="I133" s="58" t="s">
        <v>2</v>
      </c>
      <c r="J133" s="14"/>
      <c r="K133" s="14"/>
      <c r="L133" s="14"/>
      <c r="M133" s="14"/>
      <c r="N133" s="33"/>
      <c r="O133" s="33"/>
      <c r="P133" s="58" t="s">
        <v>2</v>
      </c>
      <c r="Q133" s="58" t="s">
        <v>2</v>
      </c>
      <c r="R133" s="14"/>
      <c r="S133" s="14"/>
      <c r="T133" s="14"/>
      <c r="U133" s="14"/>
      <c r="V133" s="33"/>
      <c r="W133" s="33"/>
      <c r="X133" s="58" t="s">
        <v>2</v>
      </c>
      <c r="Y133" s="58" t="s">
        <v>2</v>
      </c>
      <c r="Z133" s="14"/>
      <c r="AA133" s="14"/>
      <c r="AB133" s="14"/>
      <c r="AC133" s="14"/>
      <c r="AD133" s="33"/>
      <c r="AE133" s="33"/>
      <c r="AF133" s="1"/>
      <c r="AH133" s="16">
        <f t="shared" si="15"/>
        <v>0</v>
      </c>
      <c r="AI133" s="16">
        <f t="shared" si="16"/>
        <v>0</v>
      </c>
    </row>
    <row r="134" spans="1:35" ht="20.100000000000001" hidden="1" customHeight="1">
      <c r="A134" s="18" t="str">
        <f>ÖSSZES!$A$59</f>
        <v>Név11</v>
      </c>
      <c r="B134" s="59"/>
      <c r="C134" s="14"/>
      <c r="D134" s="14"/>
      <c r="E134" s="38"/>
      <c r="F134" s="33"/>
      <c r="G134" s="33"/>
      <c r="H134" s="58" t="s">
        <v>2</v>
      </c>
      <c r="I134" s="58" t="s">
        <v>2</v>
      </c>
      <c r="J134" s="14"/>
      <c r="K134" s="14"/>
      <c r="L134" s="14"/>
      <c r="M134" s="14"/>
      <c r="N134" s="33"/>
      <c r="O134" s="33"/>
      <c r="P134" s="58" t="s">
        <v>2</v>
      </c>
      <c r="Q134" s="58" t="s">
        <v>2</v>
      </c>
      <c r="R134" s="14"/>
      <c r="S134" s="14"/>
      <c r="T134" s="14"/>
      <c r="U134" s="14"/>
      <c r="V134" s="33"/>
      <c r="W134" s="33"/>
      <c r="X134" s="58" t="s">
        <v>2</v>
      </c>
      <c r="Y134" s="58" t="s">
        <v>2</v>
      </c>
      <c r="Z134" s="14"/>
      <c r="AA134" s="14"/>
      <c r="AB134" s="14"/>
      <c r="AC134" s="14"/>
      <c r="AD134" s="33"/>
      <c r="AE134" s="33"/>
      <c r="AF134" s="1"/>
      <c r="AH134" s="16">
        <f t="shared" si="15"/>
        <v>0</v>
      </c>
      <c r="AI134" s="16">
        <f t="shared" si="16"/>
        <v>0</v>
      </c>
    </row>
    <row r="135" spans="1:35" ht="20.100000000000001" hidden="1" customHeight="1">
      <c r="A135" s="18" t="str">
        <f>ÖSSZES!$A$60</f>
        <v>Név12</v>
      </c>
      <c r="B135" s="59"/>
      <c r="C135" s="14"/>
      <c r="D135" s="14"/>
      <c r="E135" s="38"/>
      <c r="F135" s="33"/>
      <c r="G135" s="33"/>
      <c r="H135" s="58" t="s">
        <v>2</v>
      </c>
      <c r="I135" s="58" t="s">
        <v>2</v>
      </c>
      <c r="J135" s="14"/>
      <c r="K135" s="14"/>
      <c r="L135" s="14"/>
      <c r="M135" s="14"/>
      <c r="N135" s="33"/>
      <c r="O135" s="33"/>
      <c r="P135" s="58" t="s">
        <v>2</v>
      </c>
      <c r="Q135" s="58" t="s">
        <v>2</v>
      </c>
      <c r="R135" s="14"/>
      <c r="S135" s="14"/>
      <c r="T135" s="14"/>
      <c r="U135" s="14"/>
      <c r="V135" s="33"/>
      <c r="W135" s="33"/>
      <c r="X135" s="58" t="s">
        <v>2</v>
      </c>
      <c r="Y135" s="58" t="s">
        <v>2</v>
      </c>
      <c r="Z135" s="14"/>
      <c r="AA135" s="14"/>
      <c r="AB135" s="14"/>
      <c r="AC135" s="14"/>
      <c r="AD135" s="33"/>
      <c r="AE135" s="33"/>
      <c r="AF135" s="1"/>
      <c r="AH135" s="16">
        <f t="shared" si="15"/>
        <v>0</v>
      </c>
      <c r="AI135" s="16">
        <f t="shared" si="16"/>
        <v>0</v>
      </c>
    </row>
    <row r="136" spans="1:35" ht="20.100000000000001" hidden="1" customHeight="1">
      <c r="A136" s="18" t="str">
        <f>ÖSSZES!$A$61</f>
        <v>Név13</v>
      </c>
      <c r="B136" s="59"/>
      <c r="C136" s="14"/>
      <c r="D136" s="14"/>
      <c r="E136" s="38"/>
      <c r="F136" s="33"/>
      <c r="G136" s="33"/>
      <c r="H136" s="58" t="s">
        <v>2</v>
      </c>
      <c r="I136" s="58" t="s">
        <v>2</v>
      </c>
      <c r="J136" s="14"/>
      <c r="K136" s="14"/>
      <c r="L136" s="14"/>
      <c r="M136" s="14"/>
      <c r="N136" s="33"/>
      <c r="O136" s="33"/>
      <c r="P136" s="58" t="s">
        <v>2</v>
      </c>
      <c r="Q136" s="58" t="s">
        <v>2</v>
      </c>
      <c r="R136" s="14"/>
      <c r="S136" s="14"/>
      <c r="T136" s="14"/>
      <c r="U136" s="14"/>
      <c r="V136" s="33"/>
      <c r="W136" s="33"/>
      <c r="X136" s="58" t="s">
        <v>2</v>
      </c>
      <c r="Y136" s="58" t="s">
        <v>2</v>
      </c>
      <c r="Z136" s="14"/>
      <c r="AA136" s="14"/>
      <c r="AB136" s="14"/>
      <c r="AC136" s="14"/>
      <c r="AD136" s="33"/>
      <c r="AE136" s="33"/>
      <c r="AF136" s="1"/>
      <c r="AH136" s="16">
        <f t="shared" si="15"/>
        <v>0</v>
      </c>
      <c r="AI136" s="16">
        <f t="shared" si="16"/>
        <v>0</v>
      </c>
    </row>
    <row r="137" spans="1:35" ht="20.100000000000001" hidden="1" customHeight="1">
      <c r="A137" s="18" t="str">
        <f>ÖSSZES!$A$62</f>
        <v>Név14</v>
      </c>
      <c r="B137" s="59"/>
      <c r="C137" s="14"/>
      <c r="D137" s="14"/>
      <c r="E137" s="38"/>
      <c r="F137" s="33"/>
      <c r="G137" s="33"/>
      <c r="H137" s="58" t="s">
        <v>2</v>
      </c>
      <c r="I137" s="58" t="s">
        <v>2</v>
      </c>
      <c r="J137" s="14"/>
      <c r="K137" s="14"/>
      <c r="L137" s="14"/>
      <c r="M137" s="14"/>
      <c r="N137" s="33"/>
      <c r="O137" s="33"/>
      <c r="P137" s="58" t="s">
        <v>2</v>
      </c>
      <c r="Q137" s="58" t="s">
        <v>2</v>
      </c>
      <c r="R137" s="14"/>
      <c r="S137" s="14"/>
      <c r="T137" s="14"/>
      <c r="U137" s="14"/>
      <c r="V137" s="33"/>
      <c r="W137" s="33"/>
      <c r="X137" s="58" t="s">
        <v>2</v>
      </c>
      <c r="Y137" s="58" t="s">
        <v>2</v>
      </c>
      <c r="Z137" s="14"/>
      <c r="AA137" s="14"/>
      <c r="AB137" s="14"/>
      <c r="AC137" s="14"/>
      <c r="AD137" s="33"/>
      <c r="AE137" s="33"/>
      <c r="AF137" s="1"/>
      <c r="AH137" s="16">
        <f t="shared" si="15"/>
        <v>0</v>
      </c>
      <c r="AI137" s="16">
        <f t="shared" si="16"/>
        <v>0</v>
      </c>
    </row>
    <row r="138" spans="1:35" ht="20.100000000000001" hidden="1" customHeight="1">
      <c r="A138" s="18" t="str">
        <f>ÖSSZES!$A$63</f>
        <v>Név15</v>
      </c>
      <c r="B138" s="59"/>
      <c r="C138" s="14"/>
      <c r="D138" s="14"/>
      <c r="E138" s="38"/>
      <c r="F138" s="33"/>
      <c r="G138" s="33"/>
      <c r="H138" s="58" t="s">
        <v>2</v>
      </c>
      <c r="I138" s="58" t="s">
        <v>2</v>
      </c>
      <c r="J138" s="14"/>
      <c r="K138" s="14"/>
      <c r="L138" s="14"/>
      <c r="M138" s="14"/>
      <c r="N138" s="33"/>
      <c r="O138" s="33"/>
      <c r="P138" s="58" t="s">
        <v>2</v>
      </c>
      <c r="Q138" s="58" t="s">
        <v>2</v>
      </c>
      <c r="R138" s="14"/>
      <c r="S138" s="14"/>
      <c r="T138" s="14"/>
      <c r="U138" s="14"/>
      <c r="V138" s="33"/>
      <c r="W138" s="33"/>
      <c r="X138" s="58" t="s">
        <v>2</v>
      </c>
      <c r="Y138" s="58" t="s">
        <v>2</v>
      </c>
      <c r="Z138" s="14"/>
      <c r="AA138" s="14"/>
      <c r="AB138" s="14"/>
      <c r="AC138" s="14"/>
      <c r="AD138" s="33"/>
      <c r="AE138" s="33"/>
      <c r="AF138" s="1"/>
      <c r="AH138" s="16">
        <f t="shared" si="15"/>
        <v>0</v>
      </c>
      <c r="AI138" s="16">
        <f t="shared" si="16"/>
        <v>0</v>
      </c>
    </row>
    <row r="139" spans="1:35" ht="20.100000000000001" hidden="1" customHeight="1">
      <c r="A139" s="18" t="str">
        <f>ÖSSZES!$A$64</f>
        <v>Név16</v>
      </c>
      <c r="B139" s="59"/>
      <c r="C139" s="14"/>
      <c r="D139" s="14"/>
      <c r="E139" s="38"/>
      <c r="F139" s="33"/>
      <c r="G139" s="33"/>
      <c r="H139" s="58" t="s">
        <v>2</v>
      </c>
      <c r="I139" s="58" t="s">
        <v>2</v>
      </c>
      <c r="J139" s="14"/>
      <c r="K139" s="14"/>
      <c r="L139" s="14"/>
      <c r="M139" s="14"/>
      <c r="N139" s="33"/>
      <c r="O139" s="33"/>
      <c r="P139" s="58" t="s">
        <v>2</v>
      </c>
      <c r="Q139" s="58" t="s">
        <v>2</v>
      </c>
      <c r="R139" s="14"/>
      <c r="S139" s="14"/>
      <c r="T139" s="14"/>
      <c r="U139" s="14"/>
      <c r="V139" s="33"/>
      <c r="W139" s="33"/>
      <c r="X139" s="58" t="s">
        <v>2</v>
      </c>
      <c r="Y139" s="58" t="s">
        <v>2</v>
      </c>
      <c r="Z139" s="14"/>
      <c r="AA139" s="14"/>
      <c r="AB139" s="14"/>
      <c r="AC139" s="14"/>
      <c r="AD139" s="33"/>
      <c r="AE139" s="33"/>
      <c r="AF139" s="1"/>
      <c r="AH139" s="16">
        <f t="shared" si="15"/>
        <v>0</v>
      </c>
      <c r="AI139" s="16">
        <f t="shared" si="16"/>
        <v>0</v>
      </c>
    </row>
    <row r="140" spans="1:35" ht="20.100000000000001" hidden="1" customHeight="1">
      <c r="A140" s="18" t="str">
        <f>ÖSSZES!$A$65</f>
        <v>Név17</v>
      </c>
      <c r="B140" s="59"/>
      <c r="C140" s="14"/>
      <c r="D140" s="14"/>
      <c r="E140" s="38"/>
      <c r="F140" s="33"/>
      <c r="G140" s="33"/>
      <c r="H140" s="58" t="s">
        <v>2</v>
      </c>
      <c r="I140" s="58" t="s">
        <v>2</v>
      </c>
      <c r="J140" s="14"/>
      <c r="K140" s="14"/>
      <c r="L140" s="14"/>
      <c r="M140" s="14"/>
      <c r="N140" s="33"/>
      <c r="O140" s="33"/>
      <c r="P140" s="58" t="s">
        <v>2</v>
      </c>
      <c r="Q140" s="58" t="s">
        <v>2</v>
      </c>
      <c r="R140" s="14"/>
      <c r="S140" s="14"/>
      <c r="T140" s="14"/>
      <c r="U140" s="14"/>
      <c r="V140" s="33"/>
      <c r="W140" s="33"/>
      <c r="X140" s="58" t="s">
        <v>2</v>
      </c>
      <c r="Y140" s="58" t="s">
        <v>2</v>
      </c>
      <c r="Z140" s="14"/>
      <c r="AA140" s="14"/>
      <c r="AB140" s="14"/>
      <c r="AC140" s="14"/>
      <c r="AD140" s="33"/>
      <c r="AE140" s="33"/>
      <c r="AF140" s="1"/>
      <c r="AH140" s="16">
        <f t="shared" si="15"/>
        <v>0</v>
      </c>
      <c r="AI140" s="16">
        <f t="shared" si="16"/>
        <v>0</v>
      </c>
    </row>
    <row r="141" spans="1:35" ht="20.100000000000001" hidden="1" customHeight="1">
      <c r="A141" s="18" t="str">
        <f>ÖSSZES!$A$66</f>
        <v>Név18</v>
      </c>
      <c r="B141" s="59"/>
      <c r="C141" s="14"/>
      <c r="D141" s="14"/>
      <c r="E141" s="38"/>
      <c r="F141" s="33"/>
      <c r="G141" s="33"/>
      <c r="H141" s="58" t="s">
        <v>2</v>
      </c>
      <c r="I141" s="58" t="s">
        <v>2</v>
      </c>
      <c r="J141" s="14"/>
      <c r="K141" s="14"/>
      <c r="L141" s="14"/>
      <c r="M141" s="14"/>
      <c r="N141" s="33"/>
      <c r="O141" s="33"/>
      <c r="P141" s="58" t="s">
        <v>2</v>
      </c>
      <c r="Q141" s="58" t="s">
        <v>2</v>
      </c>
      <c r="R141" s="14"/>
      <c r="S141" s="14"/>
      <c r="T141" s="14"/>
      <c r="U141" s="14"/>
      <c r="V141" s="33"/>
      <c r="W141" s="33"/>
      <c r="X141" s="58" t="s">
        <v>2</v>
      </c>
      <c r="Y141" s="58" t="s">
        <v>2</v>
      </c>
      <c r="Z141" s="14"/>
      <c r="AA141" s="14"/>
      <c r="AB141" s="14"/>
      <c r="AC141" s="14"/>
      <c r="AD141" s="33"/>
      <c r="AE141" s="33"/>
      <c r="AF141" s="1"/>
      <c r="AH141" s="16">
        <f t="shared" si="15"/>
        <v>0</v>
      </c>
      <c r="AI141" s="16">
        <f t="shared" si="16"/>
        <v>0</v>
      </c>
    </row>
    <row r="142" spans="1:35" ht="20.100000000000001" hidden="1" customHeight="1">
      <c r="A142" s="18" t="str">
        <f>ÖSSZES!$A$67</f>
        <v>Név19</v>
      </c>
      <c r="B142" s="59"/>
      <c r="C142" s="14"/>
      <c r="D142" s="14"/>
      <c r="E142" s="38"/>
      <c r="F142" s="33"/>
      <c r="G142" s="33"/>
      <c r="H142" s="58" t="s">
        <v>2</v>
      </c>
      <c r="I142" s="58" t="s">
        <v>2</v>
      </c>
      <c r="J142" s="14"/>
      <c r="K142" s="14"/>
      <c r="L142" s="14"/>
      <c r="M142" s="14"/>
      <c r="N142" s="33"/>
      <c r="O142" s="33"/>
      <c r="P142" s="58" t="s">
        <v>2</v>
      </c>
      <c r="Q142" s="58" t="s">
        <v>2</v>
      </c>
      <c r="R142" s="14"/>
      <c r="S142" s="14"/>
      <c r="T142" s="14"/>
      <c r="U142" s="14"/>
      <c r="V142" s="33"/>
      <c r="W142" s="33"/>
      <c r="X142" s="58" t="s">
        <v>2</v>
      </c>
      <c r="Y142" s="58" t="s">
        <v>2</v>
      </c>
      <c r="Z142" s="14"/>
      <c r="AA142" s="14"/>
      <c r="AB142" s="14"/>
      <c r="AC142" s="14"/>
      <c r="AD142" s="33"/>
      <c r="AE142" s="33"/>
      <c r="AF142" s="1"/>
      <c r="AH142" s="16">
        <f t="shared" si="15"/>
        <v>0</v>
      </c>
      <c r="AI142" s="16">
        <f t="shared" si="16"/>
        <v>0</v>
      </c>
    </row>
    <row r="143" spans="1:35" ht="20.100000000000001" hidden="1" customHeight="1">
      <c r="A143" s="18" t="str">
        <f>ÖSSZES!$A$68</f>
        <v>Név20</v>
      </c>
      <c r="B143" s="59"/>
      <c r="C143" s="14"/>
      <c r="D143" s="14"/>
      <c r="E143" s="14"/>
      <c r="F143" s="33"/>
      <c r="G143" s="33"/>
      <c r="H143" s="58" t="s">
        <v>2</v>
      </c>
      <c r="I143" s="58" t="s">
        <v>2</v>
      </c>
      <c r="J143" s="14"/>
      <c r="K143" s="14"/>
      <c r="L143" s="14"/>
      <c r="M143" s="14"/>
      <c r="N143" s="33"/>
      <c r="O143" s="33"/>
      <c r="P143" s="58" t="s">
        <v>2</v>
      </c>
      <c r="Q143" s="58" t="s">
        <v>2</v>
      </c>
      <c r="R143" s="14"/>
      <c r="S143" s="14"/>
      <c r="T143" s="14"/>
      <c r="U143" s="14"/>
      <c r="V143" s="33"/>
      <c r="W143" s="33"/>
      <c r="X143" s="58" t="s">
        <v>2</v>
      </c>
      <c r="Y143" s="58" t="s">
        <v>2</v>
      </c>
      <c r="Z143" s="14"/>
      <c r="AA143" s="14"/>
      <c r="AB143" s="14"/>
      <c r="AC143" s="14"/>
      <c r="AD143" s="33"/>
      <c r="AE143" s="33"/>
      <c r="AF143" s="1"/>
      <c r="AH143" s="16">
        <f t="shared" si="15"/>
        <v>0</v>
      </c>
      <c r="AI143" s="16">
        <f t="shared" si="16"/>
        <v>0</v>
      </c>
    </row>
    <row r="144" spans="1:35" ht="20.100000000000001" customHeight="1"/>
    <row r="145" spans="1:35" s="6" customFormat="1" ht="20.100000000000001" customHeight="1">
      <c r="A145" s="91" t="s">
        <v>11</v>
      </c>
      <c r="B145" s="17">
        <v>1</v>
      </c>
      <c r="C145" s="17">
        <v>2</v>
      </c>
      <c r="D145" s="17">
        <v>3</v>
      </c>
      <c r="E145" s="17">
        <v>4</v>
      </c>
      <c r="F145" s="17">
        <v>5</v>
      </c>
      <c r="G145" s="17">
        <v>6</v>
      </c>
      <c r="H145" s="17">
        <v>7</v>
      </c>
      <c r="I145" s="17">
        <v>8</v>
      </c>
      <c r="J145" s="17">
        <v>9</v>
      </c>
      <c r="K145" s="17">
        <v>10</v>
      </c>
      <c r="L145" s="17">
        <v>11</v>
      </c>
      <c r="M145" s="17">
        <v>12</v>
      </c>
      <c r="N145" s="17">
        <v>13</v>
      </c>
      <c r="O145" s="17">
        <v>14</v>
      </c>
      <c r="P145" s="17">
        <v>15</v>
      </c>
      <c r="Q145" s="17">
        <v>16</v>
      </c>
      <c r="R145" s="17">
        <v>17</v>
      </c>
      <c r="S145" s="17">
        <v>18</v>
      </c>
      <c r="T145" s="17">
        <v>19</v>
      </c>
      <c r="U145" s="17">
        <v>20</v>
      </c>
      <c r="V145" s="17">
        <v>21</v>
      </c>
      <c r="W145" s="17">
        <v>22</v>
      </c>
      <c r="X145" s="17">
        <v>23</v>
      </c>
      <c r="Y145" s="17">
        <v>24</v>
      </c>
      <c r="Z145" s="17">
        <v>25</v>
      </c>
      <c r="AA145" s="17">
        <v>26</v>
      </c>
      <c r="AB145" s="17">
        <v>27</v>
      </c>
      <c r="AC145" s="17">
        <v>28</v>
      </c>
      <c r="AD145" s="17">
        <v>29</v>
      </c>
      <c r="AE145" s="17">
        <v>30</v>
      </c>
      <c r="AF145" s="17">
        <v>31</v>
      </c>
      <c r="AH145" s="93" t="s">
        <v>18</v>
      </c>
      <c r="AI145" s="93" t="s">
        <v>19</v>
      </c>
    </row>
    <row r="146" spans="1:35" ht="20.100000000000001" customHeight="1">
      <c r="A146" s="96"/>
      <c r="B146" s="10" t="str">
        <f>'2020'!B52</f>
        <v>Sze</v>
      </c>
      <c r="C146" s="10" t="str">
        <f>'2020'!C52</f>
        <v>Cs</v>
      </c>
      <c r="D146" s="10" t="str">
        <f>'2020'!D52</f>
        <v>P</v>
      </c>
      <c r="E146" s="10" t="str">
        <f>'2020'!E52</f>
        <v>Szo</v>
      </c>
      <c r="F146" s="10" t="str">
        <f>'2020'!F52</f>
        <v>V</v>
      </c>
      <c r="G146" s="10" t="str">
        <f>'2020'!G52</f>
        <v>H</v>
      </c>
      <c r="H146" s="10" t="str">
        <f>'2020'!H52</f>
        <v>K</v>
      </c>
      <c r="I146" s="10" t="str">
        <f>'2020'!I52</f>
        <v>Sze</v>
      </c>
      <c r="J146" s="10" t="str">
        <f>'2020'!J52</f>
        <v>Cs</v>
      </c>
      <c r="K146" s="10" t="str">
        <f>'2020'!K52</f>
        <v>P</v>
      </c>
      <c r="L146" s="10" t="str">
        <f>'2020'!L52</f>
        <v>Szo</v>
      </c>
      <c r="M146" s="10" t="str">
        <f>'2020'!M52</f>
        <v>V</v>
      </c>
      <c r="N146" s="10" t="str">
        <f>'2020'!N52</f>
        <v>H</v>
      </c>
      <c r="O146" s="10" t="str">
        <f>'2020'!O52</f>
        <v>K</v>
      </c>
      <c r="P146" s="10" t="str">
        <f>'2020'!P52</f>
        <v>Sze</v>
      </c>
      <c r="Q146" s="10" t="str">
        <f>'2020'!Q52</f>
        <v>Cs</v>
      </c>
      <c r="R146" s="10" t="str">
        <f>'2020'!R52</f>
        <v>P</v>
      </c>
      <c r="S146" s="10" t="str">
        <f>'2020'!S52</f>
        <v>Szo</v>
      </c>
      <c r="T146" s="10" t="str">
        <f>'2020'!T52</f>
        <v>V</v>
      </c>
      <c r="U146" s="10" t="str">
        <f>'2020'!U52</f>
        <v>H</v>
      </c>
      <c r="V146" s="10" t="str">
        <f>'2020'!V52</f>
        <v>K</v>
      </c>
      <c r="W146" s="10" t="str">
        <f>'2020'!W52</f>
        <v>Sze</v>
      </c>
      <c r="X146" s="10" t="str">
        <f>'2020'!X52</f>
        <v>Cs</v>
      </c>
      <c r="Y146" s="10" t="str">
        <f>'2020'!Y52</f>
        <v>P</v>
      </c>
      <c r="Z146" s="10" t="str">
        <f>'2020'!Z52</f>
        <v>Szo</v>
      </c>
      <c r="AA146" s="10" t="str">
        <f>'2020'!AA52</f>
        <v>V</v>
      </c>
      <c r="AB146" s="10" t="str">
        <f>'2020'!AB52</f>
        <v>H</v>
      </c>
      <c r="AC146" s="10" t="str">
        <f>'2020'!AC52</f>
        <v>K</v>
      </c>
      <c r="AD146" s="10" t="str">
        <f>'2020'!AD52</f>
        <v>Sze</v>
      </c>
      <c r="AE146" s="10" t="str">
        <f>'2020'!AE52</f>
        <v>Cs</v>
      </c>
      <c r="AF146" s="10" t="str">
        <f>'2020'!AF52</f>
        <v>P</v>
      </c>
      <c r="AH146" s="94"/>
      <c r="AI146" s="94"/>
    </row>
    <row r="147" spans="1:35" ht="20.100000000000001" customHeight="1">
      <c r="A147" s="96"/>
      <c r="B147" s="10" t="str">
        <f>'2020'!B55</f>
        <v>X</v>
      </c>
      <c r="C147" s="10" t="str">
        <f>'2020'!C55</f>
        <v>X</v>
      </c>
      <c r="D147" s="10">
        <f>'2020'!D55</f>
        <v>2</v>
      </c>
      <c r="E147" s="10">
        <f>'2020'!E55</f>
        <v>2</v>
      </c>
      <c r="F147" s="10">
        <f>'2020'!F55</f>
        <v>2</v>
      </c>
      <c r="G147" s="10">
        <f>'2020'!G55</f>
        <v>2</v>
      </c>
      <c r="H147" s="10">
        <f>'2020'!H55</f>
        <v>2</v>
      </c>
      <c r="I147" s="10">
        <f>'2020'!I55</f>
        <v>2</v>
      </c>
      <c r="J147" s="10" t="str">
        <f>'2020'!J55</f>
        <v>X</v>
      </c>
      <c r="K147" s="10" t="str">
        <f>'2020'!K55</f>
        <v>X</v>
      </c>
      <c r="L147" s="10">
        <f>'2020'!L55</f>
        <v>1</v>
      </c>
      <c r="M147" s="10">
        <f>'2020'!M55</f>
        <v>1</v>
      </c>
      <c r="N147" s="10">
        <f>'2020'!N55</f>
        <v>1</v>
      </c>
      <c r="O147" s="10">
        <f>'2020'!O55</f>
        <v>1</v>
      </c>
      <c r="P147" s="10">
        <f>'2020'!P55</f>
        <v>1</v>
      </c>
      <c r="Q147" s="10">
        <f>'2020'!Q55</f>
        <v>1</v>
      </c>
      <c r="R147" s="10" t="str">
        <f>'2020'!R55</f>
        <v>X</v>
      </c>
      <c r="S147" s="10" t="str">
        <f>'2020'!S55</f>
        <v>X</v>
      </c>
      <c r="T147" s="10">
        <f>'2020'!T55</f>
        <v>3</v>
      </c>
      <c r="U147" s="10">
        <f>'2020'!U55</f>
        <v>3</v>
      </c>
      <c r="V147" s="10">
        <f>'2020'!V55</f>
        <v>3</v>
      </c>
      <c r="W147" s="10">
        <f>'2020'!W55</f>
        <v>3</v>
      </c>
      <c r="X147" s="10">
        <f>'2020'!X55</f>
        <v>3</v>
      </c>
      <c r="Y147" s="10">
        <f>'2020'!Y55</f>
        <v>3</v>
      </c>
      <c r="Z147" s="10" t="str">
        <f>'2020'!Z55</f>
        <v>X</v>
      </c>
      <c r="AA147" s="10" t="str">
        <f>'2020'!AA55</f>
        <v>X</v>
      </c>
      <c r="AB147" s="10">
        <f>'2020'!AB55</f>
        <v>2</v>
      </c>
      <c r="AC147" s="10">
        <f>'2020'!AC55</f>
        <v>2</v>
      </c>
      <c r="AD147" s="10">
        <f>'2020'!AD55</f>
        <v>2</v>
      </c>
      <c r="AE147" s="10">
        <f>'2020'!AE55</f>
        <v>2</v>
      </c>
      <c r="AF147" s="10">
        <f>'2020'!AF55</f>
        <v>2</v>
      </c>
      <c r="AH147" s="94"/>
      <c r="AI147" s="94"/>
    </row>
    <row r="148" spans="1:35" ht="20.100000000000001" customHeight="1">
      <c r="A148" s="18" t="str">
        <f>ÖSSZES!$A$49</f>
        <v>Kuik-Filep András</v>
      </c>
      <c r="B148" s="58" t="s">
        <v>2</v>
      </c>
      <c r="C148" s="58" t="s">
        <v>2</v>
      </c>
      <c r="D148" s="31"/>
      <c r="E148" s="31"/>
      <c r="F148" s="31"/>
      <c r="G148" s="31"/>
      <c r="H148" s="33"/>
      <c r="I148" s="33"/>
      <c r="J148" s="58" t="s">
        <v>2</v>
      </c>
      <c r="K148" s="58" t="s">
        <v>2</v>
      </c>
      <c r="L148" s="31"/>
      <c r="M148" s="31"/>
      <c r="N148" s="31"/>
      <c r="O148" s="31"/>
      <c r="P148" s="33"/>
      <c r="Q148" s="33"/>
      <c r="R148" s="58" t="s">
        <v>2</v>
      </c>
      <c r="S148" s="58" t="s">
        <v>2</v>
      </c>
      <c r="T148" s="31"/>
      <c r="U148" s="31"/>
      <c r="V148" s="31"/>
      <c r="W148" s="31"/>
      <c r="X148" s="33"/>
      <c r="Y148" s="33"/>
      <c r="Z148" s="58" t="s">
        <v>2</v>
      </c>
      <c r="AA148" s="58" t="s">
        <v>2</v>
      </c>
      <c r="AB148" s="31"/>
      <c r="AC148" s="31"/>
      <c r="AD148" s="31"/>
      <c r="AE148" s="31"/>
      <c r="AF148" s="33"/>
      <c r="AH148" s="16">
        <f>1*COUNTIF(A148:AF148,"+")</f>
        <v>0</v>
      </c>
      <c r="AI148" s="16">
        <f t="shared" ref="AI148" si="17">1*COUNTIF(B148:AF148,"szf")</f>
        <v>0</v>
      </c>
    </row>
    <row r="149" spans="1:35" ht="20.100000000000001" customHeight="1">
      <c r="A149" s="18" t="str">
        <f>ÖSSZES!$A$50</f>
        <v>Balogh Zsolt</v>
      </c>
      <c r="B149" s="58" t="s">
        <v>2</v>
      </c>
      <c r="C149" s="58" t="s">
        <v>2</v>
      </c>
      <c r="D149" s="31"/>
      <c r="E149" s="31"/>
      <c r="F149" s="31"/>
      <c r="G149" s="31"/>
      <c r="H149" s="33"/>
      <c r="I149" s="33"/>
      <c r="J149" s="58" t="s">
        <v>2</v>
      </c>
      <c r="K149" s="58" t="s">
        <v>2</v>
      </c>
      <c r="L149" s="31"/>
      <c r="M149" s="31"/>
      <c r="N149" s="31"/>
      <c r="O149" s="31"/>
      <c r="P149" s="33"/>
      <c r="Q149" s="33"/>
      <c r="R149" s="58" t="s">
        <v>2</v>
      </c>
      <c r="S149" s="58" t="s">
        <v>2</v>
      </c>
      <c r="T149" s="31"/>
      <c r="U149" s="31"/>
      <c r="V149" s="31"/>
      <c r="W149" s="31"/>
      <c r="X149" s="33"/>
      <c r="Y149" s="33"/>
      <c r="Z149" s="58" t="s">
        <v>2</v>
      </c>
      <c r="AA149" s="58" t="s">
        <v>2</v>
      </c>
      <c r="AB149" s="31"/>
      <c r="AC149" s="31"/>
      <c r="AD149" s="31"/>
      <c r="AE149" s="31"/>
      <c r="AF149" s="33"/>
      <c r="AH149" s="16">
        <f t="shared" ref="AH149:AH167" si="18">1*COUNTIF(A149:AF149,"+")</f>
        <v>0</v>
      </c>
      <c r="AI149" s="16">
        <f t="shared" ref="AI149:AI167" si="19">1*COUNTIF(B149:AF149,"szf")</f>
        <v>0</v>
      </c>
    </row>
    <row r="150" spans="1:35" ht="20.100000000000001" customHeight="1">
      <c r="A150" s="18" t="str">
        <f>ÖSSZES!$A$51</f>
        <v>Éliás Viktor</v>
      </c>
      <c r="B150" s="58" t="s">
        <v>2</v>
      </c>
      <c r="C150" s="58" t="s">
        <v>2</v>
      </c>
      <c r="D150" s="31"/>
      <c r="E150" s="31"/>
      <c r="F150" s="31"/>
      <c r="G150" s="31"/>
      <c r="H150" s="33"/>
      <c r="I150" s="33"/>
      <c r="J150" s="58" t="s">
        <v>2</v>
      </c>
      <c r="K150" s="58" t="s">
        <v>2</v>
      </c>
      <c r="L150" s="31"/>
      <c r="M150" s="31"/>
      <c r="N150" s="31"/>
      <c r="O150" s="31"/>
      <c r="P150" s="33"/>
      <c r="Q150" s="33"/>
      <c r="R150" s="58" t="s">
        <v>2</v>
      </c>
      <c r="S150" s="58" t="s">
        <v>2</v>
      </c>
      <c r="T150" s="31"/>
      <c r="U150" s="31"/>
      <c r="V150" s="31"/>
      <c r="W150" s="31"/>
      <c r="X150" s="33"/>
      <c r="Y150" s="33"/>
      <c r="Z150" s="58" t="s">
        <v>2</v>
      </c>
      <c r="AA150" s="58" t="s">
        <v>2</v>
      </c>
      <c r="AB150" s="31"/>
      <c r="AC150" s="31"/>
      <c r="AD150" s="31"/>
      <c r="AE150" s="31"/>
      <c r="AF150" s="33"/>
      <c r="AH150" s="16">
        <f t="shared" si="18"/>
        <v>0</v>
      </c>
      <c r="AI150" s="16">
        <f t="shared" si="19"/>
        <v>0</v>
      </c>
    </row>
    <row r="151" spans="1:35" ht="20.100000000000001" customHeight="1">
      <c r="A151" s="18" t="str">
        <f>ÖSSZES!$A$52</f>
        <v>Hadházi Kálmán</v>
      </c>
      <c r="B151" s="58" t="s">
        <v>2</v>
      </c>
      <c r="C151" s="58" t="s">
        <v>2</v>
      </c>
      <c r="D151" s="31"/>
      <c r="E151" s="31"/>
      <c r="F151" s="31"/>
      <c r="G151" s="31"/>
      <c r="H151" s="33"/>
      <c r="I151" s="33"/>
      <c r="J151" s="58" t="s">
        <v>2</v>
      </c>
      <c r="K151" s="58" t="s">
        <v>2</v>
      </c>
      <c r="L151" s="31"/>
      <c r="M151" s="31"/>
      <c r="N151" s="31"/>
      <c r="O151" s="31"/>
      <c r="P151" s="33"/>
      <c r="Q151" s="33"/>
      <c r="R151" s="58" t="s">
        <v>2</v>
      </c>
      <c r="S151" s="58" t="s">
        <v>2</v>
      </c>
      <c r="T151" s="31"/>
      <c r="U151" s="31"/>
      <c r="V151" s="31"/>
      <c r="W151" s="31"/>
      <c r="X151" s="33"/>
      <c r="Y151" s="33"/>
      <c r="Z151" s="58" t="s">
        <v>2</v>
      </c>
      <c r="AA151" s="58" t="s">
        <v>2</v>
      </c>
      <c r="AB151" s="31"/>
      <c r="AC151" s="31"/>
      <c r="AD151" s="31"/>
      <c r="AE151" s="31"/>
      <c r="AF151" s="33"/>
      <c r="AH151" s="16">
        <f t="shared" si="18"/>
        <v>0</v>
      </c>
      <c r="AI151" s="16">
        <f t="shared" si="19"/>
        <v>0</v>
      </c>
    </row>
    <row r="152" spans="1:35" ht="20.100000000000001" customHeight="1">
      <c r="A152" s="18" t="str">
        <f>ÖSSZES!$A$53</f>
        <v>Kiss Attila</v>
      </c>
      <c r="B152" s="58" t="s">
        <v>2</v>
      </c>
      <c r="C152" s="58" t="s">
        <v>2</v>
      </c>
      <c r="D152" s="31"/>
      <c r="E152" s="31"/>
      <c r="F152" s="31"/>
      <c r="G152" s="31"/>
      <c r="H152" s="33"/>
      <c r="I152" s="33"/>
      <c r="J152" s="58" t="s">
        <v>2</v>
      </c>
      <c r="K152" s="58" t="s">
        <v>2</v>
      </c>
      <c r="L152" s="31"/>
      <c r="M152" s="31"/>
      <c r="N152" s="31"/>
      <c r="O152" s="31"/>
      <c r="P152" s="33"/>
      <c r="Q152" s="33"/>
      <c r="R152" s="58" t="s">
        <v>2</v>
      </c>
      <c r="S152" s="58" t="s">
        <v>2</v>
      </c>
      <c r="T152" s="31"/>
      <c r="U152" s="31"/>
      <c r="V152" s="31"/>
      <c r="W152" s="31"/>
      <c r="X152" s="33"/>
      <c r="Y152" s="33"/>
      <c r="Z152" s="58" t="s">
        <v>2</v>
      </c>
      <c r="AA152" s="58" t="s">
        <v>2</v>
      </c>
      <c r="AB152" s="31"/>
      <c r="AC152" s="31"/>
      <c r="AD152" s="31"/>
      <c r="AE152" s="31"/>
      <c r="AF152" s="33"/>
      <c r="AH152" s="16">
        <f t="shared" si="18"/>
        <v>0</v>
      </c>
      <c r="AI152" s="16">
        <f t="shared" si="19"/>
        <v>0</v>
      </c>
    </row>
    <row r="153" spans="1:35" ht="20.100000000000001" customHeight="1">
      <c r="A153" s="18" t="str">
        <f>ÖSSZES!$A$54</f>
        <v>Serestyén Dániel</v>
      </c>
      <c r="B153" s="58" t="s">
        <v>2</v>
      </c>
      <c r="C153" s="58" t="s">
        <v>2</v>
      </c>
      <c r="D153" s="31"/>
      <c r="E153" s="31"/>
      <c r="F153" s="31"/>
      <c r="G153" s="31"/>
      <c r="H153" s="33"/>
      <c r="I153" s="33"/>
      <c r="J153" s="58" t="s">
        <v>2</v>
      </c>
      <c r="K153" s="58" t="s">
        <v>2</v>
      </c>
      <c r="L153" s="31"/>
      <c r="M153" s="31"/>
      <c r="N153" s="31"/>
      <c r="O153" s="31"/>
      <c r="P153" s="33"/>
      <c r="Q153" s="33"/>
      <c r="R153" s="58" t="s">
        <v>2</v>
      </c>
      <c r="S153" s="58" t="s">
        <v>2</v>
      </c>
      <c r="T153" s="31"/>
      <c r="U153" s="31"/>
      <c r="V153" s="31"/>
      <c r="W153" s="31"/>
      <c r="X153" s="33"/>
      <c r="Y153" s="33"/>
      <c r="Z153" s="58" t="s">
        <v>2</v>
      </c>
      <c r="AA153" s="58" t="s">
        <v>2</v>
      </c>
      <c r="AB153" s="31"/>
      <c r="AC153" s="31"/>
      <c r="AD153" s="31"/>
      <c r="AE153" s="31"/>
      <c r="AF153" s="33"/>
      <c r="AH153" s="16">
        <f t="shared" si="18"/>
        <v>0</v>
      </c>
      <c r="AI153" s="16">
        <f t="shared" si="19"/>
        <v>0</v>
      </c>
    </row>
    <row r="154" spans="1:35" ht="20.100000000000001" customHeight="1">
      <c r="A154" s="18" t="str">
        <f>ÖSSZES!$A$55</f>
        <v>Varga Imre</v>
      </c>
      <c r="B154" s="58" t="s">
        <v>2</v>
      </c>
      <c r="C154" s="58" t="s">
        <v>2</v>
      </c>
      <c r="D154" s="31"/>
      <c r="E154" s="31"/>
      <c r="F154" s="31"/>
      <c r="G154" s="31"/>
      <c r="H154" s="33"/>
      <c r="I154" s="33"/>
      <c r="J154" s="58" t="s">
        <v>2</v>
      </c>
      <c r="K154" s="58" t="s">
        <v>2</v>
      </c>
      <c r="L154" s="31"/>
      <c r="M154" s="31"/>
      <c r="N154" s="31"/>
      <c r="O154" s="31"/>
      <c r="P154" s="33"/>
      <c r="Q154" s="33"/>
      <c r="R154" s="58" t="s">
        <v>2</v>
      </c>
      <c r="S154" s="58" t="s">
        <v>2</v>
      </c>
      <c r="T154" s="31"/>
      <c r="U154" s="31"/>
      <c r="V154" s="31"/>
      <c r="W154" s="31"/>
      <c r="X154" s="33"/>
      <c r="Y154" s="33"/>
      <c r="Z154" s="58" t="s">
        <v>2</v>
      </c>
      <c r="AA154" s="58" t="s">
        <v>2</v>
      </c>
      <c r="AB154" s="31"/>
      <c r="AC154" s="31"/>
      <c r="AD154" s="31"/>
      <c r="AE154" s="31"/>
      <c r="AF154" s="33"/>
      <c r="AH154" s="16">
        <f t="shared" si="18"/>
        <v>0</v>
      </c>
      <c r="AI154" s="16">
        <f t="shared" si="19"/>
        <v>0</v>
      </c>
    </row>
    <row r="155" spans="1:35" ht="20.100000000000001" hidden="1" customHeight="1">
      <c r="A155" s="18" t="str">
        <f>ÖSSZES!$A$56</f>
        <v>Név8</v>
      </c>
      <c r="B155" s="58" t="s">
        <v>2</v>
      </c>
      <c r="C155" s="58" t="s">
        <v>2</v>
      </c>
      <c r="D155" s="31"/>
      <c r="E155" s="31"/>
      <c r="F155" s="31"/>
      <c r="G155" s="31"/>
      <c r="H155" s="33"/>
      <c r="I155" s="33"/>
      <c r="J155" s="58" t="s">
        <v>2</v>
      </c>
      <c r="K155" s="58" t="s">
        <v>2</v>
      </c>
      <c r="L155" s="31"/>
      <c r="M155" s="31"/>
      <c r="N155" s="31"/>
      <c r="O155" s="31"/>
      <c r="P155" s="33"/>
      <c r="Q155" s="33"/>
      <c r="R155" s="58" t="s">
        <v>2</v>
      </c>
      <c r="S155" s="58" t="s">
        <v>2</v>
      </c>
      <c r="T155" s="31"/>
      <c r="U155" s="31"/>
      <c r="V155" s="31"/>
      <c r="W155" s="31"/>
      <c r="X155" s="33"/>
      <c r="Y155" s="33"/>
      <c r="Z155" s="58" t="s">
        <v>2</v>
      </c>
      <c r="AA155" s="58" t="s">
        <v>2</v>
      </c>
      <c r="AB155" s="31"/>
      <c r="AC155" s="31"/>
      <c r="AD155" s="31"/>
      <c r="AE155" s="31"/>
      <c r="AF155" s="33"/>
      <c r="AH155" s="16">
        <f t="shared" si="18"/>
        <v>0</v>
      </c>
      <c r="AI155" s="16">
        <f t="shared" si="19"/>
        <v>0</v>
      </c>
    </row>
    <row r="156" spans="1:35" ht="20.100000000000001" hidden="1" customHeight="1">
      <c r="A156" s="18" t="str">
        <f>ÖSSZES!$A$57</f>
        <v>Név9</v>
      </c>
      <c r="B156" s="58" t="s">
        <v>2</v>
      </c>
      <c r="C156" s="58" t="s">
        <v>2</v>
      </c>
      <c r="D156" s="31"/>
      <c r="E156" s="31"/>
      <c r="F156" s="31"/>
      <c r="G156" s="31"/>
      <c r="H156" s="33"/>
      <c r="I156" s="33"/>
      <c r="J156" s="58" t="s">
        <v>2</v>
      </c>
      <c r="K156" s="58" t="s">
        <v>2</v>
      </c>
      <c r="L156" s="31"/>
      <c r="M156" s="31"/>
      <c r="N156" s="31"/>
      <c r="O156" s="31"/>
      <c r="P156" s="33"/>
      <c r="Q156" s="33"/>
      <c r="R156" s="58" t="s">
        <v>2</v>
      </c>
      <c r="S156" s="58" t="s">
        <v>2</v>
      </c>
      <c r="T156" s="31"/>
      <c r="U156" s="31"/>
      <c r="V156" s="31"/>
      <c r="W156" s="31"/>
      <c r="X156" s="33"/>
      <c r="Y156" s="33"/>
      <c r="Z156" s="58" t="s">
        <v>2</v>
      </c>
      <c r="AA156" s="58" t="s">
        <v>2</v>
      </c>
      <c r="AB156" s="31"/>
      <c r="AC156" s="31"/>
      <c r="AD156" s="31"/>
      <c r="AE156" s="31"/>
      <c r="AF156" s="33"/>
      <c r="AH156" s="16">
        <f t="shared" si="18"/>
        <v>0</v>
      </c>
      <c r="AI156" s="16">
        <f t="shared" si="19"/>
        <v>0</v>
      </c>
    </row>
    <row r="157" spans="1:35" ht="20.100000000000001" hidden="1" customHeight="1">
      <c r="A157" s="18" t="str">
        <f>ÖSSZES!$A$58</f>
        <v>Név10</v>
      </c>
      <c r="B157" s="58" t="s">
        <v>2</v>
      </c>
      <c r="C157" s="58" t="s">
        <v>2</v>
      </c>
      <c r="D157" s="31"/>
      <c r="E157" s="31"/>
      <c r="F157" s="31"/>
      <c r="G157" s="31"/>
      <c r="H157" s="33"/>
      <c r="I157" s="33"/>
      <c r="J157" s="58" t="s">
        <v>2</v>
      </c>
      <c r="K157" s="58" t="s">
        <v>2</v>
      </c>
      <c r="L157" s="31"/>
      <c r="M157" s="31"/>
      <c r="N157" s="31"/>
      <c r="O157" s="31"/>
      <c r="P157" s="33"/>
      <c r="Q157" s="33"/>
      <c r="R157" s="58" t="s">
        <v>2</v>
      </c>
      <c r="S157" s="58" t="s">
        <v>2</v>
      </c>
      <c r="T157" s="31"/>
      <c r="U157" s="31"/>
      <c r="V157" s="31"/>
      <c r="W157" s="31"/>
      <c r="X157" s="33"/>
      <c r="Y157" s="33"/>
      <c r="Z157" s="58" t="s">
        <v>2</v>
      </c>
      <c r="AA157" s="58" t="s">
        <v>2</v>
      </c>
      <c r="AB157" s="31"/>
      <c r="AC157" s="31"/>
      <c r="AD157" s="31"/>
      <c r="AE157" s="31"/>
      <c r="AF157" s="33"/>
      <c r="AH157" s="16">
        <f t="shared" si="18"/>
        <v>0</v>
      </c>
      <c r="AI157" s="16">
        <f t="shared" si="19"/>
        <v>0</v>
      </c>
    </row>
    <row r="158" spans="1:35" ht="20.100000000000001" hidden="1" customHeight="1">
      <c r="A158" s="18" t="str">
        <f>ÖSSZES!$A$59</f>
        <v>Név11</v>
      </c>
      <c r="B158" s="58" t="s">
        <v>2</v>
      </c>
      <c r="C158" s="58" t="s">
        <v>2</v>
      </c>
      <c r="D158" s="31"/>
      <c r="E158" s="31"/>
      <c r="F158" s="31"/>
      <c r="G158" s="31"/>
      <c r="H158" s="33"/>
      <c r="I158" s="33"/>
      <c r="J158" s="58" t="s">
        <v>2</v>
      </c>
      <c r="K158" s="58" t="s">
        <v>2</v>
      </c>
      <c r="L158" s="31"/>
      <c r="M158" s="31"/>
      <c r="N158" s="31"/>
      <c r="O158" s="31"/>
      <c r="P158" s="33"/>
      <c r="Q158" s="33"/>
      <c r="R158" s="58" t="s">
        <v>2</v>
      </c>
      <c r="S158" s="58" t="s">
        <v>2</v>
      </c>
      <c r="T158" s="31"/>
      <c r="U158" s="31"/>
      <c r="V158" s="31"/>
      <c r="W158" s="31"/>
      <c r="X158" s="33"/>
      <c r="Y158" s="33"/>
      <c r="Z158" s="58" t="s">
        <v>2</v>
      </c>
      <c r="AA158" s="58" t="s">
        <v>2</v>
      </c>
      <c r="AB158" s="31"/>
      <c r="AC158" s="31"/>
      <c r="AD158" s="31"/>
      <c r="AE158" s="31"/>
      <c r="AF158" s="33"/>
      <c r="AH158" s="16">
        <f t="shared" si="18"/>
        <v>0</v>
      </c>
      <c r="AI158" s="16">
        <f t="shared" si="19"/>
        <v>0</v>
      </c>
    </row>
    <row r="159" spans="1:35" ht="20.100000000000001" hidden="1" customHeight="1">
      <c r="A159" s="18" t="str">
        <f>ÖSSZES!$A$60</f>
        <v>Név12</v>
      </c>
      <c r="B159" s="58" t="s">
        <v>2</v>
      </c>
      <c r="C159" s="58" t="s">
        <v>2</v>
      </c>
      <c r="D159" s="31"/>
      <c r="E159" s="31"/>
      <c r="F159" s="31"/>
      <c r="G159" s="31"/>
      <c r="H159" s="33"/>
      <c r="I159" s="33"/>
      <c r="J159" s="58" t="s">
        <v>2</v>
      </c>
      <c r="K159" s="58" t="s">
        <v>2</v>
      </c>
      <c r="L159" s="31"/>
      <c r="M159" s="31"/>
      <c r="N159" s="31"/>
      <c r="O159" s="31"/>
      <c r="P159" s="33"/>
      <c r="Q159" s="33"/>
      <c r="R159" s="58" t="s">
        <v>2</v>
      </c>
      <c r="S159" s="58" t="s">
        <v>2</v>
      </c>
      <c r="T159" s="31"/>
      <c r="U159" s="31"/>
      <c r="V159" s="31"/>
      <c r="W159" s="31"/>
      <c r="X159" s="33"/>
      <c r="Y159" s="33"/>
      <c r="Z159" s="58" t="s">
        <v>2</v>
      </c>
      <c r="AA159" s="58" t="s">
        <v>2</v>
      </c>
      <c r="AB159" s="31"/>
      <c r="AC159" s="31"/>
      <c r="AD159" s="31"/>
      <c r="AE159" s="31"/>
      <c r="AF159" s="33"/>
      <c r="AH159" s="16">
        <f t="shared" si="18"/>
        <v>0</v>
      </c>
      <c r="AI159" s="16">
        <f t="shared" si="19"/>
        <v>0</v>
      </c>
    </row>
    <row r="160" spans="1:35" ht="20.100000000000001" hidden="1" customHeight="1">
      <c r="A160" s="18" t="str">
        <f>ÖSSZES!$A$61</f>
        <v>Név13</v>
      </c>
      <c r="B160" s="58" t="s">
        <v>2</v>
      </c>
      <c r="C160" s="58" t="s">
        <v>2</v>
      </c>
      <c r="D160" s="31"/>
      <c r="E160" s="31"/>
      <c r="F160" s="31"/>
      <c r="G160" s="31"/>
      <c r="H160" s="33"/>
      <c r="I160" s="33"/>
      <c r="J160" s="58" t="s">
        <v>2</v>
      </c>
      <c r="K160" s="58" t="s">
        <v>2</v>
      </c>
      <c r="L160" s="31"/>
      <c r="M160" s="31"/>
      <c r="N160" s="31"/>
      <c r="O160" s="31"/>
      <c r="P160" s="33"/>
      <c r="Q160" s="33"/>
      <c r="R160" s="58" t="s">
        <v>2</v>
      </c>
      <c r="S160" s="58" t="s">
        <v>2</v>
      </c>
      <c r="T160" s="31"/>
      <c r="U160" s="31"/>
      <c r="V160" s="31"/>
      <c r="W160" s="31"/>
      <c r="X160" s="33"/>
      <c r="Y160" s="33"/>
      <c r="Z160" s="58" t="s">
        <v>2</v>
      </c>
      <c r="AA160" s="58" t="s">
        <v>2</v>
      </c>
      <c r="AB160" s="31"/>
      <c r="AC160" s="31"/>
      <c r="AD160" s="31"/>
      <c r="AE160" s="31"/>
      <c r="AF160" s="33"/>
      <c r="AH160" s="16">
        <f t="shared" si="18"/>
        <v>0</v>
      </c>
      <c r="AI160" s="16">
        <f t="shared" si="19"/>
        <v>0</v>
      </c>
    </row>
    <row r="161" spans="1:35" ht="20.100000000000001" hidden="1" customHeight="1">
      <c r="A161" s="18" t="str">
        <f>ÖSSZES!$A$62</f>
        <v>Név14</v>
      </c>
      <c r="B161" s="58" t="s">
        <v>2</v>
      </c>
      <c r="C161" s="58" t="s">
        <v>2</v>
      </c>
      <c r="D161" s="31"/>
      <c r="E161" s="31"/>
      <c r="F161" s="31"/>
      <c r="G161" s="31"/>
      <c r="H161" s="33"/>
      <c r="I161" s="33"/>
      <c r="J161" s="58" t="s">
        <v>2</v>
      </c>
      <c r="K161" s="58" t="s">
        <v>2</v>
      </c>
      <c r="L161" s="31"/>
      <c r="M161" s="31"/>
      <c r="N161" s="31"/>
      <c r="O161" s="31"/>
      <c r="P161" s="33"/>
      <c r="Q161" s="33"/>
      <c r="R161" s="58" t="s">
        <v>2</v>
      </c>
      <c r="S161" s="58" t="s">
        <v>2</v>
      </c>
      <c r="T161" s="31"/>
      <c r="U161" s="31"/>
      <c r="V161" s="31"/>
      <c r="W161" s="31"/>
      <c r="X161" s="33"/>
      <c r="Y161" s="33"/>
      <c r="Z161" s="58" t="s">
        <v>2</v>
      </c>
      <c r="AA161" s="58" t="s">
        <v>2</v>
      </c>
      <c r="AB161" s="31"/>
      <c r="AC161" s="31"/>
      <c r="AD161" s="31"/>
      <c r="AE161" s="31"/>
      <c r="AF161" s="33"/>
      <c r="AH161" s="16">
        <f t="shared" si="18"/>
        <v>0</v>
      </c>
      <c r="AI161" s="16">
        <f t="shared" si="19"/>
        <v>0</v>
      </c>
    </row>
    <row r="162" spans="1:35" ht="20.100000000000001" hidden="1" customHeight="1">
      <c r="A162" s="18" t="str">
        <f>ÖSSZES!$A$63</f>
        <v>Név15</v>
      </c>
      <c r="B162" s="58" t="s">
        <v>2</v>
      </c>
      <c r="C162" s="58" t="s">
        <v>2</v>
      </c>
      <c r="D162" s="31"/>
      <c r="E162" s="31"/>
      <c r="F162" s="31"/>
      <c r="G162" s="31"/>
      <c r="H162" s="33"/>
      <c r="I162" s="33"/>
      <c r="J162" s="58" t="s">
        <v>2</v>
      </c>
      <c r="K162" s="58" t="s">
        <v>2</v>
      </c>
      <c r="L162" s="31"/>
      <c r="M162" s="31"/>
      <c r="N162" s="31"/>
      <c r="O162" s="31"/>
      <c r="P162" s="33"/>
      <c r="Q162" s="33"/>
      <c r="R162" s="58" t="s">
        <v>2</v>
      </c>
      <c r="S162" s="58" t="s">
        <v>2</v>
      </c>
      <c r="T162" s="31"/>
      <c r="U162" s="31"/>
      <c r="V162" s="31"/>
      <c r="W162" s="31"/>
      <c r="X162" s="33"/>
      <c r="Y162" s="33"/>
      <c r="Z162" s="58" t="s">
        <v>2</v>
      </c>
      <c r="AA162" s="58" t="s">
        <v>2</v>
      </c>
      <c r="AB162" s="31"/>
      <c r="AC162" s="31"/>
      <c r="AD162" s="31"/>
      <c r="AE162" s="31"/>
      <c r="AF162" s="33"/>
      <c r="AH162" s="16">
        <f t="shared" si="18"/>
        <v>0</v>
      </c>
      <c r="AI162" s="16">
        <f t="shared" si="19"/>
        <v>0</v>
      </c>
    </row>
    <row r="163" spans="1:35" ht="20.100000000000001" hidden="1" customHeight="1">
      <c r="A163" s="18" t="str">
        <f>ÖSSZES!$A$64</f>
        <v>Név16</v>
      </c>
      <c r="B163" s="58" t="s">
        <v>2</v>
      </c>
      <c r="C163" s="58" t="s">
        <v>2</v>
      </c>
      <c r="D163" s="31"/>
      <c r="E163" s="31"/>
      <c r="F163" s="31"/>
      <c r="G163" s="31"/>
      <c r="H163" s="33"/>
      <c r="I163" s="33"/>
      <c r="J163" s="58" t="s">
        <v>2</v>
      </c>
      <c r="K163" s="58" t="s">
        <v>2</v>
      </c>
      <c r="L163" s="31"/>
      <c r="M163" s="31"/>
      <c r="N163" s="31"/>
      <c r="O163" s="31"/>
      <c r="P163" s="33"/>
      <c r="Q163" s="33"/>
      <c r="R163" s="58" t="s">
        <v>2</v>
      </c>
      <c r="S163" s="58" t="s">
        <v>2</v>
      </c>
      <c r="T163" s="31"/>
      <c r="U163" s="31"/>
      <c r="V163" s="31"/>
      <c r="W163" s="31"/>
      <c r="X163" s="33"/>
      <c r="Y163" s="33"/>
      <c r="Z163" s="58" t="s">
        <v>2</v>
      </c>
      <c r="AA163" s="58" t="s">
        <v>2</v>
      </c>
      <c r="AB163" s="31"/>
      <c r="AC163" s="31"/>
      <c r="AD163" s="31"/>
      <c r="AE163" s="31"/>
      <c r="AF163" s="33"/>
      <c r="AH163" s="16">
        <f t="shared" si="18"/>
        <v>0</v>
      </c>
      <c r="AI163" s="16">
        <f t="shared" si="19"/>
        <v>0</v>
      </c>
    </row>
    <row r="164" spans="1:35" ht="20.100000000000001" hidden="1" customHeight="1">
      <c r="A164" s="18" t="str">
        <f>ÖSSZES!$A$65</f>
        <v>Név17</v>
      </c>
      <c r="B164" s="58" t="s">
        <v>2</v>
      </c>
      <c r="C164" s="58" t="s">
        <v>2</v>
      </c>
      <c r="D164" s="31"/>
      <c r="E164" s="31"/>
      <c r="F164" s="31"/>
      <c r="G164" s="31"/>
      <c r="H164" s="33"/>
      <c r="I164" s="33"/>
      <c r="J164" s="58" t="s">
        <v>2</v>
      </c>
      <c r="K164" s="58" t="s">
        <v>2</v>
      </c>
      <c r="L164" s="31"/>
      <c r="M164" s="31"/>
      <c r="N164" s="31"/>
      <c r="O164" s="31"/>
      <c r="P164" s="33"/>
      <c r="Q164" s="33"/>
      <c r="R164" s="58" t="s">
        <v>2</v>
      </c>
      <c r="S164" s="58" t="s">
        <v>2</v>
      </c>
      <c r="T164" s="31"/>
      <c r="U164" s="31"/>
      <c r="V164" s="31"/>
      <c r="W164" s="31"/>
      <c r="X164" s="33"/>
      <c r="Y164" s="33"/>
      <c r="Z164" s="58" t="s">
        <v>2</v>
      </c>
      <c r="AA164" s="58" t="s">
        <v>2</v>
      </c>
      <c r="AB164" s="31"/>
      <c r="AC164" s="31"/>
      <c r="AD164" s="31"/>
      <c r="AE164" s="31"/>
      <c r="AF164" s="33"/>
      <c r="AH164" s="16">
        <f t="shared" si="18"/>
        <v>0</v>
      </c>
      <c r="AI164" s="16">
        <f t="shared" si="19"/>
        <v>0</v>
      </c>
    </row>
    <row r="165" spans="1:35" ht="20.100000000000001" hidden="1" customHeight="1">
      <c r="A165" s="18" t="str">
        <f>ÖSSZES!$A$66</f>
        <v>Név18</v>
      </c>
      <c r="B165" s="58" t="s">
        <v>2</v>
      </c>
      <c r="C165" s="58" t="s">
        <v>2</v>
      </c>
      <c r="D165" s="31"/>
      <c r="E165" s="31"/>
      <c r="F165" s="31"/>
      <c r="G165" s="31"/>
      <c r="H165" s="33"/>
      <c r="I165" s="33"/>
      <c r="J165" s="58" t="s">
        <v>2</v>
      </c>
      <c r="K165" s="58" t="s">
        <v>2</v>
      </c>
      <c r="L165" s="31"/>
      <c r="M165" s="31"/>
      <c r="N165" s="31"/>
      <c r="O165" s="31"/>
      <c r="P165" s="33"/>
      <c r="Q165" s="33"/>
      <c r="R165" s="58" t="s">
        <v>2</v>
      </c>
      <c r="S165" s="58" t="s">
        <v>2</v>
      </c>
      <c r="T165" s="31"/>
      <c r="U165" s="31"/>
      <c r="V165" s="31"/>
      <c r="W165" s="31"/>
      <c r="X165" s="33"/>
      <c r="Y165" s="33"/>
      <c r="Z165" s="58" t="s">
        <v>2</v>
      </c>
      <c r="AA165" s="58" t="s">
        <v>2</v>
      </c>
      <c r="AB165" s="31"/>
      <c r="AC165" s="31"/>
      <c r="AD165" s="31"/>
      <c r="AE165" s="31"/>
      <c r="AF165" s="33"/>
      <c r="AH165" s="16">
        <f t="shared" si="18"/>
        <v>0</v>
      </c>
      <c r="AI165" s="16">
        <f t="shared" si="19"/>
        <v>0</v>
      </c>
    </row>
    <row r="166" spans="1:35" ht="20.100000000000001" hidden="1" customHeight="1">
      <c r="A166" s="18" t="str">
        <f>ÖSSZES!$A$67</f>
        <v>Név19</v>
      </c>
      <c r="B166" s="58" t="s">
        <v>2</v>
      </c>
      <c r="C166" s="58" t="s">
        <v>2</v>
      </c>
      <c r="D166" s="31"/>
      <c r="E166" s="31"/>
      <c r="F166" s="31"/>
      <c r="G166" s="31"/>
      <c r="H166" s="33"/>
      <c r="I166" s="33"/>
      <c r="J166" s="58" t="s">
        <v>2</v>
      </c>
      <c r="K166" s="58" t="s">
        <v>2</v>
      </c>
      <c r="L166" s="31"/>
      <c r="M166" s="31"/>
      <c r="N166" s="31"/>
      <c r="O166" s="31"/>
      <c r="P166" s="33"/>
      <c r="Q166" s="33"/>
      <c r="R166" s="58" t="s">
        <v>2</v>
      </c>
      <c r="S166" s="58" t="s">
        <v>2</v>
      </c>
      <c r="T166" s="31"/>
      <c r="U166" s="31"/>
      <c r="V166" s="31"/>
      <c r="W166" s="31"/>
      <c r="X166" s="33"/>
      <c r="Y166" s="33"/>
      <c r="Z166" s="58" t="s">
        <v>2</v>
      </c>
      <c r="AA166" s="58" t="s">
        <v>2</v>
      </c>
      <c r="AB166" s="31"/>
      <c r="AC166" s="31"/>
      <c r="AD166" s="31"/>
      <c r="AE166" s="31"/>
      <c r="AF166" s="33"/>
      <c r="AH166" s="16">
        <f t="shared" si="18"/>
        <v>0</v>
      </c>
      <c r="AI166" s="16">
        <f t="shared" si="19"/>
        <v>0</v>
      </c>
    </row>
    <row r="167" spans="1:35" ht="20.100000000000001" hidden="1" customHeight="1">
      <c r="A167" s="18" t="str">
        <f>ÖSSZES!$A$68</f>
        <v>Név20</v>
      </c>
      <c r="B167" s="58" t="s">
        <v>2</v>
      </c>
      <c r="C167" s="58" t="s">
        <v>2</v>
      </c>
      <c r="D167" s="31"/>
      <c r="E167" s="31"/>
      <c r="F167" s="31"/>
      <c r="G167" s="31"/>
      <c r="H167" s="33"/>
      <c r="I167" s="33"/>
      <c r="J167" s="58" t="s">
        <v>2</v>
      </c>
      <c r="K167" s="58" t="s">
        <v>2</v>
      </c>
      <c r="L167" s="31"/>
      <c r="M167" s="31"/>
      <c r="N167" s="31"/>
      <c r="O167" s="31"/>
      <c r="P167" s="33"/>
      <c r="Q167" s="33"/>
      <c r="R167" s="58" t="s">
        <v>2</v>
      </c>
      <c r="S167" s="58" t="s">
        <v>2</v>
      </c>
      <c r="T167" s="31"/>
      <c r="U167" s="31"/>
      <c r="V167" s="31"/>
      <c r="W167" s="31"/>
      <c r="X167" s="33"/>
      <c r="Y167" s="33"/>
      <c r="Z167" s="58" t="s">
        <v>2</v>
      </c>
      <c r="AA167" s="58" t="s">
        <v>2</v>
      </c>
      <c r="AB167" s="31"/>
      <c r="AC167" s="31"/>
      <c r="AD167" s="31"/>
      <c r="AE167" s="31"/>
      <c r="AF167" s="33"/>
      <c r="AH167" s="16">
        <f t="shared" si="18"/>
        <v>0</v>
      </c>
      <c r="AI167" s="16">
        <f t="shared" si="19"/>
        <v>0</v>
      </c>
    </row>
    <row r="168" spans="1:35" ht="20.100000000000001" customHeight="1"/>
    <row r="169" spans="1:35" s="6" customFormat="1" ht="20.100000000000001" customHeight="1">
      <c r="A169" s="91" t="s">
        <v>12</v>
      </c>
      <c r="B169" s="17">
        <v>1</v>
      </c>
      <c r="C169" s="17">
        <v>2</v>
      </c>
      <c r="D169" s="17">
        <v>3</v>
      </c>
      <c r="E169" s="17">
        <v>4</v>
      </c>
      <c r="F169" s="17">
        <v>5</v>
      </c>
      <c r="G169" s="17">
        <v>6</v>
      </c>
      <c r="H169" s="17">
        <v>7</v>
      </c>
      <c r="I169" s="17">
        <v>8</v>
      </c>
      <c r="J169" s="17">
        <v>9</v>
      </c>
      <c r="K169" s="17">
        <v>10</v>
      </c>
      <c r="L169" s="17">
        <v>11</v>
      </c>
      <c r="M169" s="17">
        <v>12</v>
      </c>
      <c r="N169" s="17">
        <v>13</v>
      </c>
      <c r="O169" s="17">
        <v>14</v>
      </c>
      <c r="P169" s="17">
        <v>15</v>
      </c>
      <c r="Q169" s="17">
        <v>16</v>
      </c>
      <c r="R169" s="17">
        <v>17</v>
      </c>
      <c r="S169" s="17">
        <v>18</v>
      </c>
      <c r="T169" s="17">
        <v>19</v>
      </c>
      <c r="U169" s="19">
        <v>20</v>
      </c>
      <c r="V169" s="17">
        <v>21</v>
      </c>
      <c r="W169" s="17">
        <v>22</v>
      </c>
      <c r="X169" s="17">
        <v>23</v>
      </c>
      <c r="Y169" s="17">
        <v>24</v>
      </c>
      <c r="Z169" s="17">
        <v>25</v>
      </c>
      <c r="AA169" s="17">
        <v>26</v>
      </c>
      <c r="AB169" s="17">
        <v>27</v>
      </c>
      <c r="AC169" s="17">
        <v>28</v>
      </c>
      <c r="AD169" s="17">
        <v>29</v>
      </c>
      <c r="AE169" s="17">
        <v>30</v>
      </c>
      <c r="AF169" s="17">
        <v>31</v>
      </c>
      <c r="AH169" s="93" t="s">
        <v>18</v>
      </c>
      <c r="AI169" s="93" t="s">
        <v>19</v>
      </c>
    </row>
    <row r="170" spans="1:35" ht="20.100000000000001" customHeight="1">
      <c r="A170" s="96"/>
      <c r="B170" s="10" t="str">
        <f>'2020'!B60</f>
        <v>Szo</v>
      </c>
      <c r="C170" s="10" t="str">
        <f>'2020'!C60</f>
        <v>V</v>
      </c>
      <c r="D170" s="10" t="str">
        <f>'2020'!D60</f>
        <v>H</v>
      </c>
      <c r="E170" s="10" t="str">
        <f>'2020'!E60</f>
        <v>K</v>
      </c>
      <c r="F170" s="10" t="str">
        <f>'2020'!F60</f>
        <v>Sze</v>
      </c>
      <c r="G170" s="10" t="str">
        <f>'2020'!G60</f>
        <v>Cs</v>
      </c>
      <c r="H170" s="10" t="str">
        <f>'2020'!H60</f>
        <v>P</v>
      </c>
      <c r="I170" s="10" t="str">
        <f>'2020'!I60</f>
        <v>Szo</v>
      </c>
      <c r="J170" s="10" t="str">
        <f>'2020'!J60</f>
        <v>V</v>
      </c>
      <c r="K170" s="10" t="str">
        <f>'2020'!K60</f>
        <v>H</v>
      </c>
      <c r="L170" s="10" t="str">
        <f>'2020'!L60</f>
        <v>K</v>
      </c>
      <c r="M170" s="10" t="str">
        <f>'2020'!M60</f>
        <v>Sze</v>
      </c>
      <c r="N170" s="10" t="str">
        <f>'2020'!N60</f>
        <v>Cs</v>
      </c>
      <c r="O170" s="10" t="str">
        <f>'2020'!O60</f>
        <v>P</v>
      </c>
      <c r="P170" s="10" t="str">
        <f>'2020'!P60</f>
        <v>Szo</v>
      </c>
      <c r="Q170" s="10" t="str">
        <f>'2020'!Q60</f>
        <v>V</v>
      </c>
      <c r="R170" s="10" t="str">
        <f>'2020'!R60</f>
        <v>H</v>
      </c>
      <c r="S170" s="10" t="str">
        <f>'2020'!S60</f>
        <v>K</v>
      </c>
      <c r="T170" s="10" t="str">
        <f>'2020'!T60</f>
        <v>Sze</v>
      </c>
      <c r="U170" s="10" t="str">
        <f>'2020'!U60</f>
        <v>Cs</v>
      </c>
      <c r="V170" s="10" t="str">
        <f>'2020'!V60</f>
        <v>P</v>
      </c>
      <c r="W170" s="10" t="str">
        <f>'2020'!W60</f>
        <v>Szo</v>
      </c>
      <c r="X170" s="10" t="str">
        <f>'2020'!X60</f>
        <v>V</v>
      </c>
      <c r="Y170" s="10" t="str">
        <f>'2020'!Y60</f>
        <v>H</v>
      </c>
      <c r="Z170" s="10" t="str">
        <f>'2020'!Z60</f>
        <v>K</v>
      </c>
      <c r="AA170" s="10" t="str">
        <f>'2020'!AA60</f>
        <v>Sze</v>
      </c>
      <c r="AB170" s="10" t="str">
        <f>'2020'!AB60</f>
        <v>Cs</v>
      </c>
      <c r="AC170" s="10" t="str">
        <f>'2020'!AC60</f>
        <v>P</v>
      </c>
      <c r="AD170" s="10" t="str">
        <f>'2020'!AD60</f>
        <v>Szo</v>
      </c>
      <c r="AE170" s="10" t="str">
        <f>'2020'!AE60</f>
        <v>V</v>
      </c>
      <c r="AF170" s="10" t="str">
        <f>'2020'!AF60</f>
        <v>H</v>
      </c>
      <c r="AH170" s="94"/>
      <c r="AI170" s="94"/>
    </row>
    <row r="171" spans="1:35" ht="20.100000000000001" customHeight="1">
      <c r="A171" s="96"/>
      <c r="B171" s="10">
        <f>'2020'!B63</f>
        <v>2</v>
      </c>
      <c r="C171" s="10" t="str">
        <f>'2020'!C63</f>
        <v>X</v>
      </c>
      <c r="D171" s="10" t="str">
        <f>'2020'!D63</f>
        <v>X</v>
      </c>
      <c r="E171" s="10">
        <f>'2020'!E63</f>
        <v>1</v>
      </c>
      <c r="F171" s="10">
        <f>'2020'!F63</f>
        <v>1</v>
      </c>
      <c r="G171" s="10">
        <f>'2020'!G63</f>
        <v>1</v>
      </c>
      <c r="H171" s="10">
        <f>'2020'!H63</f>
        <v>1</v>
      </c>
      <c r="I171" s="10">
        <f>'2020'!I63</f>
        <v>1</v>
      </c>
      <c r="J171" s="10">
        <f>'2020'!J63</f>
        <v>1</v>
      </c>
      <c r="K171" s="10" t="str">
        <f>'2020'!K63</f>
        <v>X</v>
      </c>
      <c r="L171" s="10" t="str">
        <f>'2020'!L63</f>
        <v>X</v>
      </c>
      <c r="M171" s="10">
        <f>'2020'!M63</f>
        <v>3</v>
      </c>
      <c r="N171" s="10">
        <f>'2020'!N63</f>
        <v>3</v>
      </c>
      <c r="O171" s="10">
        <f>'2020'!O63</f>
        <v>3</v>
      </c>
      <c r="P171" s="10">
        <f>'2020'!P63</f>
        <v>3</v>
      </c>
      <c r="Q171" s="10">
        <f>'2020'!Q63</f>
        <v>3</v>
      </c>
      <c r="R171" s="10">
        <f>'2020'!R63</f>
        <v>3</v>
      </c>
      <c r="S171" s="10" t="str">
        <f>'2020'!S63</f>
        <v>X</v>
      </c>
      <c r="T171" s="10" t="str">
        <f>'2020'!T63</f>
        <v>X</v>
      </c>
      <c r="U171" s="10">
        <f>'2020'!U63</f>
        <v>2</v>
      </c>
      <c r="V171" s="10">
        <f>'2020'!V63</f>
        <v>2</v>
      </c>
      <c r="W171" s="10">
        <f>'2020'!W63</f>
        <v>2</v>
      </c>
      <c r="X171" s="10">
        <f>'2020'!X63</f>
        <v>2</v>
      </c>
      <c r="Y171" s="10">
        <f>'2020'!Y63</f>
        <v>2</v>
      </c>
      <c r="Z171" s="10">
        <f>'2020'!Z63</f>
        <v>2</v>
      </c>
      <c r="AA171" s="10" t="str">
        <f>'2020'!AA63</f>
        <v>X</v>
      </c>
      <c r="AB171" s="10" t="str">
        <f>'2020'!AB63</f>
        <v>X</v>
      </c>
      <c r="AC171" s="10">
        <f>'2020'!AC63</f>
        <v>1</v>
      </c>
      <c r="AD171" s="10">
        <f>'2020'!AD63</f>
        <v>1</v>
      </c>
      <c r="AE171" s="10">
        <f>'2020'!AE63</f>
        <v>1</v>
      </c>
      <c r="AF171" s="10">
        <f>'2020'!AF63</f>
        <v>1</v>
      </c>
      <c r="AH171" s="94"/>
      <c r="AI171" s="94"/>
    </row>
    <row r="172" spans="1:35" ht="20.100000000000001" customHeight="1">
      <c r="A172" s="18" t="str">
        <f>ÖSSZES!$A$49</f>
        <v>Kuik-Filep András</v>
      </c>
      <c r="B172" s="33"/>
      <c r="C172" s="58" t="s">
        <v>2</v>
      </c>
      <c r="D172" s="58" t="s">
        <v>2</v>
      </c>
      <c r="E172" s="31"/>
      <c r="F172" s="31"/>
      <c r="G172" s="31"/>
      <c r="H172" s="31"/>
      <c r="I172" s="33"/>
      <c r="J172" s="33"/>
      <c r="K172" s="58" t="s">
        <v>2</v>
      </c>
      <c r="L172" s="58" t="s">
        <v>2</v>
      </c>
      <c r="M172" s="31"/>
      <c r="N172" s="31"/>
      <c r="O172" s="31"/>
      <c r="P172" s="31"/>
      <c r="Q172" s="33"/>
      <c r="R172" s="33"/>
      <c r="S172" s="58" t="s">
        <v>2</v>
      </c>
      <c r="T172" s="58" t="s">
        <v>2</v>
      </c>
      <c r="U172" s="59"/>
      <c r="V172" s="31"/>
      <c r="W172" s="31"/>
      <c r="X172" s="31"/>
      <c r="Y172" s="33"/>
      <c r="Z172" s="33"/>
      <c r="AA172" s="58" t="s">
        <v>2</v>
      </c>
      <c r="AB172" s="58" t="s">
        <v>2</v>
      </c>
      <c r="AC172" s="31"/>
      <c r="AD172" s="31"/>
      <c r="AE172" s="31"/>
      <c r="AF172" s="31"/>
      <c r="AH172" s="16">
        <f>1*COUNTIF(A172:AF172,"+")</f>
        <v>0</v>
      </c>
      <c r="AI172" s="16">
        <f t="shared" ref="AI172" si="20">1*COUNTIF(B172:AF172,"szf")</f>
        <v>0</v>
      </c>
    </row>
    <row r="173" spans="1:35" ht="20.100000000000001" customHeight="1">
      <c r="A173" s="18" t="str">
        <f>ÖSSZES!$A$50</f>
        <v>Balogh Zsolt</v>
      </c>
      <c r="B173" s="33"/>
      <c r="C173" s="58" t="s">
        <v>2</v>
      </c>
      <c r="D173" s="58" t="s">
        <v>2</v>
      </c>
      <c r="E173" s="31"/>
      <c r="F173" s="31"/>
      <c r="G173" s="31"/>
      <c r="H173" s="31"/>
      <c r="I173" s="33"/>
      <c r="J173" s="33"/>
      <c r="K173" s="58" t="s">
        <v>2</v>
      </c>
      <c r="L173" s="58" t="s">
        <v>2</v>
      </c>
      <c r="M173" s="31"/>
      <c r="N173" s="31"/>
      <c r="O173" s="31"/>
      <c r="P173" s="31"/>
      <c r="Q173" s="33"/>
      <c r="R173" s="33"/>
      <c r="S173" s="58" t="s">
        <v>2</v>
      </c>
      <c r="T173" s="58" t="s">
        <v>2</v>
      </c>
      <c r="U173" s="59"/>
      <c r="V173" s="31"/>
      <c r="W173" s="31"/>
      <c r="X173" s="31"/>
      <c r="Y173" s="33"/>
      <c r="Z173" s="33"/>
      <c r="AA173" s="58" t="s">
        <v>2</v>
      </c>
      <c r="AB173" s="58" t="s">
        <v>2</v>
      </c>
      <c r="AC173" s="31"/>
      <c r="AD173" s="31"/>
      <c r="AE173" s="31"/>
      <c r="AF173" s="31"/>
      <c r="AH173" s="16">
        <f t="shared" ref="AH173:AH191" si="21">1*COUNTIF(A173:AF173,"+")</f>
        <v>0</v>
      </c>
      <c r="AI173" s="16">
        <f t="shared" ref="AI173:AI191" si="22">1*COUNTIF(B173:AF173,"szf")</f>
        <v>0</v>
      </c>
    </row>
    <row r="174" spans="1:35" ht="20.100000000000001" customHeight="1">
      <c r="A174" s="18" t="str">
        <f>ÖSSZES!$A$51</f>
        <v>Éliás Viktor</v>
      </c>
      <c r="B174" s="33"/>
      <c r="C174" s="58" t="s">
        <v>2</v>
      </c>
      <c r="D174" s="58" t="s">
        <v>2</v>
      </c>
      <c r="E174" s="31"/>
      <c r="F174" s="31"/>
      <c r="G174" s="31"/>
      <c r="H174" s="31"/>
      <c r="I174" s="33"/>
      <c r="J174" s="33"/>
      <c r="K174" s="58" t="s">
        <v>2</v>
      </c>
      <c r="L174" s="58" t="s">
        <v>2</v>
      </c>
      <c r="M174" s="31"/>
      <c r="N174" s="31"/>
      <c r="O174" s="31"/>
      <c r="P174" s="31"/>
      <c r="Q174" s="33"/>
      <c r="R174" s="33"/>
      <c r="S174" s="58" t="s">
        <v>2</v>
      </c>
      <c r="T174" s="58" t="s">
        <v>2</v>
      </c>
      <c r="U174" s="59"/>
      <c r="V174" s="31"/>
      <c r="W174" s="31"/>
      <c r="X174" s="31"/>
      <c r="Y174" s="33"/>
      <c r="Z174" s="33"/>
      <c r="AA174" s="58" t="s">
        <v>2</v>
      </c>
      <c r="AB174" s="58" t="s">
        <v>2</v>
      </c>
      <c r="AC174" s="31"/>
      <c r="AD174" s="31"/>
      <c r="AE174" s="31"/>
      <c r="AF174" s="31"/>
      <c r="AH174" s="16">
        <f t="shared" si="21"/>
        <v>0</v>
      </c>
      <c r="AI174" s="16">
        <f t="shared" si="22"/>
        <v>0</v>
      </c>
    </row>
    <row r="175" spans="1:35" ht="20.100000000000001" customHeight="1">
      <c r="A175" s="18" t="str">
        <f>ÖSSZES!$A$52</f>
        <v>Hadházi Kálmán</v>
      </c>
      <c r="B175" s="33"/>
      <c r="C175" s="58" t="s">
        <v>2</v>
      </c>
      <c r="D175" s="58" t="s">
        <v>2</v>
      </c>
      <c r="E175" s="31"/>
      <c r="F175" s="31"/>
      <c r="G175" s="31"/>
      <c r="H175" s="31"/>
      <c r="I175" s="33"/>
      <c r="J175" s="33"/>
      <c r="K175" s="58" t="s">
        <v>2</v>
      </c>
      <c r="L175" s="58" t="s">
        <v>2</v>
      </c>
      <c r="M175" s="31"/>
      <c r="N175" s="31"/>
      <c r="O175" s="31"/>
      <c r="P175" s="31"/>
      <c r="Q175" s="33"/>
      <c r="R175" s="33"/>
      <c r="S175" s="58" t="s">
        <v>2</v>
      </c>
      <c r="T175" s="58" t="s">
        <v>2</v>
      </c>
      <c r="U175" s="59"/>
      <c r="V175" s="31"/>
      <c r="W175" s="31"/>
      <c r="X175" s="31"/>
      <c r="Y175" s="33"/>
      <c r="Z175" s="33"/>
      <c r="AA175" s="58" t="s">
        <v>2</v>
      </c>
      <c r="AB175" s="58" t="s">
        <v>2</v>
      </c>
      <c r="AC175" s="31"/>
      <c r="AD175" s="31"/>
      <c r="AE175" s="31"/>
      <c r="AF175" s="31"/>
      <c r="AH175" s="16">
        <f t="shared" si="21"/>
        <v>0</v>
      </c>
      <c r="AI175" s="16">
        <f t="shared" si="22"/>
        <v>0</v>
      </c>
    </row>
    <row r="176" spans="1:35" ht="20.100000000000001" customHeight="1">
      <c r="A176" s="18" t="str">
        <f>ÖSSZES!$A$53</f>
        <v>Kiss Attila</v>
      </c>
      <c r="B176" s="33"/>
      <c r="C176" s="58" t="s">
        <v>2</v>
      </c>
      <c r="D176" s="58" t="s">
        <v>2</v>
      </c>
      <c r="E176" s="31"/>
      <c r="F176" s="31"/>
      <c r="G176" s="31"/>
      <c r="H176" s="31"/>
      <c r="I176" s="33"/>
      <c r="J176" s="33"/>
      <c r="K176" s="58" t="s">
        <v>2</v>
      </c>
      <c r="L176" s="58" t="s">
        <v>2</v>
      </c>
      <c r="M176" s="31"/>
      <c r="N176" s="31"/>
      <c r="O176" s="31"/>
      <c r="P176" s="31"/>
      <c r="Q176" s="33"/>
      <c r="R176" s="33"/>
      <c r="S176" s="58" t="s">
        <v>2</v>
      </c>
      <c r="T176" s="58" t="s">
        <v>2</v>
      </c>
      <c r="U176" s="59"/>
      <c r="V176" s="31"/>
      <c r="W176" s="31"/>
      <c r="X176" s="31"/>
      <c r="Y176" s="33"/>
      <c r="Z176" s="33"/>
      <c r="AA176" s="58" t="s">
        <v>2</v>
      </c>
      <c r="AB176" s="58" t="s">
        <v>2</v>
      </c>
      <c r="AC176" s="31"/>
      <c r="AD176" s="31"/>
      <c r="AE176" s="31"/>
      <c r="AF176" s="31"/>
      <c r="AH176" s="16">
        <f t="shared" si="21"/>
        <v>0</v>
      </c>
      <c r="AI176" s="16">
        <f t="shared" si="22"/>
        <v>0</v>
      </c>
    </row>
    <row r="177" spans="1:35" ht="20.100000000000001" customHeight="1">
      <c r="A177" s="18" t="str">
        <f>ÖSSZES!$A$54</f>
        <v>Serestyén Dániel</v>
      </c>
      <c r="B177" s="33"/>
      <c r="C177" s="58" t="s">
        <v>2</v>
      </c>
      <c r="D177" s="58" t="s">
        <v>2</v>
      </c>
      <c r="E177" s="31"/>
      <c r="F177" s="31"/>
      <c r="G177" s="31"/>
      <c r="H177" s="31"/>
      <c r="I177" s="33"/>
      <c r="J177" s="33"/>
      <c r="K177" s="58" t="s">
        <v>2</v>
      </c>
      <c r="L177" s="58" t="s">
        <v>2</v>
      </c>
      <c r="M177" s="31"/>
      <c r="N177" s="31"/>
      <c r="O177" s="31"/>
      <c r="P177" s="31"/>
      <c r="Q177" s="33"/>
      <c r="R177" s="33"/>
      <c r="S177" s="58" t="s">
        <v>2</v>
      </c>
      <c r="T177" s="58" t="s">
        <v>2</v>
      </c>
      <c r="U177" s="59"/>
      <c r="V177" s="31"/>
      <c r="W177" s="31"/>
      <c r="X177" s="31"/>
      <c r="Y177" s="33"/>
      <c r="Z177" s="33"/>
      <c r="AA177" s="58" t="s">
        <v>2</v>
      </c>
      <c r="AB177" s="58" t="s">
        <v>2</v>
      </c>
      <c r="AC177" s="31"/>
      <c r="AD177" s="31"/>
      <c r="AE177" s="31"/>
      <c r="AF177" s="31"/>
      <c r="AH177" s="16">
        <f t="shared" si="21"/>
        <v>0</v>
      </c>
      <c r="AI177" s="16">
        <f t="shared" si="22"/>
        <v>0</v>
      </c>
    </row>
    <row r="178" spans="1:35" ht="20.100000000000001" customHeight="1">
      <c r="A178" s="18" t="str">
        <f>ÖSSZES!$A$55</f>
        <v>Varga Imre</v>
      </c>
      <c r="B178" s="33"/>
      <c r="C178" s="58" t="s">
        <v>2</v>
      </c>
      <c r="D178" s="58" t="s">
        <v>2</v>
      </c>
      <c r="E178" s="31"/>
      <c r="F178" s="31"/>
      <c r="G178" s="31"/>
      <c r="H178" s="31"/>
      <c r="I178" s="33"/>
      <c r="J178" s="33"/>
      <c r="K178" s="58" t="s">
        <v>2</v>
      </c>
      <c r="L178" s="58" t="s">
        <v>2</v>
      </c>
      <c r="M178" s="31"/>
      <c r="N178" s="31"/>
      <c r="O178" s="31"/>
      <c r="P178" s="31"/>
      <c r="Q178" s="33"/>
      <c r="R178" s="33"/>
      <c r="S178" s="58" t="s">
        <v>2</v>
      </c>
      <c r="T178" s="58" t="s">
        <v>2</v>
      </c>
      <c r="U178" s="59"/>
      <c r="V178" s="31"/>
      <c r="W178" s="31"/>
      <c r="X178" s="31"/>
      <c r="Y178" s="33"/>
      <c r="Z178" s="33"/>
      <c r="AA178" s="58" t="s">
        <v>2</v>
      </c>
      <c r="AB178" s="58" t="s">
        <v>2</v>
      </c>
      <c r="AC178" s="31"/>
      <c r="AD178" s="31"/>
      <c r="AE178" s="31"/>
      <c r="AF178" s="31"/>
      <c r="AH178" s="16">
        <f t="shared" si="21"/>
        <v>0</v>
      </c>
      <c r="AI178" s="16">
        <f t="shared" si="22"/>
        <v>0</v>
      </c>
    </row>
    <row r="179" spans="1:35" ht="20.100000000000001" hidden="1" customHeight="1">
      <c r="A179" s="18" t="str">
        <f>ÖSSZES!$A$56</f>
        <v>Név8</v>
      </c>
      <c r="B179" s="33"/>
      <c r="C179" s="58" t="s">
        <v>2</v>
      </c>
      <c r="D179" s="58" t="s">
        <v>2</v>
      </c>
      <c r="E179" s="31"/>
      <c r="F179" s="31"/>
      <c r="G179" s="31"/>
      <c r="H179" s="31"/>
      <c r="I179" s="33"/>
      <c r="J179" s="33"/>
      <c r="K179" s="58" t="s">
        <v>2</v>
      </c>
      <c r="L179" s="58" t="s">
        <v>2</v>
      </c>
      <c r="M179" s="31"/>
      <c r="N179" s="31"/>
      <c r="O179" s="31"/>
      <c r="P179" s="31"/>
      <c r="Q179" s="33"/>
      <c r="R179" s="33"/>
      <c r="S179" s="58" t="s">
        <v>2</v>
      </c>
      <c r="T179" s="58" t="s">
        <v>2</v>
      </c>
      <c r="U179" s="59"/>
      <c r="V179" s="31"/>
      <c r="W179" s="31"/>
      <c r="X179" s="31"/>
      <c r="Y179" s="33"/>
      <c r="Z179" s="33"/>
      <c r="AA179" s="58" t="s">
        <v>2</v>
      </c>
      <c r="AB179" s="58" t="s">
        <v>2</v>
      </c>
      <c r="AC179" s="31"/>
      <c r="AD179" s="31"/>
      <c r="AE179" s="31"/>
      <c r="AF179" s="31"/>
      <c r="AH179" s="16">
        <f t="shared" si="21"/>
        <v>0</v>
      </c>
      <c r="AI179" s="16">
        <f t="shared" si="22"/>
        <v>0</v>
      </c>
    </row>
    <row r="180" spans="1:35" ht="20.100000000000001" hidden="1" customHeight="1">
      <c r="A180" s="18" t="str">
        <f>ÖSSZES!$A$57</f>
        <v>Név9</v>
      </c>
      <c r="B180" s="33"/>
      <c r="C180" s="58" t="s">
        <v>2</v>
      </c>
      <c r="D180" s="58" t="s">
        <v>2</v>
      </c>
      <c r="E180" s="31"/>
      <c r="F180" s="31"/>
      <c r="G180" s="31"/>
      <c r="H180" s="31"/>
      <c r="I180" s="33"/>
      <c r="J180" s="33"/>
      <c r="K180" s="58" t="s">
        <v>2</v>
      </c>
      <c r="L180" s="58" t="s">
        <v>2</v>
      </c>
      <c r="M180" s="31"/>
      <c r="N180" s="31"/>
      <c r="O180" s="31"/>
      <c r="P180" s="31"/>
      <c r="Q180" s="33"/>
      <c r="R180" s="33"/>
      <c r="S180" s="58" t="s">
        <v>2</v>
      </c>
      <c r="T180" s="58" t="s">
        <v>2</v>
      </c>
      <c r="U180" s="59"/>
      <c r="V180" s="31"/>
      <c r="W180" s="31"/>
      <c r="X180" s="31"/>
      <c r="Y180" s="33"/>
      <c r="Z180" s="33"/>
      <c r="AA180" s="58" t="s">
        <v>2</v>
      </c>
      <c r="AB180" s="58" t="s">
        <v>2</v>
      </c>
      <c r="AC180" s="31"/>
      <c r="AD180" s="31"/>
      <c r="AE180" s="31"/>
      <c r="AF180" s="31"/>
      <c r="AH180" s="16">
        <f t="shared" si="21"/>
        <v>0</v>
      </c>
      <c r="AI180" s="16">
        <f t="shared" si="22"/>
        <v>0</v>
      </c>
    </row>
    <row r="181" spans="1:35" ht="20.100000000000001" hidden="1" customHeight="1">
      <c r="A181" s="18" t="str">
        <f>ÖSSZES!$A$58</f>
        <v>Név10</v>
      </c>
      <c r="B181" s="33"/>
      <c r="C181" s="58" t="s">
        <v>2</v>
      </c>
      <c r="D181" s="58" t="s">
        <v>2</v>
      </c>
      <c r="E181" s="31"/>
      <c r="F181" s="31"/>
      <c r="G181" s="31"/>
      <c r="H181" s="31"/>
      <c r="I181" s="33"/>
      <c r="J181" s="33"/>
      <c r="K181" s="58" t="s">
        <v>2</v>
      </c>
      <c r="L181" s="58" t="s">
        <v>2</v>
      </c>
      <c r="M181" s="31"/>
      <c r="N181" s="31"/>
      <c r="O181" s="31"/>
      <c r="P181" s="31"/>
      <c r="Q181" s="33"/>
      <c r="R181" s="33"/>
      <c r="S181" s="58" t="s">
        <v>2</v>
      </c>
      <c r="T181" s="58" t="s">
        <v>2</v>
      </c>
      <c r="U181" s="59"/>
      <c r="V181" s="31"/>
      <c r="W181" s="31"/>
      <c r="X181" s="31"/>
      <c r="Y181" s="33"/>
      <c r="Z181" s="33"/>
      <c r="AA181" s="58" t="s">
        <v>2</v>
      </c>
      <c r="AB181" s="58" t="s">
        <v>2</v>
      </c>
      <c r="AC181" s="31"/>
      <c r="AD181" s="31"/>
      <c r="AE181" s="31"/>
      <c r="AF181" s="31"/>
      <c r="AH181" s="16">
        <f t="shared" si="21"/>
        <v>0</v>
      </c>
      <c r="AI181" s="16">
        <f t="shared" si="22"/>
        <v>0</v>
      </c>
    </row>
    <row r="182" spans="1:35" ht="20.100000000000001" hidden="1" customHeight="1">
      <c r="A182" s="18" t="str">
        <f>ÖSSZES!$A$59</f>
        <v>Név11</v>
      </c>
      <c r="B182" s="33"/>
      <c r="C182" s="58" t="s">
        <v>2</v>
      </c>
      <c r="D182" s="58" t="s">
        <v>2</v>
      </c>
      <c r="E182" s="31"/>
      <c r="F182" s="31"/>
      <c r="G182" s="31"/>
      <c r="H182" s="31"/>
      <c r="I182" s="33"/>
      <c r="J182" s="33"/>
      <c r="K182" s="58" t="s">
        <v>2</v>
      </c>
      <c r="L182" s="58" t="s">
        <v>2</v>
      </c>
      <c r="M182" s="31"/>
      <c r="N182" s="31"/>
      <c r="O182" s="31"/>
      <c r="P182" s="31"/>
      <c r="Q182" s="33"/>
      <c r="R182" s="33"/>
      <c r="S182" s="58" t="s">
        <v>2</v>
      </c>
      <c r="T182" s="58" t="s">
        <v>2</v>
      </c>
      <c r="U182" s="59"/>
      <c r="V182" s="31"/>
      <c r="W182" s="31"/>
      <c r="X182" s="31"/>
      <c r="Y182" s="33"/>
      <c r="Z182" s="33"/>
      <c r="AA182" s="58" t="s">
        <v>2</v>
      </c>
      <c r="AB182" s="58" t="s">
        <v>2</v>
      </c>
      <c r="AC182" s="31"/>
      <c r="AD182" s="31"/>
      <c r="AE182" s="31"/>
      <c r="AF182" s="31"/>
      <c r="AH182" s="16">
        <f t="shared" si="21"/>
        <v>0</v>
      </c>
      <c r="AI182" s="16">
        <f t="shared" si="22"/>
        <v>0</v>
      </c>
    </row>
    <row r="183" spans="1:35" ht="20.100000000000001" hidden="1" customHeight="1">
      <c r="A183" s="18" t="str">
        <f>ÖSSZES!$A$60</f>
        <v>Név12</v>
      </c>
      <c r="B183" s="33"/>
      <c r="C183" s="58" t="s">
        <v>2</v>
      </c>
      <c r="D183" s="58" t="s">
        <v>2</v>
      </c>
      <c r="E183" s="31"/>
      <c r="F183" s="31"/>
      <c r="G183" s="31"/>
      <c r="H183" s="31"/>
      <c r="I183" s="33"/>
      <c r="J183" s="33"/>
      <c r="K183" s="58" t="s">
        <v>2</v>
      </c>
      <c r="L183" s="58" t="s">
        <v>2</v>
      </c>
      <c r="M183" s="31"/>
      <c r="N183" s="31"/>
      <c r="O183" s="31"/>
      <c r="P183" s="31"/>
      <c r="Q183" s="33"/>
      <c r="R183" s="33"/>
      <c r="S183" s="58" t="s">
        <v>2</v>
      </c>
      <c r="T183" s="58" t="s">
        <v>2</v>
      </c>
      <c r="U183" s="59"/>
      <c r="V183" s="31"/>
      <c r="W183" s="31"/>
      <c r="X183" s="31"/>
      <c r="Y183" s="33"/>
      <c r="Z183" s="33"/>
      <c r="AA183" s="58" t="s">
        <v>2</v>
      </c>
      <c r="AB183" s="58" t="s">
        <v>2</v>
      </c>
      <c r="AC183" s="31"/>
      <c r="AD183" s="31"/>
      <c r="AE183" s="31"/>
      <c r="AF183" s="31"/>
      <c r="AH183" s="16">
        <f t="shared" si="21"/>
        <v>0</v>
      </c>
      <c r="AI183" s="16">
        <f t="shared" si="22"/>
        <v>0</v>
      </c>
    </row>
    <row r="184" spans="1:35" ht="20.100000000000001" hidden="1" customHeight="1">
      <c r="A184" s="18" t="str">
        <f>ÖSSZES!$A$61</f>
        <v>Név13</v>
      </c>
      <c r="B184" s="33"/>
      <c r="C184" s="58" t="s">
        <v>2</v>
      </c>
      <c r="D184" s="58" t="s">
        <v>2</v>
      </c>
      <c r="E184" s="31"/>
      <c r="F184" s="31"/>
      <c r="G184" s="31"/>
      <c r="H184" s="31"/>
      <c r="I184" s="33"/>
      <c r="J184" s="33"/>
      <c r="K184" s="58" t="s">
        <v>2</v>
      </c>
      <c r="L184" s="58" t="s">
        <v>2</v>
      </c>
      <c r="M184" s="31"/>
      <c r="N184" s="31"/>
      <c r="O184" s="31"/>
      <c r="P184" s="31"/>
      <c r="Q184" s="33"/>
      <c r="R184" s="33"/>
      <c r="S184" s="58" t="s">
        <v>2</v>
      </c>
      <c r="T184" s="58" t="s">
        <v>2</v>
      </c>
      <c r="U184" s="59"/>
      <c r="V184" s="31"/>
      <c r="W184" s="31"/>
      <c r="X184" s="31"/>
      <c r="Y184" s="33"/>
      <c r="Z184" s="33"/>
      <c r="AA184" s="58" t="s">
        <v>2</v>
      </c>
      <c r="AB184" s="58" t="s">
        <v>2</v>
      </c>
      <c r="AC184" s="31"/>
      <c r="AD184" s="31"/>
      <c r="AE184" s="31"/>
      <c r="AF184" s="31"/>
      <c r="AH184" s="16">
        <f t="shared" si="21"/>
        <v>0</v>
      </c>
      <c r="AI184" s="16">
        <f t="shared" si="22"/>
        <v>0</v>
      </c>
    </row>
    <row r="185" spans="1:35" ht="20.100000000000001" hidden="1" customHeight="1">
      <c r="A185" s="18" t="str">
        <f>ÖSSZES!$A$62</f>
        <v>Név14</v>
      </c>
      <c r="B185" s="33"/>
      <c r="C185" s="58" t="s">
        <v>2</v>
      </c>
      <c r="D185" s="58" t="s">
        <v>2</v>
      </c>
      <c r="E185" s="31"/>
      <c r="F185" s="31"/>
      <c r="G185" s="31"/>
      <c r="H185" s="31"/>
      <c r="I185" s="33"/>
      <c r="J185" s="33"/>
      <c r="K185" s="58" t="s">
        <v>2</v>
      </c>
      <c r="L185" s="58" t="s">
        <v>2</v>
      </c>
      <c r="M185" s="31"/>
      <c r="N185" s="31"/>
      <c r="O185" s="31"/>
      <c r="P185" s="31"/>
      <c r="Q185" s="33"/>
      <c r="R185" s="33"/>
      <c r="S185" s="58" t="s">
        <v>2</v>
      </c>
      <c r="T185" s="58" t="s">
        <v>2</v>
      </c>
      <c r="U185" s="59"/>
      <c r="V185" s="31"/>
      <c r="W185" s="31"/>
      <c r="X185" s="31"/>
      <c r="Y185" s="33"/>
      <c r="Z185" s="33"/>
      <c r="AA185" s="58" t="s">
        <v>2</v>
      </c>
      <c r="AB185" s="58" t="s">
        <v>2</v>
      </c>
      <c r="AC185" s="31"/>
      <c r="AD185" s="31"/>
      <c r="AE185" s="31"/>
      <c r="AF185" s="31"/>
      <c r="AH185" s="16">
        <f t="shared" si="21"/>
        <v>0</v>
      </c>
      <c r="AI185" s="16">
        <f t="shared" si="22"/>
        <v>0</v>
      </c>
    </row>
    <row r="186" spans="1:35" ht="20.100000000000001" hidden="1" customHeight="1">
      <c r="A186" s="18" t="str">
        <f>ÖSSZES!$A$63</f>
        <v>Név15</v>
      </c>
      <c r="B186" s="33"/>
      <c r="C186" s="58" t="s">
        <v>2</v>
      </c>
      <c r="D186" s="58" t="s">
        <v>2</v>
      </c>
      <c r="E186" s="31"/>
      <c r="F186" s="31"/>
      <c r="G186" s="31"/>
      <c r="H186" s="31"/>
      <c r="I186" s="33"/>
      <c r="J186" s="33"/>
      <c r="K186" s="58" t="s">
        <v>2</v>
      </c>
      <c r="L186" s="58" t="s">
        <v>2</v>
      </c>
      <c r="M186" s="31"/>
      <c r="N186" s="31"/>
      <c r="O186" s="31"/>
      <c r="P186" s="31"/>
      <c r="Q186" s="33"/>
      <c r="R186" s="33"/>
      <c r="S186" s="58" t="s">
        <v>2</v>
      </c>
      <c r="T186" s="58" t="s">
        <v>2</v>
      </c>
      <c r="U186" s="59"/>
      <c r="V186" s="31"/>
      <c r="W186" s="31"/>
      <c r="X186" s="31"/>
      <c r="Y186" s="33"/>
      <c r="Z186" s="33"/>
      <c r="AA186" s="58" t="s">
        <v>2</v>
      </c>
      <c r="AB186" s="58" t="s">
        <v>2</v>
      </c>
      <c r="AC186" s="31"/>
      <c r="AD186" s="31"/>
      <c r="AE186" s="31"/>
      <c r="AF186" s="31"/>
      <c r="AH186" s="16">
        <f t="shared" si="21"/>
        <v>0</v>
      </c>
      <c r="AI186" s="16">
        <f t="shared" si="22"/>
        <v>0</v>
      </c>
    </row>
    <row r="187" spans="1:35" ht="20.100000000000001" hidden="1" customHeight="1">
      <c r="A187" s="18" t="str">
        <f>ÖSSZES!$A$64</f>
        <v>Név16</v>
      </c>
      <c r="B187" s="33"/>
      <c r="C187" s="58" t="s">
        <v>2</v>
      </c>
      <c r="D187" s="58" t="s">
        <v>2</v>
      </c>
      <c r="E187" s="31"/>
      <c r="F187" s="31"/>
      <c r="G187" s="31"/>
      <c r="H187" s="31"/>
      <c r="I187" s="33"/>
      <c r="J187" s="33"/>
      <c r="K187" s="58" t="s">
        <v>2</v>
      </c>
      <c r="L187" s="58" t="s">
        <v>2</v>
      </c>
      <c r="M187" s="31"/>
      <c r="N187" s="31"/>
      <c r="O187" s="31"/>
      <c r="P187" s="31"/>
      <c r="Q187" s="33"/>
      <c r="R187" s="33"/>
      <c r="S187" s="58" t="s">
        <v>2</v>
      </c>
      <c r="T187" s="58" t="s">
        <v>2</v>
      </c>
      <c r="U187" s="59"/>
      <c r="V187" s="31"/>
      <c r="W187" s="31"/>
      <c r="X187" s="31"/>
      <c r="Y187" s="33"/>
      <c r="Z187" s="33"/>
      <c r="AA187" s="58" t="s">
        <v>2</v>
      </c>
      <c r="AB187" s="58" t="s">
        <v>2</v>
      </c>
      <c r="AC187" s="31"/>
      <c r="AD187" s="31"/>
      <c r="AE187" s="31"/>
      <c r="AF187" s="31"/>
      <c r="AH187" s="16">
        <f t="shared" si="21"/>
        <v>0</v>
      </c>
      <c r="AI187" s="16">
        <f t="shared" si="22"/>
        <v>0</v>
      </c>
    </row>
    <row r="188" spans="1:35" ht="20.100000000000001" hidden="1" customHeight="1">
      <c r="A188" s="18" t="str">
        <f>ÖSSZES!$A$65</f>
        <v>Név17</v>
      </c>
      <c r="B188" s="33"/>
      <c r="C188" s="58" t="s">
        <v>2</v>
      </c>
      <c r="D188" s="58" t="s">
        <v>2</v>
      </c>
      <c r="E188" s="31"/>
      <c r="F188" s="31"/>
      <c r="G188" s="31"/>
      <c r="H188" s="31"/>
      <c r="I188" s="33"/>
      <c r="J188" s="33"/>
      <c r="K188" s="58" t="s">
        <v>2</v>
      </c>
      <c r="L188" s="58" t="s">
        <v>2</v>
      </c>
      <c r="M188" s="31"/>
      <c r="N188" s="31"/>
      <c r="O188" s="31"/>
      <c r="P188" s="31"/>
      <c r="Q188" s="33"/>
      <c r="R188" s="33"/>
      <c r="S188" s="58" t="s">
        <v>2</v>
      </c>
      <c r="T188" s="58" t="s">
        <v>2</v>
      </c>
      <c r="U188" s="59"/>
      <c r="V188" s="31"/>
      <c r="W188" s="31"/>
      <c r="X188" s="31"/>
      <c r="Y188" s="33"/>
      <c r="Z188" s="33"/>
      <c r="AA188" s="58" t="s">
        <v>2</v>
      </c>
      <c r="AB188" s="58" t="s">
        <v>2</v>
      </c>
      <c r="AC188" s="31"/>
      <c r="AD188" s="31"/>
      <c r="AE188" s="31"/>
      <c r="AF188" s="31"/>
      <c r="AH188" s="16">
        <f t="shared" si="21"/>
        <v>0</v>
      </c>
      <c r="AI188" s="16">
        <f t="shared" si="22"/>
        <v>0</v>
      </c>
    </row>
    <row r="189" spans="1:35" ht="20.100000000000001" hidden="1" customHeight="1">
      <c r="A189" s="18" t="str">
        <f>ÖSSZES!$A$66</f>
        <v>Név18</v>
      </c>
      <c r="B189" s="33"/>
      <c r="C189" s="58" t="s">
        <v>2</v>
      </c>
      <c r="D189" s="58" t="s">
        <v>2</v>
      </c>
      <c r="E189" s="31"/>
      <c r="F189" s="31"/>
      <c r="G189" s="31"/>
      <c r="H189" s="31"/>
      <c r="I189" s="33"/>
      <c r="J189" s="33"/>
      <c r="K189" s="58" t="s">
        <v>2</v>
      </c>
      <c r="L189" s="58" t="s">
        <v>2</v>
      </c>
      <c r="M189" s="31"/>
      <c r="N189" s="31"/>
      <c r="O189" s="31"/>
      <c r="P189" s="31"/>
      <c r="Q189" s="33"/>
      <c r="R189" s="33"/>
      <c r="S189" s="58" t="s">
        <v>2</v>
      </c>
      <c r="T189" s="58" t="s">
        <v>2</v>
      </c>
      <c r="U189" s="59"/>
      <c r="V189" s="31"/>
      <c r="W189" s="31"/>
      <c r="X189" s="31"/>
      <c r="Y189" s="33"/>
      <c r="Z189" s="33"/>
      <c r="AA189" s="58" t="s">
        <v>2</v>
      </c>
      <c r="AB189" s="58" t="s">
        <v>2</v>
      </c>
      <c r="AC189" s="31"/>
      <c r="AD189" s="31"/>
      <c r="AE189" s="31"/>
      <c r="AF189" s="31"/>
      <c r="AH189" s="16">
        <f t="shared" si="21"/>
        <v>0</v>
      </c>
      <c r="AI189" s="16">
        <f t="shared" si="22"/>
        <v>0</v>
      </c>
    </row>
    <row r="190" spans="1:35" ht="20.100000000000001" hidden="1" customHeight="1">
      <c r="A190" s="18" t="str">
        <f>ÖSSZES!$A$67</f>
        <v>Név19</v>
      </c>
      <c r="B190" s="33"/>
      <c r="C190" s="58" t="s">
        <v>2</v>
      </c>
      <c r="D190" s="58" t="s">
        <v>2</v>
      </c>
      <c r="E190" s="31"/>
      <c r="F190" s="31"/>
      <c r="G190" s="31"/>
      <c r="H190" s="31"/>
      <c r="I190" s="33"/>
      <c r="J190" s="33"/>
      <c r="K190" s="58" t="s">
        <v>2</v>
      </c>
      <c r="L190" s="58" t="s">
        <v>2</v>
      </c>
      <c r="M190" s="31"/>
      <c r="N190" s="31"/>
      <c r="O190" s="31"/>
      <c r="P190" s="31"/>
      <c r="Q190" s="33"/>
      <c r="R190" s="33"/>
      <c r="S190" s="58" t="s">
        <v>2</v>
      </c>
      <c r="T190" s="58" t="s">
        <v>2</v>
      </c>
      <c r="U190" s="59"/>
      <c r="V190" s="31"/>
      <c r="W190" s="31"/>
      <c r="X190" s="31"/>
      <c r="Y190" s="33"/>
      <c r="Z190" s="33"/>
      <c r="AA190" s="58" t="s">
        <v>2</v>
      </c>
      <c r="AB190" s="58" t="s">
        <v>2</v>
      </c>
      <c r="AC190" s="31"/>
      <c r="AD190" s="31"/>
      <c r="AE190" s="31"/>
      <c r="AF190" s="31"/>
      <c r="AH190" s="16">
        <f t="shared" si="21"/>
        <v>0</v>
      </c>
      <c r="AI190" s="16">
        <f t="shared" si="22"/>
        <v>0</v>
      </c>
    </row>
    <row r="191" spans="1:35" ht="20.100000000000001" hidden="1" customHeight="1">
      <c r="A191" s="18" t="str">
        <f>ÖSSZES!$A$68</f>
        <v>Név20</v>
      </c>
      <c r="B191" s="33"/>
      <c r="C191" s="58" t="s">
        <v>2</v>
      </c>
      <c r="D191" s="58" t="s">
        <v>2</v>
      </c>
      <c r="E191" s="31"/>
      <c r="F191" s="31"/>
      <c r="G191" s="31"/>
      <c r="H191" s="31"/>
      <c r="I191" s="33"/>
      <c r="J191" s="33"/>
      <c r="K191" s="58" t="s">
        <v>2</v>
      </c>
      <c r="L191" s="58" t="s">
        <v>2</v>
      </c>
      <c r="M191" s="31"/>
      <c r="N191" s="31"/>
      <c r="O191" s="31"/>
      <c r="P191" s="31"/>
      <c r="Q191" s="33"/>
      <c r="R191" s="33"/>
      <c r="S191" s="58" t="s">
        <v>2</v>
      </c>
      <c r="T191" s="58" t="s">
        <v>2</v>
      </c>
      <c r="U191" s="59"/>
      <c r="V191" s="31"/>
      <c r="W191" s="31"/>
      <c r="X191" s="31"/>
      <c r="Y191" s="33"/>
      <c r="Z191" s="33"/>
      <c r="AA191" s="58" t="s">
        <v>2</v>
      </c>
      <c r="AB191" s="58" t="s">
        <v>2</v>
      </c>
      <c r="AC191" s="31"/>
      <c r="AD191" s="31"/>
      <c r="AE191" s="31"/>
      <c r="AF191" s="31"/>
      <c r="AH191" s="16">
        <f t="shared" si="21"/>
        <v>0</v>
      </c>
      <c r="AI191" s="16">
        <f t="shared" si="22"/>
        <v>0</v>
      </c>
    </row>
    <row r="192" spans="1:35" ht="20.100000000000001" customHeight="1"/>
    <row r="193" spans="1:35" s="6" customFormat="1" ht="20.100000000000001" customHeight="1">
      <c r="A193" s="91" t="s">
        <v>13</v>
      </c>
      <c r="B193" s="17">
        <v>1</v>
      </c>
      <c r="C193" s="17">
        <v>2</v>
      </c>
      <c r="D193" s="17">
        <v>3</v>
      </c>
      <c r="E193" s="17">
        <v>4</v>
      </c>
      <c r="F193" s="17">
        <v>5</v>
      </c>
      <c r="G193" s="17">
        <v>6</v>
      </c>
      <c r="H193" s="17">
        <v>7</v>
      </c>
      <c r="I193" s="17">
        <v>8</v>
      </c>
      <c r="J193" s="17">
        <v>9</v>
      </c>
      <c r="K193" s="17">
        <v>10</v>
      </c>
      <c r="L193" s="17">
        <v>11</v>
      </c>
      <c r="M193" s="17">
        <v>12</v>
      </c>
      <c r="N193" s="17">
        <v>13</v>
      </c>
      <c r="O193" s="17">
        <v>14</v>
      </c>
      <c r="P193" s="17">
        <v>15</v>
      </c>
      <c r="Q193" s="17">
        <v>16</v>
      </c>
      <c r="R193" s="17">
        <v>17</v>
      </c>
      <c r="S193" s="17">
        <v>18</v>
      </c>
      <c r="T193" s="17">
        <v>19</v>
      </c>
      <c r="U193" s="17">
        <v>20</v>
      </c>
      <c r="V193" s="17">
        <v>21</v>
      </c>
      <c r="W193" s="17">
        <v>22</v>
      </c>
      <c r="X193" s="17">
        <v>23</v>
      </c>
      <c r="Y193" s="17">
        <v>24</v>
      </c>
      <c r="Z193" s="17">
        <v>25</v>
      </c>
      <c r="AA193" s="17">
        <v>26</v>
      </c>
      <c r="AB193" s="17">
        <v>27</v>
      </c>
      <c r="AC193" s="17">
        <v>28</v>
      </c>
      <c r="AD193" s="17">
        <v>29</v>
      </c>
      <c r="AE193" s="17">
        <v>30</v>
      </c>
      <c r="AH193" s="93" t="s">
        <v>18</v>
      </c>
      <c r="AI193" s="93" t="s">
        <v>19</v>
      </c>
    </row>
    <row r="194" spans="1:35" ht="20.100000000000001" customHeight="1">
      <c r="A194" s="96"/>
      <c r="B194" s="10" t="str">
        <f>'2020'!B68</f>
        <v>K</v>
      </c>
      <c r="C194" s="10" t="str">
        <f>'2020'!C68</f>
        <v>Sze</v>
      </c>
      <c r="D194" s="10" t="str">
        <f>'2020'!D68</f>
        <v>Cs</v>
      </c>
      <c r="E194" s="10" t="str">
        <f>'2020'!E68</f>
        <v>P</v>
      </c>
      <c r="F194" s="10" t="str">
        <f>'2020'!F68</f>
        <v>Szo</v>
      </c>
      <c r="G194" s="10" t="str">
        <f>'2020'!G68</f>
        <v>V</v>
      </c>
      <c r="H194" s="10" t="str">
        <f>'2020'!H68</f>
        <v>H</v>
      </c>
      <c r="I194" s="10" t="str">
        <f>'2020'!I68</f>
        <v>K</v>
      </c>
      <c r="J194" s="10" t="str">
        <f>'2020'!J68</f>
        <v>Sze</v>
      </c>
      <c r="K194" s="10" t="str">
        <f>'2020'!K68</f>
        <v>Cs</v>
      </c>
      <c r="L194" s="10" t="str">
        <f>'2020'!L68</f>
        <v>P</v>
      </c>
      <c r="M194" s="10" t="str">
        <f>'2020'!M68</f>
        <v>Szo</v>
      </c>
      <c r="N194" s="10" t="str">
        <f>'2020'!N68</f>
        <v>V</v>
      </c>
      <c r="O194" s="10" t="str">
        <f>'2020'!O68</f>
        <v>H</v>
      </c>
      <c r="P194" s="10" t="str">
        <f>'2020'!P68</f>
        <v>K</v>
      </c>
      <c r="Q194" s="10" t="str">
        <f>'2020'!Q68</f>
        <v>Sze</v>
      </c>
      <c r="R194" s="10" t="str">
        <f>'2020'!R68</f>
        <v>Cs</v>
      </c>
      <c r="S194" s="10" t="str">
        <f>'2020'!S68</f>
        <v>P</v>
      </c>
      <c r="T194" s="10" t="str">
        <f>'2020'!T68</f>
        <v>Szo</v>
      </c>
      <c r="U194" s="10" t="str">
        <f>'2020'!U68</f>
        <v>V</v>
      </c>
      <c r="V194" s="10" t="str">
        <f>'2020'!V68</f>
        <v>H</v>
      </c>
      <c r="W194" s="10" t="str">
        <f>'2020'!W68</f>
        <v>K</v>
      </c>
      <c r="X194" s="10" t="str">
        <f>'2020'!X68</f>
        <v>Sze</v>
      </c>
      <c r="Y194" s="10" t="str">
        <f>'2020'!Y68</f>
        <v>Cs</v>
      </c>
      <c r="Z194" s="10" t="str">
        <f>'2020'!Z68</f>
        <v>P</v>
      </c>
      <c r="AA194" s="10" t="str">
        <f>'2020'!AA68</f>
        <v>Szo</v>
      </c>
      <c r="AB194" s="10" t="str">
        <f>'2020'!AB68</f>
        <v>V</v>
      </c>
      <c r="AC194" s="10" t="str">
        <f>'2020'!AC68</f>
        <v>H</v>
      </c>
      <c r="AD194" s="10" t="str">
        <f>'2020'!AD68</f>
        <v>K</v>
      </c>
      <c r="AE194" s="10" t="str">
        <f>'2020'!AE68</f>
        <v>Sze</v>
      </c>
      <c r="AF194" s="1"/>
      <c r="AH194" s="94"/>
      <c r="AI194" s="94"/>
    </row>
    <row r="195" spans="1:35" ht="20.100000000000001" customHeight="1">
      <c r="A195" s="96"/>
      <c r="B195" s="10">
        <f>'2020'!B71</f>
        <v>1</v>
      </c>
      <c r="C195" s="10">
        <f>'2020'!C71</f>
        <v>1</v>
      </c>
      <c r="D195" s="10" t="str">
        <f>'2020'!D71</f>
        <v>X</v>
      </c>
      <c r="E195" s="10" t="str">
        <f>'2020'!E71</f>
        <v>X</v>
      </c>
      <c r="F195" s="10">
        <f>'2020'!F71</f>
        <v>3</v>
      </c>
      <c r="G195" s="10">
        <f>'2020'!G71</f>
        <v>3</v>
      </c>
      <c r="H195" s="10">
        <f>'2020'!H71</f>
        <v>3</v>
      </c>
      <c r="I195" s="10">
        <f>'2020'!I71</f>
        <v>3</v>
      </c>
      <c r="J195" s="10">
        <f>'2020'!J71</f>
        <v>3</v>
      </c>
      <c r="K195" s="10">
        <f>'2020'!K71</f>
        <v>3</v>
      </c>
      <c r="L195" s="10" t="str">
        <f>'2020'!L71</f>
        <v>X</v>
      </c>
      <c r="M195" s="10" t="str">
        <f>'2020'!M71</f>
        <v>X</v>
      </c>
      <c r="N195" s="10">
        <f>'2020'!N71</f>
        <v>2</v>
      </c>
      <c r="O195" s="10">
        <f>'2020'!O71</f>
        <v>2</v>
      </c>
      <c r="P195" s="10">
        <f>'2020'!P71</f>
        <v>2</v>
      </c>
      <c r="Q195" s="10">
        <f>'2020'!Q71</f>
        <v>2</v>
      </c>
      <c r="R195" s="10">
        <f>'2020'!R71</f>
        <v>2</v>
      </c>
      <c r="S195" s="10">
        <f>'2020'!S71</f>
        <v>2</v>
      </c>
      <c r="T195" s="10" t="str">
        <f>'2020'!T71</f>
        <v>X</v>
      </c>
      <c r="U195" s="10" t="str">
        <f>'2020'!U71</f>
        <v>X</v>
      </c>
      <c r="V195" s="10">
        <f>'2020'!V71</f>
        <v>1</v>
      </c>
      <c r="W195" s="10">
        <f>'2020'!W71</f>
        <v>1</v>
      </c>
      <c r="X195" s="10">
        <f>'2020'!X71</f>
        <v>1</v>
      </c>
      <c r="Y195" s="10">
        <f>'2020'!Y71</f>
        <v>1</v>
      </c>
      <c r="Z195" s="10">
        <f>'2020'!Z71</f>
        <v>1</v>
      </c>
      <c r="AA195" s="10">
        <f>'2020'!AA71</f>
        <v>1</v>
      </c>
      <c r="AB195" s="10" t="str">
        <f>'2020'!AB71</f>
        <v>X</v>
      </c>
      <c r="AC195" s="10" t="str">
        <f>'2020'!AC71</f>
        <v>X</v>
      </c>
      <c r="AD195" s="10">
        <f>'2020'!AD71</f>
        <v>3</v>
      </c>
      <c r="AE195" s="10">
        <f>'2020'!AE71</f>
        <v>3</v>
      </c>
      <c r="AF195" s="1"/>
      <c r="AH195" s="94"/>
      <c r="AI195" s="94"/>
    </row>
    <row r="196" spans="1:35" ht="20.100000000000001" customHeight="1">
      <c r="A196" s="18" t="str">
        <f>ÖSSZES!$A$49</f>
        <v>Kuik-Filep András</v>
      </c>
      <c r="B196" s="33"/>
      <c r="C196" s="33"/>
      <c r="D196" s="58" t="s">
        <v>2</v>
      </c>
      <c r="E196" s="58" t="s">
        <v>2</v>
      </c>
      <c r="F196" s="14"/>
      <c r="G196" s="14"/>
      <c r="H196" s="14"/>
      <c r="I196" s="14"/>
      <c r="J196" s="33"/>
      <c r="K196" s="33"/>
      <c r="L196" s="58" t="s">
        <v>2</v>
      </c>
      <c r="M196" s="58" t="s">
        <v>2</v>
      </c>
      <c r="N196" s="14"/>
      <c r="O196" s="14"/>
      <c r="P196" s="14"/>
      <c r="Q196" s="14"/>
      <c r="R196" s="33"/>
      <c r="S196" s="33"/>
      <c r="T196" s="58" t="s">
        <v>2</v>
      </c>
      <c r="U196" s="58" t="s">
        <v>2</v>
      </c>
      <c r="V196" s="14"/>
      <c r="W196" s="14"/>
      <c r="X196" s="14"/>
      <c r="Y196" s="14"/>
      <c r="Z196" s="33"/>
      <c r="AA196" s="33"/>
      <c r="AB196" s="58" t="s">
        <v>2</v>
      </c>
      <c r="AC196" s="58" t="s">
        <v>2</v>
      </c>
      <c r="AD196" s="14"/>
      <c r="AE196" s="14"/>
      <c r="AF196" s="1"/>
      <c r="AH196" s="16">
        <f>1*COUNTIF(A196:AF196,"+")</f>
        <v>0</v>
      </c>
      <c r="AI196" s="16">
        <f t="shared" ref="AI196" si="23">1*COUNTIF(B196:AF196,"szf")</f>
        <v>0</v>
      </c>
    </row>
    <row r="197" spans="1:35" ht="20.100000000000001" customHeight="1">
      <c r="A197" s="18" t="str">
        <f>ÖSSZES!$A$50</f>
        <v>Balogh Zsolt</v>
      </c>
      <c r="B197" s="33"/>
      <c r="C197" s="33"/>
      <c r="D197" s="58" t="s">
        <v>2</v>
      </c>
      <c r="E197" s="58" t="s">
        <v>2</v>
      </c>
      <c r="F197" s="14"/>
      <c r="G197" s="14"/>
      <c r="H197" s="14"/>
      <c r="I197" s="14"/>
      <c r="J197" s="33"/>
      <c r="K197" s="33"/>
      <c r="L197" s="58" t="s">
        <v>2</v>
      </c>
      <c r="M197" s="58" t="s">
        <v>2</v>
      </c>
      <c r="N197" s="14"/>
      <c r="O197" s="14"/>
      <c r="P197" s="14"/>
      <c r="Q197" s="14"/>
      <c r="R197" s="33"/>
      <c r="S197" s="33"/>
      <c r="T197" s="58" t="s">
        <v>2</v>
      </c>
      <c r="U197" s="58" t="s">
        <v>2</v>
      </c>
      <c r="V197" s="14"/>
      <c r="W197" s="14"/>
      <c r="X197" s="14"/>
      <c r="Y197" s="14"/>
      <c r="Z197" s="33"/>
      <c r="AA197" s="33"/>
      <c r="AB197" s="58" t="s">
        <v>2</v>
      </c>
      <c r="AC197" s="58" t="s">
        <v>2</v>
      </c>
      <c r="AD197" s="14"/>
      <c r="AE197" s="14"/>
      <c r="AF197" s="1"/>
      <c r="AH197" s="16">
        <f t="shared" ref="AH197:AH215" si="24">1*COUNTIF(A197:AF197,"+")</f>
        <v>0</v>
      </c>
      <c r="AI197" s="16">
        <f t="shared" ref="AI197:AI215" si="25">1*COUNTIF(B197:AF197,"szf")</f>
        <v>0</v>
      </c>
    </row>
    <row r="198" spans="1:35" ht="20.100000000000001" customHeight="1">
      <c r="A198" s="18" t="str">
        <f>ÖSSZES!$A$51</f>
        <v>Éliás Viktor</v>
      </c>
      <c r="B198" s="33"/>
      <c r="C198" s="33"/>
      <c r="D198" s="58" t="s">
        <v>2</v>
      </c>
      <c r="E198" s="58" t="s">
        <v>2</v>
      </c>
      <c r="F198" s="14"/>
      <c r="G198" s="14"/>
      <c r="H198" s="14"/>
      <c r="I198" s="14"/>
      <c r="J198" s="33"/>
      <c r="K198" s="33"/>
      <c r="L198" s="58" t="s">
        <v>2</v>
      </c>
      <c r="M198" s="58" t="s">
        <v>2</v>
      </c>
      <c r="N198" s="14"/>
      <c r="O198" s="14"/>
      <c r="P198" s="14"/>
      <c r="Q198" s="14"/>
      <c r="R198" s="33"/>
      <c r="S198" s="33"/>
      <c r="T198" s="58" t="s">
        <v>2</v>
      </c>
      <c r="U198" s="58" t="s">
        <v>2</v>
      </c>
      <c r="V198" s="14"/>
      <c r="W198" s="14"/>
      <c r="X198" s="14"/>
      <c r="Y198" s="14"/>
      <c r="Z198" s="33"/>
      <c r="AA198" s="33"/>
      <c r="AB198" s="58" t="s">
        <v>2</v>
      </c>
      <c r="AC198" s="58" t="s">
        <v>2</v>
      </c>
      <c r="AD198" s="14"/>
      <c r="AE198" s="14"/>
      <c r="AF198" s="1"/>
      <c r="AH198" s="16">
        <f t="shared" si="24"/>
        <v>0</v>
      </c>
      <c r="AI198" s="16">
        <f t="shared" si="25"/>
        <v>0</v>
      </c>
    </row>
    <row r="199" spans="1:35" ht="20.100000000000001" customHeight="1">
      <c r="A199" s="18" t="str">
        <f>ÖSSZES!$A$52</f>
        <v>Hadházi Kálmán</v>
      </c>
      <c r="B199" s="33"/>
      <c r="C199" s="33"/>
      <c r="D199" s="58" t="s">
        <v>2</v>
      </c>
      <c r="E199" s="58" t="s">
        <v>2</v>
      </c>
      <c r="F199" s="14"/>
      <c r="G199" s="14"/>
      <c r="H199" s="14"/>
      <c r="I199" s="14"/>
      <c r="J199" s="33"/>
      <c r="K199" s="33"/>
      <c r="L199" s="58" t="s">
        <v>2</v>
      </c>
      <c r="M199" s="58" t="s">
        <v>2</v>
      </c>
      <c r="N199" s="14"/>
      <c r="O199" s="14"/>
      <c r="P199" s="14"/>
      <c r="Q199" s="14"/>
      <c r="R199" s="33"/>
      <c r="S199" s="33"/>
      <c r="T199" s="58" t="s">
        <v>2</v>
      </c>
      <c r="U199" s="58" t="s">
        <v>2</v>
      </c>
      <c r="V199" s="14"/>
      <c r="W199" s="14"/>
      <c r="X199" s="14"/>
      <c r="Y199" s="14"/>
      <c r="Z199" s="33"/>
      <c r="AA199" s="33"/>
      <c r="AB199" s="58" t="s">
        <v>2</v>
      </c>
      <c r="AC199" s="58" t="s">
        <v>2</v>
      </c>
      <c r="AD199" s="14"/>
      <c r="AE199" s="14"/>
      <c r="AF199" s="1"/>
      <c r="AH199" s="16">
        <f t="shared" si="24"/>
        <v>0</v>
      </c>
      <c r="AI199" s="16">
        <f t="shared" si="25"/>
        <v>0</v>
      </c>
    </row>
    <row r="200" spans="1:35" ht="20.100000000000001" customHeight="1">
      <c r="A200" s="18" t="str">
        <f>ÖSSZES!$A$53</f>
        <v>Kiss Attila</v>
      </c>
      <c r="B200" s="33"/>
      <c r="C200" s="33"/>
      <c r="D200" s="58" t="s">
        <v>2</v>
      </c>
      <c r="E200" s="58" t="s">
        <v>2</v>
      </c>
      <c r="F200" s="14"/>
      <c r="G200" s="14"/>
      <c r="H200" s="14"/>
      <c r="I200" s="14"/>
      <c r="J200" s="33"/>
      <c r="K200" s="33"/>
      <c r="L200" s="58" t="s">
        <v>2</v>
      </c>
      <c r="M200" s="58" t="s">
        <v>2</v>
      </c>
      <c r="N200" s="14"/>
      <c r="O200" s="14"/>
      <c r="P200" s="14"/>
      <c r="Q200" s="14"/>
      <c r="R200" s="33"/>
      <c r="S200" s="33"/>
      <c r="T200" s="58" t="s">
        <v>2</v>
      </c>
      <c r="U200" s="58" t="s">
        <v>2</v>
      </c>
      <c r="V200" s="14"/>
      <c r="W200" s="14"/>
      <c r="X200" s="14"/>
      <c r="Y200" s="14"/>
      <c r="Z200" s="33"/>
      <c r="AA200" s="33"/>
      <c r="AB200" s="58" t="s">
        <v>2</v>
      </c>
      <c r="AC200" s="58" t="s">
        <v>2</v>
      </c>
      <c r="AD200" s="14"/>
      <c r="AE200" s="14"/>
      <c r="AF200" s="1"/>
      <c r="AH200" s="16">
        <f t="shared" si="24"/>
        <v>0</v>
      </c>
      <c r="AI200" s="16">
        <f t="shared" si="25"/>
        <v>0</v>
      </c>
    </row>
    <row r="201" spans="1:35" ht="20.100000000000001" customHeight="1">
      <c r="A201" s="18" t="str">
        <f>ÖSSZES!$A$54</f>
        <v>Serestyén Dániel</v>
      </c>
      <c r="B201" s="33"/>
      <c r="C201" s="33"/>
      <c r="D201" s="58" t="s">
        <v>2</v>
      </c>
      <c r="E201" s="58" t="s">
        <v>2</v>
      </c>
      <c r="F201" s="14"/>
      <c r="G201" s="14"/>
      <c r="H201" s="14"/>
      <c r="I201" s="14"/>
      <c r="J201" s="33"/>
      <c r="K201" s="33"/>
      <c r="L201" s="58" t="s">
        <v>2</v>
      </c>
      <c r="M201" s="58" t="s">
        <v>2</v>
      </c>
      <c r="N201" s="14"/>
      <c r="O201" s="14"/>
      <c r="P201" s="14"/>
      <c r="Q201" s="14"/>
      <c r="R201" s="33"/>
      <c r="S201" s="33"/>
      <c r="T201" s="58" t="s">
        <v>2</v>
      </c>
      <c r="U201" s="58" t="s">
        <v>2</v>
      </c>
      <c r="V201" s="14"/>
      <c r="W201" s="14"/>
      <c r="X201" s="14"/>
      <c r="Y201" s="14"/>
      <c r="Z201" s="33"/>
      <c r="AA201" s="33"/>
      <c r="AB201" s="58" t="s">
        <v>2</v>
      </c>
      <c r="AC201" s="58" t="s">
        <v>2</v>
      </c>
      <c r="AD201" s="14"/>
      <c r="AE201" s="14"/>
      <c r="AF201" s="1"/>
      <c r="AH201" s="16">
        <f t="shared" si="24"/>
        <v>0</v>
      </c>
      <c r="AI201" s="16">
        <f t="shared" si="25"/>
        <v>0</v>
      </c>
    </row>
    <row r="202" spans="1:35" ht="20.100000000000001" customHeight="1">
      <c r="A202" s="18" t="str">
        <f>ÖSSZES!$A$55</f>
        <v>Varga Imre</v>
      </c>
      <c r="B202" s="33"/>
      <c r="C202" s="33"/>
      <c r="D202" s="58" t="s">
        <v>2</v>
      </c>
      <c r="E202" s="58" t="s">
        <v>2</v>
      </c>
      <c r="F202" s="14"/>
      <c r="G202" s="14"/>
      <c r="H202" s="14"/>
      <c r="I202" s="14"/>
      <c r="J202" s="33"/>
      <c r="K202" s="33"/>
      <c r="L202" s="58" t="s">
        <v>2</v>
      </c>
      <c r="M202" s="58" t="s">
        <v>2</v>
      </c>
      <c r="N202" s="14"/>
      <c r="O202" s="14"/>
      <c r="P202" s="14"/>
      <c r="Q202" s="14"/>
      <c r="R202" s="33"/>
      <c r="S202" s="33"/>
      <c r="T202" s="58" t="s">
        <v>2</v>
      </c>
      <c r="U202" s="58" t="s">
        <v>2</v>
      </c>
      <c r="V202" s="14"/>
      <c r="W202" s="14"/>
      <c r="X202" s="14"/>
      <c r="Y202" s="14"/>
      <c r="Z202" s="33"/>
      <c r="AA202" s="33"/>
      <c r="AB202" s="58" t="s">
        <v>2</v>
      </c>
      <c r="AC202" s="58" t="s">
        <v>2</v>
      </c>
      <c r="AD202" s="14"/>
      <c r="AE202" s="14"/>
      <c r="AF202" s="1"/>
      <c r="AH202" s="16">
        <f t="shared" si="24"/>
        <v>0</v>
      </c>
      <c r="AI202" s="16">
        <f t="shared" si="25"/>
        <v>0</v>
      </c>
    </row>
    <row r="203" spans="1:35" ht="20.100000000000001" hidden="1" customHeight="1">
      <c r="A203" s="18" t="str">
        <f>ÖSSZES!$A$56</f>
        <v>Név8</v>
      </c>
      <c r="B203" s="33"/>
      <c r="C203" s="33"/>
      <c r="D203" s="58" t="s">
        <v>2</v>
      </c>
      <c r="E203" s="58" t="s">
        <v>2</v>
      </c>
      <c r="F203" s="14"/>
      <c r="G203" s="14"/>
      <c r="H203" s="14"/>
      <c r="I203" s="14"/>
      <c r="J203" s="33"/>
      <c r="K203" s="33"/>
      <c r="L203" s="58" t="s">
        <v>2</v>
      </c>
      <c r="M203" s="58" t="s">
        <v>2</v>
      </c>
      <c r="N203" s="14"/>
      <c r="O203" s="14"/>
      <c r="P203" s="14"/>
      <c r="Q203" s="14"/>
      <c r="R203" s="33"/>
      <c r="S203" s="33"/>
      <c r="T203" s="58" t="s">
        <v>2</v>
      </c>
      <c r="U203" s="58" t="s">
        <v>2</v>
      </c>
      <c r="V203" s="14"/>
      <c r="W203" s="14"/>
      <c r="X203" s="14"/>
      <c r="Y203" s="14"/>
      <c r="Z203" s="33"/>
      <c r="AA203" s="33"/>
      <c r="AB203" s="58" t="s">
        <v>2</v>
      </c>
      <c r="AC203" s="58" t="s">
        <v>2</v>
      </c>
      <c r="AD203" s="14"/>
      <c r="AE203" s="14"/>
      <c r="AF203" s="1"/>
      <c r="AH203" s="16">
        <f t="shared" si="24"/>
        <v>0</v>
      </c>
      <c r="AI203" s="16">
        <f t="shared" si="25"/>
        <v>0</v>
      </c>
    </row>
    <row r="204" spans="1:35" ht="20.100000000000001" hidden="1" customHeight="1">
      <c r="A204" s="18" t="str">
        <f>ÖSSZES!$A$57</f>
        <v>Név9</v>
      </c>
      <c r="B204" s="33"/>
      <c r="C204" s="33"/>
      <c r="D204" s="58" t="s">
        <v>2</v>
      </c>
      <c r="E204" s="58" t="s">
        <v>2</v>
      </c>
      <c r="F204" s="14"/>
      <c r="G204" s="14"/>
      <c r="H204" s="14"/>
      <c r="I204" s="14"/>
      <c r="J204" s="33"/>
      <c r="K204" s="33"/>
      <c r="L204" s="58" t="s">
        <v>2</v>
      </c>
      <c r="M204" s="58" t="s">
        <v>2</v>
      </c>
      <c r="N204" s="14"/>
      <c r="O204" s="14"/>
      <c r="P204" s="14"/>
      <c r="Q204" s="14"/>
      <c r="R204" s="33"/>
      <c r="S204" s="33"/>
      <c r="T204" s="58" t="s">
        <v>2</v>
      </c>
      <c r="U204" s="58" t="s">
        <v>2</v>
      </c>
      <c r="V204" s="14"/>
      <c r="W204" s="14"/>
      <c r="X204" s="14"/>
      <c r="Y204" s="14"/>
      <c r="Z204" s="33"/>
      <c r="AA204" s="33"/>
      <c r="AB204" s="58" t="s">
        <v>2</v>
      </c>
      <c r="AC204" s="58" t="s">
        <v>2</v>
      </c>
      <c r="AD204" s="14"/>
      <c r="AE204" s="14"/>
      <c r="AF204" s="1"/>
      <c r="AH204" s="16">
        <f t="shared" si="24"/>
        <v>0</v>
      </c>
      <c r="AI204" s="16">
        <f t="shared" si="25"/>
        <v>0</v>
      </c>
    </row>
    <row r="205" spans="1:35" ht="20.100000000000001" hidden="1" customHeight="1">
      <c r="A205" s="18" t="str">
        <f>ÖSSZES!$A$58</f>
        <v>Név10</v>
      </c>
      <c r="B205" s="33"/>
      <c r="C205" s="33"/>
      <c r="D205" s="58" t="s">
        <v>2</v>
      </c>
      <c r="E205" s="58" t="s">
        <v>2</v>
      </c>
      <c r="F205" s="14"/>
      <c r="G205" s="14"/>
      <c r="H205" s="14"/>
      <c r="I205" s="14"/>
      <c r="J205" s="33"/>
      <c r="K205" s="33"/>
      <c r="L205" s="58" t="s">
        <v>2</v>
      </c>
      <c r="M205" s="58" t="s">
        <v>2</v>
      </c>
      <c r="N205" s="14"/>
      <c r="O205" s="14"/>
      <c r="P205" s="14"/>
      <c r="Q205" s="14"/>
      <c r="R205" s="33"/>
      <c r="S205" s="33"/>
      <c r="T205" s="58" t="s">
        <v>2</v>
      </c>
      <c r="U205" s="58" t="s">
        <v>2</v>
      </c>
      <c r="V205" s="14"/>
      <c r="W205" s="14"/>
      <c r="X205" s="14"/>
      <c r="Y205" s="14"/>
      <c r="Z205" s="33"/>
      <c r="AA205" s="33"/>
      <c r="AB205" s="58" t="s">
        <v>2</v>
      </c>
      <c r="AC205" s="58" t="s">
        <v>2</v>
      </c>
      <c r="AD205" s="14"/>
      <c r="AE205" s="14"/>
      <c r="AF205" s="1"/>
      <c r="AH205" s="16">
        <f t="shared" si="24"/>
        <v>0</v>
      </c>
      <c r="AI205" s="16">
        <f t="shared" si="25"/>
        <v>0</v>
      </c>
    </row>
    <row r="206" spans="1:35" ht="20.100000000000001" hidden="1" customHeight="1">
      <c r="A206" s="18" t="str">
        <f>ÖSSZES!$A$59</f>
        <v>Név11</v>
      </c>
      <c r="B206" s="33"/>
      <c r="C206" s="33"/>
      <c r="D206" s="58" t="s">
        <v>2</v>
      </c>
      <c r="E206" s="58" t="s">
        <v>2</v>
      </c>
      <c r="F206" s="14"/>
      <c r="G206" s="14"/>
      <c r="H206" s="14"/>
      <c r="I206" s="14"/>
      <c r="J206" s="33"/>
      <c r="K206" s="33"/>
      <c r="L206" s="58" t="s">
        <v>2</v>
      </c>
      <c r="M206" s="58" t="s">
        <v>2</v>
      </c>
      <c r="N206" s="14"/>
      <c r="O206" s="14"/>
      <c r="P206" s="14"/>
      <c r="Q206" s="14"/>
      <c r="R206" s="33"/>
      <c r="S206" s="33"/>
      <c r="T206" s="58" t="s">
        <v>2</v>
      </c>
      <c r="U206" s="58" t="s">
        <v>2</v>
      </c>
      <c r="V206" s="14"/>
      <c r="W206" s="14"/>
      <c r="X206" s="14"/>
      <c r="Y206" s="14"/>
      <c r="Z206" s="33"/>
      <c r="AA206" s="33"/>
      <c r="AB206" s="58" t="s">
        <v>2</v>
      </c>
      <c r="AC206" s="58" t="s">
        <v>2</v>
      </c>
      <c r="AD206" s="14"/>
      <c r="AE206" s="14"/>
      <c r="AF206" s="1"/>
      <c r="AH206" s="16">
        <f t="shared" si="24"/>
        <v>0</v>
      </c>
      <c r="AI206" s="16">
        <f t="shared" si="25"/>
        <v>0</v>
      </c>
    </row>
    <row r="207" spans="1:35" ht="20.100000000000001" hidden="1" customHeight="1">
      <c r="A207" s="18" t="str">
        <f>ÖSSZES!$A$60</f>
        <v>Név12</v>
      </c>
      <c r="B207" s="33"/>
      <c r="C207" s="33"/>
      <c r="D207" s="58" t="s">
        <v>2</v>
      </c>
      <c r="E207" s="58" t="s">
        <v>2</v>
      </c>
      <c r="F207" s="14"/>
      <c r="G207" s="14"/>
      <c r="H207" s="14"/>
      <c r="I207" s="14"/>
      <c r="J207" s="33"/>
      <c r="K207" s="33"/>
      <c r="L207" s="58" t="s">
        <v>2</v>
      </c>
      <c r="M207" s="58" t="s">
        <v>2</v>
      </c>
      <c r="N207" s="14"/>
      <c r="O207" s="14"/>
      <c r="P207" s="14"/>
      <c r="Q207" s="14"/>
      <c r="R207" s="33"/>
      <c r="S207" s="33"/>
      <c r="T207" s="58" t="s">
        <v>2</v>
      </c>
      <c r="U207" s="58" t="s">
        <v>2</v>
      </c>
      <c r="V207" s="14"/>
      <c r="W207" s="14"/>
      <c r="X207" s="14"/>
      <c r="Y207" s="14"/>
      <c r="Z207" s="33"/>
      <c r="AA207" s="33"/>
      <c r="AB207" s="58" t="s">
        <v>2</v>
      </c>
      <c r="AC207" s="58" t="s">
        <v>2</v>
      </c>
      <c r="AD207" s="14"/>
      <c r="AE207" s="14"/>
      <c r="AF207" s="1"/>
      <c r="AH207" s="16">
        <f t="shared" si="24"/>
        <v>0</v>
      </c>
      <c r="AI207" s="16">
        <f t="shared" si="25"/>
        <v>0</v>
      </c>
    </row>
    <row r="208" spans="1:35" ht="20.100000000000001" hidden="1" customHeight="1">
      <c r="A208" s="18" t="str">
        <f>ÖSSZES!$A$61</f>
        <v>Név13</v>
      </c>
      <c r="B208" s="33"/>
      <c r="C208" s="33"/>
      <c r="D208" s="58" t="s">
        <v>2</v>
      </c>
      <c r="E208" s="58" t="s">
        <v>2</v>
      </c>
      <c r="F208" s="14"/>
      <c r="G208" s="14"/>
      <c r="H208" s="14"/>
      <c r="I208" s="14"/>
      <c r="J208" s="33"/>
      <c r="K208" s="33"/>
      <c r="L208" s="58" t="s">
        <v>2</v>
      </c>
      <c r="M208" s="58" t="s">
        <v>2</v>
      </c>
      <c r="N208" s="14"/>
      <c r="O208" s="14"/>
      <c r="P208" s="14"/>
      <c r="Q208" s="14"/>
      <c r="R208" s="33"/>
      <c r="S208" s="33"/>
      <c r="T208" s="58" t="s">
        <v>2</v>
      </c>
      <c r="U208" s="58" t="s">
        <v>2</v>
      </c>
      <c r="V208" s="14"/>
      <c r="W208" s="14"/>
      <c r="X208" s="14"/>
      <c r="Y208" s="14"/>
      <c r="Z208" s="33"/>
      <c r="AA208" s="33"/>
      <c r="AB208" s="58" t="s">
        <v>2</v>
      </c>
      <c r="AC208" s="58" t="s">
        <v>2</v>
      </c>
      <c r="AD208" s="14"/>
      <c r="AE208" s="14"/>
      <c r="AF208" s="1"/>
      <c r="AH208" s="16">
        <f t="shared" si="24"/>
        <v>0</v>
      </c>
      <c r="AI208" s="16">
        <f t="shared" si="25"/>
        <v>0</v>
      </c>
    </row>
    <row r="209" spans="1:35" ht="20.100000000000001" hidden="1" customHeight="1">
      <c r="A209" s="18" t="str">
        <f>ÖSSZES!$A$62</f>
        <v>Név14</v>
      </c>
      <c r="B209" s="33"/>
      <c r="C209" s="33"/>
      <c r="D209" s="58" t="s">
        <v>2</v>
      </c>
      <c r="E209" s="58" t="s">
        <v>2</v>
      </c>
      <c r="F209" s="14"/>
      <c r="G209" s="14"/>
      <c r="H209" s="14"/>
      <c r="I209" s="14"/>
      <c r="J209" s="33"/>
      <c r="K209" s="33"/>
      <c r="L209" s="58" t="s">
        <v>2</v>
      </c>
      <c r="M209" s="58" t="s">
        <v>2</v>
      </c>
      <c r="N209" s="14"/>
      <c r="O209" s="14"/>
      <c r="P209" s="14"/>
      <c r="Q209" s="14"/>
      <c r="R209" s="33"/>
      <c r="S209" s="33"/>
      <c r="T209" s="58" t="s">
        <v>2</v>
      </c>
      <c r="U209" s="58" t="s">
        <v>2</v>
      </c>
      <c r="V209" s="14"/>
      <c r="W209" s="14"/>
      <c r="X209" s="14"/>
      <c r="Y209" s="14"/>
      <c r="Z209" s="33"/>
      <c r="AA209" s="33"/>
      <c r="AB209" s="58" t="s">
        <v>2</v>
      </c>
      <c r="AC209" s="58" t="s">
        <v>2</v>
      </c>
      <c r="AD209" s="14"/>
      <c r="AE209" s="14"/>
      <c r="AF209" s="1"/>
      <c r="AH209" s="16">
        <f t="shared" si="24"/>
        <v>0</v>
      </c>
      <c r="AI209" s="16">
        <f t="shared" si="25"/>
        <v>0</v>
      </c>
    </row>
    <row r="210" spans="1:35" ht="20.100000000000001" hidden="1" customHeight="1">
      <c r="A210" s="18" t="str">
        <f>ÖSSZES!$A$63</f>
        <v>Név15</v>
      </c>
      <c r="B210" s="33"/>
      <c r="C210" s="33"/>
      <c r="D210" s="58" t="s">
        <v>2</v>
      </c>
      <c r="E210" s="58" t="s">
        <v>2</v>
      </c>
      <c r="F210" s="14"/>
      <c r="G210" s="14"/>
      <c r="H210" s="14"/>
      <c r="I210" s="14"/>
      <c r="J210" s="33"/>
      <c r="K210" s="33"/>
      <c r="L210" s="58" t="s">
        <v>2</v>
      </c>
      <c r="M210" s="58" t="s">
        <v>2</v>
      </c>
      <c r="N210" s="14"/>
      <c r="O210" s="14"/>
      <c r="P210" s="14"/>
      <c r="Q210" s="14"/>
      <c r="R210" s="33"/>
      <c r="S210" s="33"/>
      <c r="T210" s="58" t="s">
        <v>2</v>
      </c>
      <c r="U210" s="58" t="s">
        <v>2</v>
      </c>
      <c r="V210" s="14"/>
      <c r="W210" s="14"/>
      <c r="X210" s="14"/>
      <c r="Y210" s="14"/>
      <c r="Z210" s="33"/>
      <c r="AA210" s="33"/>
      <c r="AB210" s="58" t="s">
        <v>2</v>
      </c>
      <c r="AC210" s="58" t="s">
        <v>2</v>
      </c>
      <c r="AD210" s="14"/>
      <c r="AE210" s="14"/>
      <c r="AF210" s="1"/>
      <c r="AH210" s="16">
        <f t="shared" si="24"/>
        <v>0</v>
      </c>
      <c r="AI210" s="16">
        <f t="shared" si="25"/>
        <v>0</v>
      </c>
    </row>
    <row r="211" spans="1:35" ht="20.100000000000001" hidden="1" customHeight="1">
      <c r="A211" s="18" t="str">
        <f>ÖSSZES!$A$64</f>
        <v>Név16</v>
      </c>
      <c r="B211" s="33"/>
      <c r="C211" s="33"/>
      <c r="D211" s="58" t="s">
        <v>2</v>
      </c>
      <c r="E211" s="58" t="s">
        <v>2</v>
      </c>
      <c r="F211" s="14"/>
      <c r="G211" s="14"/>
      <c r="H211" s="14"/>
      <c r="I211" s="14"/>
      <c r="J211" s="33"/>
      <c r="K211" s="33"/>
      <c r="L211" s="58" t="s">
        <v>2</v>
      </c>
      <c r="M211" s="58" t="s">
        <v>2</v>
      </c>
      <c r="N211" s="14"/>
      <c r="O211" s="14"/>
      <c r="P211" s="14"/>
      <c r="Q211" s="14"/>
      <c r="R211" s="33"/>
      <c r="S211" s="33"/>
      <c r="T211" s="58" t="s">
        <v>2</v>
      </c>
      <c r="U211" s="58" t="s">
        <v>2</v>
      </c>
      <c r="V211" s="14"/>
      <c r="W211" s="14"/>
      <c r="X211" s="14"/>
      <c r="Y211" s="14"/>
      <c r="Z211" s="33"/>
      <c r="AA211" s="33"/>
      <c r="AB211" s="58" t="s">
        <v>2</v>
      </c>
      <c r="AC211" s="58" t="s">
        <v>2</v>
      </c>
      <c r="AD211" s="14"/>
      <c r="AE211" s="14"/>
      <c r="AF211" s="1"/>
      <c r="AH211" s="16">
        <f t="shared" si="24"/>
        <v>0</v>
      </c>
      <c r="AI211" s="16">
        <f t="shared" si="25"/>
        <v>0</v>
      </c>
    </row>
    <row r="212" spans="1:35" ht="20.100000000000001" hidden="1" customHeight="1">
      <c r="A212" s="18" t="str">
        <f>ÖSSZES!$A$65</f>
        <v>Név17</v>
      </c>
      <c r="B212" s="33"/>
      <c r="C212" s="33"/>
      <c r="D212" s="58" t="s">
        <v>2</v>
      </c>
      <c r="E212" s="58" t="s">
        <v>2</v>
      </c>
      <c r="F212" s="14"/>
      <c r="G212" s="14"/>
      <c r="H212" s="14"/>
      <c r="I212" s="14"/>
      <c r="J212" s="33"/>
      <c r="K212" s="33"/>
      <c r="L212" s="58" t="s">
        <v>2</v>
      </c>
      <c r="M212" s="58" t="s">
        <v>2</v>
      </c>
      <c r="N212" s="14"/>
      <c r="O212" s="14"/>
      <c r="P212" s="14"/>
      <c r="Q212" s="14"/>
      <c r="R212" s="33"/>
      <c r="S212" s="33"/>
      <c r="T212" s="58" t="s">
        <v>2</v>
      </c>
      <c r="U212" s="58" t="s">
        <v>2</v>
      </c>
      <c r="V212" s="14"/>
      <c r="W212" s="14"/>
      <c r="X212" s="14"/>
      <c r="Y212" s="14"/>
      <c r="Z212" s="33"/>
      <c r="AA212" s="33"/>
      <c r="AB212" s="58" t="s">
        <v>2</v>
      </c>
      <c r="AC212" s="58" t="s">
        <v>2</v>
      </c>
      <c r="AD212" s="14"/>
      <c r="AE212" s="14"/>
      <c r="AF212" s="1"/>
      <c r="AH212" s="16">
        <f t="shared" si="24"/>
        <v>0</v>
      </c>
      <c r="AI212" s="16">
        <f t="shared" si="25"/>
        <v>0</v>
      </c>
    </row>
    <row r="213" spans="1:35" ht="20.100000000000001" hidden="1" customHeight="1">
      <c r="A213" s="18" t="str">
        <f>ÖSSZES!$A$66</f>
        <v>Név18</v>
      </c>
      <c r="B213" s="33"/>
      <c r="C213" s="33"/>
      <c r="D213" s="58" t="s">
        <v>2</v>
      </c>
      <c r="E213" s="58" t="s">
        <v>2</v>
      </c>
      <c r="F213" s="14"/>
      <c r="G213" s="14"/>
      <c r="H213" s="14"/>
      <c r="I213" s="14"/>
      <c r="J213" s="33"/>
      <c r="K213" s="33"/>
      <c r="L213" s="58" t="s">
        <v>2</v>
      </c>
      <c r="M213" s="58" t="s">
        <v>2</v>
      </c>
      <c r="N213" s="14"/>
      <c r="O213" s="14"/>
      <c r="P213" s="14"/>
      <c r="Q213" s="14"/>
      <c r="R213" s="33"/>
      <c r="S213" s="33"/>
      <c r="T213" s="58" t="s">
        <v>2</v>
      </c>
      <c r="U213" s="58" t="s">
        <v>2</v>
      </c>
      <c r="V213" s="14"/>
      <c r="W213" s="14"/>
      <c r="X213" s="14"/>
      <c r="Y213" s="14"/>
      <c r="Z213" s="33"/>
      <c r="AA213" s="33"/>
      <c r="AB213" s="58" t="s">
        <v>2</v>
      </c>
      <c r="AC213" s="58" t="s">
        <v>2</v>
      </c>
      <c r="AD213" s="14"/>
      <c r="AE213" s="14"/>
      <c r="AF213" s="1"/>
      <c r="AH213" s="16">
        <f t="shared" si="24"/>
        <v>0</v>
      </c>
      <c r="AI213" s="16">
        <f t="shared" si="25"/>
        <v>0</v>
      </c>
    </row>
    <row r="214" spans="1:35" ht="20.100000000000001" hidden="1" customHeight="1">
      <c r="A214" s="18" t="str">
        <f>ÖSSZES!$A$67</f>
        <v>Név19</v>
      </c>
      <c r="B214" s="33"/>
      <c r="C214" s="33"/>
      <c r="D214" s="58" t="s">
        <v>2</v>
      </c>
      <c r="E214" s="58" t="s">
        <v>2</v>
      </c>
      <c r="F214" s="14"/>
      <c r="G214" s="14"/>
      <c r="H214" s="14"/>
      <c r="I214" s="14"/>
      <c r="J214" s="33"/>
      <c r="K214" s="33"/>
      <c r="L214" s="58" t="s">
        <v>2</v>
      </c>
      <c r="M214" s="58" t="s">
        <v>2</v>
      </c>
      <c r="N214" s="14"/>
      <c r="O214" s="14"/>
      <c r="P214" s="14"/>
      <c r="Q214" s="14"/>
      <c r="R214" s="33"/>
      <c r="S214" s="33"/>
      <c r="T214" s="58" t="s">
        <v>2</v>
      </c>
      <c r="U214" s="58" t="s">
        <v>2</v>
      </c>
      <c r="V214" s="14"/>
      <c r="W214" s="14"/>
      <c r="X214" s="14"/>
      <c r="Y214" s="14"/>
      <c r="Z214" s="33"/>
      <c r="AA214" s="33"/>
      <c r="AB214" s="58" t="s">
        <v>2</v>
      </c>
      <c r="AC214" s="58" t="s">
        <v>2</v>
      </c>
      <c r="AD214" s="14"/>
      <c r="AE214" s="14"/>
      <c r="AF214" s="1"/>
      <c r="AH214" s="16">
        <f t="shared" si="24"/>
        <v>0</v>
      </c>
      <c r="AI214" s="16">
        <f t="shared" si="25"/>
        <v>0</v>
      </c>
    </row>
    <row r="215" spans="1:35" ht="20.100000000000001" hidden="1" customHeight="1">
      <c r="A215" s="18" t="str">
        <f>ÖSSZES!$A$68</f>
        <v>Név20</v>
      </c>
      <c r="B215" s="33"/>
      <c r="C215" s="33"/>
      <c r="D215" s="58" t="s">
        <v>2</v>
      </c>
      <c r="E215" s="58" t="s">
        <v>2</v>
      </c>
      <c r="F215" s="14"/>
      <c r="G215" s="14"/>
      <c r="H215" s="14"/>
      <c r="I215" s="14"/>
      <c r="J215" s="33"/>
      <c r="K215" s="33"/>
      <c r="L215" s="58" t="s">
        <v>2</v>
      </c>
      <c r="M215" s="58" t="s">
        <v>2</v>
      </c>
      <c r="N215" s="14"/>
      <c r="O215" s="14"/>
      <c r="P215" s="14"/>
      <c r="Q215" s="14"/>
      <c r="R215" s="33"/>
      <c r="S215" s="33"/>
      <c r="T215" s="58" t="s">
        <v>2</v>
      </c>
      <c r="U215" s="58" t="s">
        <v>2</v>
      </c>
      <c r="V215" s="14"/>
      <c r="W215" s="14"/>
      <c r="X215" s="14"/>
      <c r="Y215" s="14"/>
      <c r="Z215" s="33"/>
      <c r="AA215" s="33"/>
      <c r="AB215" s="58" t="s">
        <v>2</v>
      </c>
      <c r="AC215" s="58" t="s">
        <v>2</v>
      </c>
      <c r="AD215" s="14"/>
      <c r="AE215" s="14"/>
      <c r="AF215" s="1"/>
      <c r="AH215" s="16">
        <f t="shared" si="24"/>
        <v>0</v>
      </c>
      <c r="AI215" s="16">
        <f t="shared" si="25"/>
        <v>0</v>
      </c>
    </row>
    <row r="216" spans="1:35" ht="20.100000000000001" customHeight="1"/>
    <row r="217" spans="1:35" s="6" customFormat="1" ht="20.100000000000001" customHeight="1">
      <c r="A217" s="91" t="s">
        <v>14</v>
      </c>
      <c r="B217" s="17">
        <v>1</v>
      </c>
      <c r="C217" s="17">
        <v>2</v>
      </c>
      <c r="D217" s="17">
        <v>3</v>
      </c>
      <c r="E217" s="17">
        <v>4</v>
      </c>
      <c r="F217" s="17">
        <v>5</v>
      </c>
      <c r="G217" s="17">
        <v>6</v>
      </c>
      <c r="H217" s="17">
        <v>7</v>
      </c>
      <c r="I217" s="17">
        <v>8</v>
      </c>
      <c r="J217" s="17">
        <v>9</v>
      </c>
      <c r="K217" s="17">
        <v>10</v>
      </c>
      <c r="L217" s="17">
        <v>11</v>
      </c>
      <c r="M217" s="17">
        <v>12</v>
      </c>
      <c r="N217" s="17">
        <v>13</v>
      </c>
      <c r="O217" s="17">
        <v>14</v>
      </c>
      <c r="P217" s="17">
        <v>15</v>
      </c>
      <c r="Q217" s="17">
        <v>16</v>
      </c>
      <c r="R217" s="17">
        <v>17</v>
      </c>
      <c r="S217" s="17">
        <v>18</v>
      </c>
      <c r="T217" s="17">
        <v>19</v>
      </c>
      <c r="U217" s="17">
        <v>20</v>
      </c>
      <c r="V217" s="17">
        <v>21</v>
      </c>
      <c r="W217" s="17">
        <v>22</v>
      </c>
      <c r="X217" s="19">
        <v>23</v>
      </c>
      <c r="Y217" s="17">
        <v>24</v>
      </c>
      <c r="Z217" s="17">
        <v>25</v>
      </c>
      <c r="AA217" s="17">
        <v>26</v>
      </c>
      <c r="AB217" s="17">
        <v>27</v>
      </c>
      <c r="AC217" s="17">
        <v>28</v>
      </c>
      <c r="AD217" s="17">
        <v>29</v>
      </c>
      <c r="AE217" s="17">
        <v>30</v>
      </c>
      <c r="AF217" s="17">
        <v>31</v>
      </c>
      <c r="AH217" s="93" t="s">
        <v>18</v>
      </c>
      <c r="AI217" s="93" t="s">
        <v>19</v>
      </c>
    </row>
    <row r="218" spans="1:35" ht="20.100000000000001" customHeight="1">
      <c r="A218" s="96"/>
      <c r="B218" s="10" t="str">
        <f>'2020'!B76</f>
        <v>Cs</v>
      </c>
      <c r="C218" s="10" t="str">
        <f>'2020'!C76</f>
        <v>P</v>
      </c>
      <c r="D218" s="10" t="str">
        <f>'2020'!D76</f>
        <v>Szo</v>
      </c>
      <c r="E218" s="10" t="str">
        <f>'2020'!E76</f>
        <v>V</v>
      </c>
      <c r="F218" s="10" t="str">
        <f>'2020'!F76</f>
        <v>H</v>
      </c>
      <c r="G218" s="10" t="str">
        <f>'2020'!G76</f>
        <v>K</v>
      </c>
      <c r="H218" s="10" t="str">
        <f>'2020'!H76</f>
        <v>Sze</v>
      </c>
      <c r="I218" s="10" t="str">
        <f>'2020'!I76</f>
        <v>Cs</v>
      </c>
      <c r="J218" s="10" t="str">
        <f>'2020'!J76</f>
        <v>P</v>
      </c>
      <c r="K218" s="10" t="str">
        <f>'2020'!K76</f>
        <v>Szo</v>
      </c>
      <c r="L218" s="10" t="str">
        <f>'2020'!L76</f>
        <v>V</v>
      </c>
      <c r="M218" s="10" t="str">
        <f>'2020'!M76</f>
        <v>H</v>
      </c>
      <c r="N218" s="10" t="str">
        <f>'2020'!N76</f>
        <v>K</v>
      </c>
      <c r="O218" s="10" t="str">
        <f>'2020'!O76</f>
        <v>Sze</v>
      </c>
      <c r="P218" s="10" t="str">
        <f>'2020'!P76</f>
        <v>Cs</v>
      </c>
      <c r="Q218" s="10" t="str">
        <f>'2020'!Q76</f>
        <v>P</v>
      </c>
      <c r="R218" s="10" t="str">
        <f>'2020'!R76</f>
        <v>Szo</v>
      </c>
      <c r="S218" s="10" t="str">
        <f>'2020'!S76</f>
        <v>V</v>
      </c>
      <c r="T218" s="10" t="str">
        <f>'2020'!T76</f>
        <v>H</v>
      </c>
      <c r="U218" s="10" t="str">
        <f>'2020'!U76</f>
        <v>K</v>
      </c>
      <c r="V218" s="10" t="str">
        <f>'2020'!V76</f>
        <v>Sze</v>
      </c>
      <c r="W218" s="10" t="str">
        <f>'2020'!W76</f>
        <v>Cs</v>
      </c>
      <c r="X218" s="10" t="str">
        <f>'2020'!X76</f>
        <v>P</v>
      </c>
      <c r="Y218" s="10" t="str">
        <f>'2020'!Y76</f>
        <v>Szo</v>
      </c>
      <c r="Z218" s="10" t="str">
        <f>'2020'!Z76</f>
        <v>V</v>
      </c>
      <c r="AA218" s="10" t="str">
        <f>'2020'!AA76</f>
        <v>H</v>
      </c>
      <c r="AB218" s="10" t="str">
        <f>'2020'!AB76</f>
        <v>K</v>
      </c>
      <c r="AC218" s="10" t="str">
        <f>'2020'!AC76</f>
        <v>Sze</v>
      </c>
      <c r="AD218" s="10" t="str">
        <f>'2020'!AD76</f>
        <v>Cs</v>
      </c>
      <c r="AE218" s="10" t="str">
        <f>'2020'!AE76</f>
        <v>P</v>
      </c>
      <c r="AF218" s="10" t="str">
        <f>'2020'!AF76</f>
        <v>Szo</v>
      </c>
      <c r="AH218" s="94"/>
      <c r="AI218" s="94"/>
    </row>
    <row r="219" spans="1:35" ht="20.100000000000001" customHeight="1">
      <c r="A219" s="96"/>
      <c r="B219" s="10">
        <f>'2020'!B79</f>
        <v>3</v>
      </c>
      <c r="C219" s="10">
        <f>'2020'!C79</f>
        <v>3</v>
      </c>
      <c r="D219" s="10">
        <f>'2020'!D79</f>
        <v>3</v>
      </c>
      <c r="E219" s="10">
        <f>'2020'!E79</f>
        <v>3</v>
      </c>
      <c r="F219" s="10" t="str">
        <f>'2020'!F79</f>
        <v>X</v>
      </c>
      <c r="G219" s="10" t="str">
        <f>'2020'!G79</f>
        <v>X</v>
      </c>
      <c r="H219" s="10">
        <f>'2020'!H79</f>
        <v>2</v>
      </c>
      <c r="I219" s="10">
        <f>'2020'!I79</f>
        <v>2</v>
      </c>
      <c r="J219" s="10">
        <f>'2020'!J79</f>
        <v>2</v>
      </c>
      <c r="K219" s="10">
        <f>'2020'!K79</f>
        <v>2</v>
      </c>
      <c r="L219" s="10">
        <f>'2020'!L79</f>
        <v>2</v>
      </c>
      <c r="M219" s="10">
        <f>'2020'!M79</f>
        <v>2</v>
      </c>
      <c r="N219" s="10" t="str">
        <f>'2020'!N79</f>
        <v>X</v>
      </c>
      <c r="O219" s="10" t="str">
        <f>'2020'!O79</f>
        <v>X</v>
      </c>
      <c r="P219" s="10">
        <f>'2020'!P79</f>
        <v>1</v>
      </c>
      <c r="Q219" s="10">
        <f>'2020'!Q79</f>
        <v>1</v>
      </c>
      <c r="R219" s="10">
        <f>'2020'!R79</f>
        <v>1</v>
      </c>
      <c r="S219" s="10">
        <f>'2020'!S79</f>
        <v>1</v>
      </c>
      <c r="T219" s="10">
        <f>'2020'!T79</f>
        <v>1</v>
      </c>
      <c r="U219" s="10">
        <f>'2020'!U79</f>
        <v>1</v>
      </c>
      <c r="V219" s="10" t="str">
        <f>'2020'!V79</f>
        <v>X</v>
      </c>
      <c r="W219" s="10" t="str">
        <f>'2020'!W79</f>
        <v>X</v>
      </c>
      <c r="X219" s="10">
        <f>'2020'!X79</f>
        <v>3</v>
      </c>
      <c r="Y219" s="10">
        <f>'2020'!Y79</f>
        <v>3</v>
      </c>
      <c r="Z219" s="10">
        <f>'2020'!Z79</f>
        <v>3</v>
      </c>
      <c r="AA219" s="10">
        <f>'2020'!AA79</f>
        <v>3</v>
      </c>
      <c r="AB219" s="10">
        <f>'2020'!AB79</f>
        <v>3</v>
      </c>
      <c r="AC219" s="10">
        <f>'2020'!AC79</f>
        <v>3</v>
      </c>
      <c r="AD219" s="10" t="str">
        <f>'2020'!AD79</f>
        <v>X</v>
      </c>
      <c r="AE219" s="10" t="str">
        <f>'2020'!AE79</f>
        <v>X</v>
      </c>
      <c r="AF219" s="10">
        <f>'2020'!AF79</f>
        <v>2</v>
      </c>
      <c r="AH219" s="94"/>
      <c r="AI219" s="94"/>
    </row>
    <row r="220" spans="1:35" ht="20.100000000000001" customHeight="1">
      <c r="A220" s="18" t="str">
        <f>ÖSSZES!$A$49</f>
        <v>Kuik-Filep András</v>
      </c>
      <c r="B220" s="33"/>
      <c r="C220" s="33"/>
      <c r="D220" s="33"/>
      <c r="E220" s="33"/>
      <c r="F220" s="58" t="s">
        <v>2</v>
      </c>
      <c r="G220" s="58" t="s">
        <v>2</v>
      </c>
      <c r="H220" s="33"/>
      <c r="I220" s="33"/>
      <c r="J220" s="33"/>
      <c r="K220" s="33"/>
      <c r="L220" s="33"/>
      <c r="M220" s="33"/>
      <c r="N220" s="58" t="s">
        <v>2</v>
      </c>
      <c r="O220" s="58" t="s">
        <v>2</v>
      </c>
      <c r="P220" s="33"/>
      <c r="Q220" s="33"/>
      <c r="R220" s="33"/>
      <c r="S220" s="33"/>
      <c r="T220" s="33"/>
      <c r="U220" s="33"/>
      <c r="V220" s="58" t="s">
        <v>2</v>
      </c>
      <c r="W220" s="58" t="s">
        <v>2</v>
      </c>
      <c r="X220" s="59"/>
      <c r="Y220" s="33"/>
      <c r="Z220" s="33"/>
      <c r="AA220" s="33"/>
      <c r="AB220" s="33"/>
      <c r="AC220" s="33"/>
      <c r="AD220" s="58" t="s">
        <v>2</v>
      </c>
      <c r="AE220" s="58" t="s">
        <v>2</v>
      </c>
      <c r="AF220" s="33"/>
      <c r="AH220" s="16">
        <f>1*COUNTIF(A220:AF220,"+")</f>
        <v>0</v>
      </c>
      <c r="AI220" s="16">
        <f t="shared" ref="AI220" si="26">1*COUNTIF(B220:AF220,"szf")</f>
        <v>0</v>
      </c>
    </row>
    <row r="221" spans="1:35" ht="20.100000000000001" customHeight="1">
      <c r="A221" s="18" t="str">
        <f>ÖSSZES!$A$50</f>
        <v>Balogh Zsolt</v>
      </c>
      <c r="B221" s="33"/>
      <c r="C221" s="33"/>
      <c r="D221" s="33"/>
      <c r="E221" s="33"/>
      <c r="F221" s="58" t="s">
        <v>2</v>
      </c>
      <c r="G221" s="58" t="s">
        <v>2</v>
      </c>
      <c r="H221" s="33"/>
      <c r="I221" s="33"/>
      <c r="J221" s="33"/>
      <c r="K221" s="33"/>
      <c r="L221" s="33"/>
      <c r="M221" s="33"/>
      <c r="N221" s="58" t="s">
        <v>2</v>
      </c>
      <c r="O221" s="58" t="s">
        <v>2</v>
      </c>
      <c r="P221" s="33"/>
      <c r="Q221" s="33"/>
      <c r="R221" s="33"/>
      <c r="S221" s="33"/>
      <c r="T221" s="33"/>
      <c r="U221" s="33"/>
      <c r="V221" s="58" t="s">
        <v>2</v>
      </c>
      <c r="W221" s="58" t="s">
        <v>2</v>
      </c>
      <c r="X221" s="59"/>
      <c r="Y221" s="33"/>
      <c r="Z221" s="33"/>
      <c r="AA221" s="33"/>
      <c r="AB221" s="33"/>
      <c r="AC221" s="33"/>
      <c r="AD221" s="58" t="s">
        <v>2</v>
      </c>
      <c r="AE221" s="58" t="s">
        <v>2</v>
      </c>
      <c r="AF221" s="33"/>
      <c r="AH221" s="16">
        <f t="shared" ref="AH221:AH239" si="27">1*COUNTIF(A221:AF221,"+")</f>
        <v>0</v>
      </c>
      <c r="AI221" s="16">
        <f t="shared" ref="AI221:AI239" si="28">1*COUNTIF(B221:AF221,"szf")</f>
        <v>0</v>
      </c>
    </row>
    <row r="222" spans="1:35" ht="20.100000000000001" customHeight="1">
      <c r="A222" s="18" t="str">
        <f>ÖSSZES!$A$51</f>
        <v>Éliás Viktor</v>
      </c>
      <c r="B222" s="33"/>
      <c r="C222" s="33"/>
      <c r="D222" s="33"/>
      <c r="E222" s="33"/>
      <c r="F222" s="58" t="s">
        <v>2</v>
      </c>
      <c r="G222" s="58" t="s">
        <v>2</v>
      </c>
      <c r="H222" s="33"/>
      <c r="I222" s="33"/>
      <c r="J222" s="33"/>
      <c r="K222" s="33"/>
      <c r="L222" s="33"/>
      <c r="M222" s="33"/>
      <c r="N222" s="58" t="s">
        <v>2</v>
      </c>
      <c r="O222" s="58" t="s">
        <v>2</v>
      </c>
      <c r="P222" s="33"/>
      <c r="Q222" s="33"/>
      <c r="R222" s="33"/>
      <c r="S222" s="33"/>
      <c r="T222" s="33"/>
      <c r="U222" s="33"/>
      <c r="V222" s="58" t="s">
        <v>2</v>
      </c>
      <c r="W222" s="58" t="s">
        <v>2</v>
      </c>
      <c r="X222" s="59"/>
      <c r="Y222" s="33"/>
      <c r="Z222" s="33"/>
      <c r="AA222" s="33"/>
      <c r="AB222" s="33"/>
      <c r="AC222" s="33"/>
      <c r="AD222" s="58" t="s">
        <v>2</v>
      </c>
      <c r="AE222" s="58" t="s">
        <v>2</v>
      </c>
      <c r="AF222" s="33"/>
      <c r="AH222" s="16">
        <f t="shared" si="27"/>
        <v>0</v>
      </c>
      <c r="AI222" s="16">
        <f t="shared" si="28"/>
        <v>0</v>
      </c>
    </row>
    <row r="223" spans="1:35" ht="20.100000000000001" customHeight="1">
      <c r="A223" s="18" t="str">
        <f>ÖSSZES!$A$52</f>
        <v>Hadházi Kálmán</v>
      </c>
      <c r="B223" s="33"/>
      <c r="C223" s="33"/>
      <c r="D223" s="33"/>
      <c r="E223" s="33"/>
      <c r="F223" s="58" t="s">
        <v>2</v>
      </c>
      <c r="G223" s="58" t="s">
        <v>2</v>
      </c>
      <c r="H223" s="33"/>
      <c r="I223" s="33"/>
      <c r="J223" s="33"/>
      <c r="K223" s="33"/>
      <c r="L223" s="33"/>
      <c r="M223" s="33"/>
      <c r="N223" s="58" t="s">
        <v>2</v>
      </c>
      <c r="O223" s="58" t="s">
        <v>2</v>
      </c>
      <c r="P223" s="33"/>
      <c r="Q223" s="33"/>
      <c r="R223" s="33"/>
      <c r="S223" s="33"/>
      <c r="T223" s="33"/>
      <c r="U223" s="33"/>
      <c r="V223" s="58" t="s">
        <v>2</v>
      </c>
      <c r="W223" s="58" t="s">
        <v>2</v>
      </c>
      <c r="X223" s="59"/>
      <c r="Y223" s="33"/>
      <c r="Z223" s="33"/>
      <c r="AA223" s="33"/>
      <c r="AB223" s="33"/>
      <c r="AC223" s="33"/>
      <c r="AD223" s="58" t="s">
        <v>2</v>
      </c>
      <c r="AE223" s="58" t="s">
        <v>2</v>
      </c>
      <c r="AF223" s="33"/>
      <c r="AH223" s="16">
        <f t="shared" si="27"/>
        <v>0</v>
      </c>
      <c r="AI223" s="16">
        <f t="shared" si="28"/>
        <v>0</v>
      </c>
    </row>
    <row r="224" spans="1:35" ht="20.100000000000001" customHeight="1">
      <c r="A224" s="18" t="str">
        <f>ÖSSZES!$A$53</f>
        <v>Kiss Attila</v>
      </c>
      <c r="B224" s="33"/>
      <c r="C224" s="33"/>
      <c r="D224" s="33"/>
      <c r="E224" s="33"/>
      <c r="F224" s="58" t="s">
        <v>2</v>
      </c>
      <c r="G224" s="58" t="s">
        <v>2</v>
      </c>
      <c r="H224" s="33"/>
      <c r="I224" s="33"/>
      <c r="J224" s="33"/>
      <c r="K224" s="33"/>
      <c r="L224" s="33"/>
      <c r="M224" s="33"/>
      <c r="N224" s="58" t="s">
        <v>2</v>
      </c>
      <c r="O224" s="58" t="s">
        <v>2</v>
      </c>
      <c r="P224" s="33"/>
      <c r="Q224" s="33"/>
      <c r="R224" s="33"/>
      <c r="S224" s="33"/>
      <c r="T224" s="33"/>
      <c r="U224" s="33"/>
      <c r="V224" s="58" t="s">
        <v>2</v>
      </c>
      <c r="W224" s="58" t="s">
        <v>2</v>
      </c>
      <c r="X224" s="59"/>
      <c r="Y224" s="33"/>
      <c r="Z224" s="33"/>
      <c r="AA224" s="33"/>
      <c r="AB224" s="33"/>
      <c r="AC224" s="33"/>
      <c r="AD224" s="58" t="s">
        <v>2</v>
      </c>
      <c r="AE224" s="58" t="s">
        <v>2</v>
      </c>
      <c r="AF224" s="33"/>
      <c r="AH224" s="16">
        <f t="shared" si="27"/>
        <v>0</v>
      </c>
      <c r="AI224" s="16">
        <f t="shared" si="28"/>
        <v>0</v>
      </c>
    </row>
    <row r="225" spans="1:35" ht="20.100000000000001" customHeight="1">
      <c r="A225" s="18" t="str">
        <f>ÖSSZES!$A$54</f>
        <v>Serestyén Dániel</v>
      </c>
      <c r="B225" s="33"/>
      <c r="C225" s="33"/>
      <c r="D225" s="33"/>
      <c r="E225" s="33"/>
      <c r="F225" s="58" t="s">
        <v>2</v>
      </c>
      <c r="G225" s="58" t="s">
        <v>2</v>
      </c>
      <c r="H225" s="33"/>
      <c r="I225" s="33"/>
      <c r="J225" s="33"/>
      <c r="K225" s="33"/>
      <c r="L225" s="33"/>
      <c r="M225" s="33"/>
      <c r="N225" s="58" t="s">
        <v>2</v>
      </c>
      <c r="O225" s="58" t="s">
        <v>2</v>
      </c>
      <c r="P225" s="33"/>
      <c r="Q225" s="33"/>
      <c r="R225" s="33"/>
      <c r="S225" s="33"/>
      <c r="T225" s="33"/>
      <c r="U225" s="33"/>
      <c r="V225" s="58" t="s">
        <v>2</v>
      </c>
      <c r="W225" s="58" t="s">
        <v>2</v>
      </c>
      <c r="X225" s="59"/>
      <c r="Y225" s="33"/>
      <c r="Z225" s="33"/>
      <c r="AA225" s="33"/>
      <c r="AB225" s="33"/>
      <c r="AC225" s="33"/>
      <c r="AD225" s="58" t="s">
        <v>2</v>
      </c>
      <c r="AE225" s="58" t="s">
        <v>2</v>
      </c>
      <c r="AF225" s="33"/>
      <c r="AH225" s="16">
        <f t="shared" si="27"/>
        <v>0</v>
      </c>
      <c r="AI225" s="16">
        <f t="shared" si="28"/>
        <v>0</v>
      </c>
    </row>
    <row r="226" spans="1:35" ht="20.100000000000001" customHeight="1">
      <c r="A226" s="18" t="str">
        <f>ÖSSZES!$A$55</f>
        <v>Varga Imre</v>
      </c>
      <c r="B226" s="33"/>
      <c r="C226" s="33"/>
      <c r="D226" s="33"/>
      <c r="E226" s="33"/>
      <c r="F226" s="58" t="s">
        <v>2</v>
      </c>
      <c r="G226" s="58" t="s">
        <v>2</v>
      </c>
      <c r="H226" s="33"/>
      <c r="I226" s="33"/>
      <c r="J226" s="33"/>
      <c r="K226" s="33"/>
      <c r="L226" s="33"/>
      <c r="M226" s="33"/>
      <c r="N226" s="58" t="s">
        <v>2</v>
      </c>
      <c r="O226" s="58" t="s">
        <v>2</v>
      </c>
      <c r="P226" s="33"/>
      <c r="Q226" s="33"/>
      <c r="R226" s="33"/>
      <c r="S226" s="33"/>
      <c r="T226" s="33"/>
      <c r="U226" s="33"/>
      <c r="V226" s="58" t="s">
        <v>2</v>
      </c>
      <c r="W226" s="58" t="s">
        <v>2</v>
      </c>
      <c r="X226" s="59"/>
      <c r="Y226" s="33"/>
      <c r="Z226" s="33"/>
      <c r="AA226" s="33"/>
      <c r="AB226" s="33"/>
      <c r="AC226" s="33"/>
      <c r="AD226" s="58" t="s">
        <v>2</v>
      </c>
      <c r="AE226" s="58" t="s">
        <v>2</v>
      </c>
      <c r="AF226" s="33"/>
      <c r="AH226" s="16">
        <f t="shared" si="27"/>
        <v>0</v>
      </c>
      <c r="AI226" s="16">
        <f t="shared" si="28"/>
        <v>0</v>
      </c>
    </row>
    <row r="227" spans="1:35" ht="20.100000000000001" hidden="1" customHeight="1">
      <c r="A227" s="18" t="str">
        <f>ÖSSZES!$A$56</f>
        <v>Név8</v>
      </c>
      <c r="B227" s="33"/>
      <c r="C227" s="33"/>
      <c r="D227" s="33"/>
      <c r="E227" s="33"/>
      <c r="F227" s="58" t="s">
        <v>2</v>
      </c>
      <c r="G227" s="58" t="s">
        <v>2</v>
      </c>
      <c r="H227" s="33"/>
      <c r="I227" s="33"/>
      <c r="J227" s="33"/>
      <c r="K227" s="33"/>
      <c r="L227" s="33"/>
      <c r="M227" s="33"/>
      <c r="N227" s="58" t="s">
        <v>2</v>
      </c>
      <c r="O227" s="58" t="s">
        <v>2</v>
      </c>
      <c r="P227" s="33"/>
      <c r="Q227" s="33"/>
      <c r="R227" s="33"/>
      <c r="S227" s="33"/>
      <c r="T227" s="33"/>
      <c r="U227" s="33"/>
      <c r="V227" s="58" t="s">
        <v>2</v>
      </c>
      <c r="W227" s="58" t="s">
        <v>2</v>
      </c>
      <c r="X227" s="59"/>
      <c r="Y227" s="33"/>
      <c r="Z227" s="33"/>
      <c r="AA227" s="33"/>
      <c r="AB227" s="33"/>
      <c r="AC227" s="33"/>
      <c r="AD227" s="58" t="s">
        <v>2</v>
      </c>
      <c r="AE227" s="58" t="s">
        <v>2</v>
      </c>
      <c r="AF227" s="33"/>
      <c r="AH227" s="16">
        <f t="shared" si="27"/>
        <v>0</v>
      </c>
      <c r="AI227" s="16">
        <f t="shared" si="28"/>
        <v>0</v>
      </c>
    </row>
    <row r="228" spans="1:35" ht="20.100000000000001" hidden="1" customHeight="1">
      <c r="A228" s="18" t="str">
        <f>ÖSSZES!$A$57</f>
        <v>Név9</v>
      </c>
      <c r="B228" s="33"/>
      <c r="C228" s="33"/>
      <c r="D228" s="33"/>
      <c r="E228" s="33"/>
      <c r="F228" s="58" t="s">
        <v>2</v>
      </c>
      <c r="G228" s="58" t="s">
        <v>2</v>
      </c>
      <c r="H228" s="33"/>
      <c r="I228" s="33"/>
      <c r="J228" s="33"/>
      <c r="K228" s="33"/>
      <c r="L228" s="33"/>
      <c r="M228" s="33"/>
      <c r="N228" s="58" t="s">
        <v>2</v>
      </c>
      <c r="O228" s="58" t="s">
        <v>2</v>
      </c>
      <c r="P228" s="33"/>
      <c r="Q228" s="33"/>
      <c r="R228" s="33"/>
      <c r="S228" s="33"/>
      <c r="T228" s="33"/>
      <c r="U228" s="33"/>
      <c r="V228" s="58" t="s">
        <v>2</v>
      </c>
      <c r="W228" s="58" t="s">
        <v>2</v>
      </c>
      <c r="X228" s="59"/>
      <c r="Y228" s="33"/>
      <c r="Z228" s="33"/>
      <c r="AA228" s="33"/>
      <c r="AB228" s="33"/>
      <c r="AC228" s="33"/>
      <c r="AD228" s="58" t="s">
        <v>2</v>
      </c>
      <c r="AE228" s="58" t="s">
        <v>2</v>
      </c>
      <c r="AF228" s="33"/>
      <c r="AH228" s="16">
        <f t="shared" si="27"/>
        <v>0</v>
      </c>
      <c r="AI228" s="16">
        <f t="shared" si="28"/>
        <v>0</v>
      </c>
    </row>
    <row r="229" spans="1:35" ht="20.100000000000001" hidden="1" customHeight="1">
      <c r="A229" s="18" t="str">
        <f>ÖSSZES!$A$58</f>
        <v>Név10</v>
      </c>
      <c r="B229" s="33"/>
      <c r="C229" s="33"/>
      <c r="D229" s="33"/>
      <c r="E229" s="33"/>
      <c r="F229" s="58" t="s">
        <v>2</v>
      </c>
      <c r="G229" s="58" t="s">
        <v>2</v>
      </c>
      <c r="H229" s="33"/>
      <c r="I229" s="33"/>
      <c r="J229" s="33"/>
      <c r="K229" s="33"/>
      <c r="L229" s="33"/>
      <c r="M229" s="33"/>
      <c r="N229" s="58" t="s">
        <v>2</v>
      </c>
      <c r="O229" s="58" t="s">
        <v>2</v>
      </c>
      <c r="P229" s="33"/>
      <c r="Q229" s="33"/>
      <c r="R229" s="33"/>
      <c r="S229" s="33"/>
      <c r="T229" s="33"/>
      <c r="U229" s="33"/>
      <c r="V229" s="58" t="s">
        <v>2</v>
      </c>
      <c r="W229" s="58" t="s">
        <v>2</v>
      </c>
      <c r="X229" s="59"/>
      <c r="Y229" s="33"/>
      <c r="Z229" s="33"/>
      <c r="AA229" s="33"/>
      <c r="AB229" s="33"/>
      <c r="AC229" s="33"/>
      <c r="AD229" s="58" t="s">
        <v>2</v>
      </c>
      <c r="AE229" s="58" t="s">
        <v>2</v>
      </c>
      <c r="AF229" s="33"/>
      <c r="AH229" s="16">
        <f t="shared" si="27"/>
        <v>0</v>
      </c>
      <c r="AI229" s="16">
        <f t="shared" si="28"/>
        <v>0</v>
      </c>
    </row>
    <row r="230" spans="1:35" ht="20.100000000000001" hidden="1" customHeight="1">
      <c r="A230" s="18" t="str">
        <f>ÖSSZES!$A$59</f>
        <v>Név11</v>
      </c>
      <c r="B230" s="33"/>
      <c r="C230" s="33"/>
      <c r="D230" s="33"/>
      <c r="E230" s="33"/>
      <c r="F230" s="58" t="s">
        <v>2</v>
      </c>
      <c r="G230" s="58" t="s">
        <v>2</v>
      </c>
      <c r="H230" s="33"/>
      <c r="I230" s="33"/>
      <c r="J230" s="33"/>
      <c r="K230" s="33"/>
      <c r="L230" s="33"/>
      <c r="M230" s="33"/>
      <c r="N230" s="58" t="s">
        <v>2</v>
      </c>
      <c r="O230" s="58" t="s">
        <v>2</v>
      </c>
      <c r="P230" s="33"/>
      <c r="Q230" s="33"/>
      <c r="R230" s="33"/>
      <c r="S230" s="33"/>
      <c r="T230" s="33"/>
      <c r="U230" s="33"/>
      <c r="V230" s="58" t="s">
        <v>2</v>
      </c>
      <c r="W230" s="58" t="s">
        <v>2</v>
      </c>
      <c r="X230" s="59"/>
      <c r="Y230" s="33"/>
      <c r="Z230" s="33"/>
      <c r="AA230" s="33"/>
      <c r="AB230" s="33"/>
      <c r="AC230" s="33"/>
      <c r="AD230" s="58" t="s">
        <v>2</v>
      </c>
      <c r="AE230" s="58" t="s">
        <v>2</v>
      </c>
      <c r="AF230" s="33"/>
      <c r="AH230" s="16">
        <f t="shared" si="27"/>
        <v>0</v>
      </c>
      <c r="AI230" s="16">
        <f t="shared" si="28"/>
        <v>0</v>
      </c>
    </row>
    <row r="231" spans="1:35" ht="20.100000000000001" hidden="1" customHeight="1">
      <c r="A231" s="18" t="str">
        <f>ÖSSZES!$A$60</f>
        <v>Név12</v>
      </c>
      <c r="B231" s="33"/>
      <c r="C231" s="33"/>
      <c r="D231" s="33"/>
      <c r="E231" s="33"/>
      <c r="F231" s="58" t="s">
        <v>2</v>
      </c>
      <c r="G231" s="58" t="s">
        <v>2</v>
      </c>
      <c r="H231" s="33"/>
      <c r="I231" s="33"/>
      <c r="J231" s="33"/>
      <c r="K231" s="33"/>
      <c r="L231" s="33"/>
      <c r="M231" s="33"/>
      <c r="N231" s="58" t="s">
        <v>2</v>
      </c>
      <c r="O231" s="58" t="s">
        <v>2</v>
      </c>
      <c r="P231" s="33"/>
      <c r="Q231" s="33"/>
      <c r="R231" s="33"/>
      <c r="S231" s="33"/>
      <c r="T231" s="33"/>
      <c r="U231" s="33"/>
      <c r="V231" s="58" t="s">
        <v>2</v>
      </c>
      <c r="W231" s="58" t="s">
        <v>2</v>
      </c>
      <c r="X231" s="59"/>
      <c r="Y231" s="33"/>
      <c r="Z231" s="33"/>
      <c r="AA231" s="33"/>
      <c r="AB231" s="33"/>
      <c r="AC231" s="33"/>
      <c r="AD231" s="58" t="s">
        <v>2</v>
      </c>
      <c r="AE231" s="58" t="s">
        <v>2</v>
      </c>
      <c r="AF231" s="33"/>
      <c r="AH231" s="16">
        <f t="shared" si="27"/>
        <v>0</v>
      </c>
      <c r="AI231" s="16">
        <f t="shared" si="28"/>
        <v>0</v>
      </c>
    </row>
    <row r="232" spans="1:35" ht="20.100000000000001" hidden="1" customHeight="1">
      <c r="A232" s="18" t="str">
        <f>ÖSSZES!$A$61</f>
        <v>Név13</v>
      </c>
      <c r="B232" s="33"/>
      <c r="C232" s="33"/>
      <c r="D232" s="33"/>
      <c r="E232" s="33"/>
      <c r="F232" s="58" t="s">
        <v>2</v>
      </c>
      <c r="G232" s="58" t="s">
        <v>2</v>
      </c>
      <c r="H232" s="33"/>
      <c r="I232" s="33"/>
      <c r="J232" s="33"/>
      <c r="K232" s="33"/>
      <c r="L232" s="33"/>
      <c r="M232" s="33"/>
      <c r="N232" s="58" t="s">
        <v>2</v>
      </c>
      <c r="O232" s="58" t="s">
        <v>2</v>
      </c>
      <c r="P232" s="33"/>
      <c r="Q232" s="33"/>
      <c r="R232" s="33"/>
      <c r="S232" s="33"/>
      <c r="T232" s="33"/>
      <c r="U232" s="33"/>
      <c r="V232" s="58" t="s">
        <v>2</v>
      </c>
      <c r="W232" s="58" t="s">
        <v>2</v>
      </c>
      <c r="X232" s="59"/>
      <c r="Y232" s="33"/>
      <c r="Z232" s="33"/>
      <c r="AA232" s="33"/>
      <c r="AB232" s="33"/>
      <c r="AC232" s="33"/>
      <c r="AD232" s="58" t="s">
        <v>2</v>
      </c>
      <c r="AE232" s="58" t="s">
        <v>2</v>
      </c>
      <c r="AF232" s="33"/>
      <c r="AH232" s="16">
        <f t="shared" si="27"/>
        <v>0</v>
      </c>
      <c r="AI232" s="16">
        <f t="shared" si="28"/>
        <v>0</v>
      </c>
    </row>
    <row r="233" spans="1:35" ht="20.100000000000001" hidden="1" customHeight="1">
      <c r="A233" s="18" t="str">
        <f>ÖSSZES!$A$62</f>
        <v>Név14</v>
      </c>
      <c r="B233" s="33"/>
      <c r="C233" s="33"/>
      <c r="D233" s="33"/>
      <c r="E233" s="33"/>
      <c r="F233" s="58" t="s">
        <v>2</v>
      </c>
      <c r="G233" s="58" t="s">
        <v>2</v>
      </c>
      <c r="H233" s="33"/>
      <c r="I233" s="33"/>
      <c r="J233" s="33"/>
      <c r="K233" s="33"/>
      <c r="L233" s="33"/>
      <c r="M233" s="33"/>
      <c r="N233" s="58" t="s">
        <v>2</v>
      </c>
      <c r="O233" s="58" t="s">
        <v>2</v>
      </c>
      <c r="P233" s="33"/>
      <c r="Q233" s="33"/>
      <c r="R233" s="33"/>
      <c r="S233" s="33"/>
      <c r="T233" s="33"/>
      <c r="U233" s="33"/>
      <c r="V233" s="58" t="s">
        <v>2</v>
      </c>
      <c r="W233" s="58" t="s">
        <v>2</v>
      </c>
      <c r="X233" s="59"/>
      <c r="Y233" s="33"/>
      <c r="Z233" s="33"/>
      <c r="AA233" s="33"/>
      <c r="AB233" s="33"/>
      <c r="AC233" s="33"/>
      <c r="AD233" s="58" t="s">
        <v>2</v>
      </c>
      <c r="AE233" s="58" t="s">
        <v>2</v>
      </c>
      <c r="AF233" s="33"/>
      <c r="AH233" s="16">
        <f t="shared" si="27"/>
        <v>0</v>
      </c>
      <c r="AI233" s="16">
        <f t="shared" si="28"/>
        <v>0</v>
      </c>
    </row>
    <row r="234" spans="1:35" ht="20.100000000000001" hidden="1" customHeight="1">
      <c r="A234" s="18" t="str">
        <f>ÖSSZES!$A$63</f>
        <v>Név15</v>
      </c>
      <c r="B234" s="33"/>
      <c r="C234" s="33"/>
      <c r="D234" s="33"/>
      <c r="E234" s="33"/>
      <c r="F234" s="58" t="s">
        <v>2</v>
      </c>
      <c r="G234" s="58" t="s">
        <v>2</v>
      </c>
      <c r="H234" s="33"/>
      <c r="I234" s="33"/>
      <c r="J234" s="33"/>
      <c r="K234" s="33"/>
      <c r="L234" s="33"/>
      <c r="M234" s="33"/>
      <c r="N234" s="58" t="s">
        <v>2</v>
      </c>
      <c r="O234" s="58" t="s">
        <v>2</v>
      </c>
      <c r="P234" s="33"/>
      <c r="Q234" s="33"/>
      <c r="R234" s="33"/>
      <c r="S234" s="33"/>
      <c r="T234" s="33"/>
      <c r="U234" s="33"/>
      <c r="V234" s="58" t="s">
        <v>2</v>
      </c>
      <c r="W234" s="58" t="s">
        <v>2</v>
      </c>
      <c r="X234" s="59"/>
      <c r="Y234" s="33"/>
      <c r="Z234" s="33"/>
      <c r="AA234" s="33"/>
      <c r="AB234" s="33"/>
      <c r="AC234" s="33"/>
      <c r="AD234" s="58" t="s">
        <v>2</v>
      </c>
      <c r="AE234" s="58" t="s">
        <v>2</v>
      </c>
      <c r="AF234" s="33"/>
      <c r="AH234" s="16">
        <f t="shared" si="27"/>
        <v>0</v>
      </c>
      <c r="AI234" s="16">
        <f t="shared" si="28"/>
        <v>0</v>
      </c>
    </row>
    <row r="235" spans="1:35" ht="21.75" hidden="1" customHeight="1">
      <c r="A235" s="18" t="str">
        <f>ÖSSZES!$A$64</f>
        <v>Név16</v>
      </c>
      <c r="B235" s="33"/>
      <c r="C235" s="33"/>
      <c r="D235" s="33"/>
      <c r="E235" s="33"/>
      <c r="F235" s="58" t="s">
        <v>2</v>
      </c>
      <c r="G235" s="58" t="s">
        <v>2</v>
      </c>
      <c r="H235" s="33"/>
      <c r="I235" s="33"/>
      <c r="J235" s="33"/>
      <c r="K235" s="33"/>
      <c r="L235" s="33"/>
      <c r="M235" s="33"/>
      <c r="N235" s="58" t="s">
        <v>2</v>
      </c>
      <c r="O235" s="58" t="s">
        <v>2</v>
      </c>
      <c r="P235" s="33"/>
      <c r="Q235" s="33"/>
      <c r="R235" s="33"/>
      <c r="S235" s="33"/>
      <c r="T235" s="33"/>
      <c r="U235" s="33"/>
      <c r="V235" s="58" t="s">
        <v>2</v>
      </c>
      <c r="W235" s="58" t="s">
        <v>2</v>
      </c>
      <c r="X235" s="59"/>
      <c r="Y235" s="33"/>
      <c r="Z235" s="33"/>
      <c r="AA235" s="33"/>
      <c r="AB235" s="33"/>
      <c r="AC235" s="33"/>
      <c r="AD235" s="58" t="s">
        <v>2</v>
      </c>
      <c r="AE235" s="58" t="s">
        <v>2</v>
      </c>
      <c r="AF235" s="33"/>
      <c r="AH235" s="16">
        <f t="shared" si="27"/>
        <v>0</v>
      </c>
      <c r="AI235" s="16">
        <f t="shared" si="28"/>
        <v>0</v>
      </c>
    </row>
    <row r="236" spans="1:35" ht="20.100000000000001" hidden="1" customHeight="1">
      <c r="A236" s="18" t="str">
        <f>ÖSSZES!$A$65</f>
        <v>Név17</v>
      </c>
      <c r="B236" s="33"/>
      <c r="C236" s="33"/>
      <c r="D236" s="33"/>
      <c r="E236" s="33"/>
      <c r="F236" s="58" t="s">
        <v>2</v>
      </c>
      <c r="G236" s="58" t="s">
        <v>2</v>
      </c>
      <c r="H236" s="33"/>
      <c r="I236" s="33"/>
      <c r="J236" s="33"/>
      <c r="K236" s="33"/>
      <c r="L236" s="33"/>
      <c r="M236" s="33"/>
      <c r="N236" s="58" t="s">
        <v>2</v>
      </c>
      <c r="O236" s="58" t="s">
        <v>2</v>
      </c>
      <c r="P236" s="33"/>
      <c r="Q236" s="33"/>
      <c r="R236" s="33"/>
      <c r="S236" s="33"/>
      <c r="T236" s="33"/>
      <c r="U236" s="33"/>
      <c r="V236" s="58" t="s">
        <v>2</v>
      </c>
      <c r="W236" s="58" t="s">
        <v>2</v>
      </c>
      <c r="X236" s="59"/>
      <c r="Y236" s="33"/>
      <c r="Z236" s="33"/>
      <c r="AA236" s="33"/>
      <c r="AB236" s="33"/>
      <c r="AC236" s="33"/>
      <c r="AD236" s="58" t="s">
        <v>2</v>
      </c>
      <c r="AE236" s="58" t="s">
        <v>2</v>
      </c>
      <c r="AF236" s="33"/>
      <c r="AH236" s="16">
        <f t="shared" si="27"/>
        <v>0</v>
      </c>
      <c r="AI236" s="16">
        <f t="shared" si="28"/>
        <v>0</v>
      </c>
    </row>
    <row r="237" spans="1:35" ht="20.100000000000001" hidden="1" customHeight="1">
      <c r="A237" s="18" t="str">
        <f>ÖSSZES!$A$66</f>
        <v>Név18</v>
      </c>
      <c r="B237" s="33"/>
      <c r="C237" s="33"/>
      <c r="D237" s="33"/>
      <c r="E237" s="33"/>
      <c r="F237" s="58" t="s">
        <v>2</v>
      </c>
      <c r="G237" s="58" t="s">
        <v>2</v>
      </c>
      <c r="H237" s="33"/>
      <c r="I237" s="33"/>
      <c r="J237" s="33"/>
      <c r="K237" s="33"/>
      <c r="L237" s="33"/>
      <c r="M237" s="33"/>
      <c r="N237" s="58" t="s">
        <v>2</v>
      </c>
      <c r="O237" s="58" t="s">
        <v>2</v>
      </c>
      <c r="P237" s="33"/>
      <c r="Q237" s="33"/>
      <c r="R237" s="33"/>
      <c r="S237" s="33"/>
      <c r="T237" s="33"/>
      <c r="U237" s="33"/>
      <c r="V237" s="58" t="s">
        <v>2</v>
      </c>
      <c r="W237" s="58" t="s">
        <v>2</v>
      </c>
      <c r="X237" s="59"/>
      <c r="Y237" s="33"/>
      <c r="Z237" s="33"/>
      <c r="AA237" s="33"/>
      <c r="AB237" s="33"/>
      <c r="AC237" s="33"/>
      <c r="AD237" s="58" t="s">
        <v>2</v>
      </c>
      <c r="AE237" s="58" t="s">
        <v>2</v>
      </c>
      <c r="AF237" s="33"/>
      <c r="AH237" s="16">
        <f t="shared" si="27"/>
        <v>0</v>
      </c>
      <c r="AI237" s="16">
        <f t="shared" si="28"/>
        <v>0</v>
      </c>
    </row>
    <row r="238" spans="1:35" ht="20.100000000000001" hidden="1" customHeight="1">
      <c r="A238" s="18" t="str">
        <f>ÖSSZES!$A$67</f>
        <v>Név19</v>
      </c>
      <c r="B238" s="33"/>
      <c r="C238" s="33"/>
      <c r="D238" s="33"/>
      <c r="E238" s="33"/>
      <c r="F238" s="58" t="s">
        <v>2</v>
      </c>
      <c r="G238" s="58" t="s">
        <v>2</v>
      </c>
      <c r="H238" s="33"/>
      <c r="I238" s="33"/>
      <c r="J238" s="33"/>
      <c r="K238" s="33"/>
      <c r="L238" s="33"/>
      <c r="M238" s="33"/>
      <c r="N238" s="58" t="s">
        <v>2</v>
      </c>
      <c r="O238" s="58" t="s">
        <v>2</v>
      </c>
      <c r="P238" s="33"/>
      <c r="Q238" s="33"/>
      <c r="R238" s="33"/>
      <c r="S238" s="33"/>
      <c r="T238" s="33"/>
      <c r="U238" s="33"/>
      <c r="V238" s="58" t="s">
        <v>2</v>
      </c>
      <c r="W238" s="58" t="s">
        <v>2</v>
      </c>
      <c r="X238" s="59"/>
      <c r="Y238" s="33"/>
      <c r="Z238" s="33"/>
      <c r="AA238" s="33"/>
      <c r="AB238" s="33"/>
      <c r="AC238" s="33"/>
      <c r="AD238" s="58" t="s">
        <v>2</v>
      </c>
      <c r="AE238" s="58" t="s">
        <v>2</v>
      </c>
      <c r="AF238" s="33"/>
      <c r="AH238" s="16">
        <f t="shared" si="27"/>
        <v>0</v>
      </c>
      <c r="AI238" s="16">
        <f t="shared" si="28"/>
        <v>0</v>
      </c>
    </row>
    <row r="239" spans="1:35" ht="20.100000000000001" hidden="1" customHeight="1">
      <c r="A239" s="18" t="str">
        <f>ÖSSZES!$A$68</f>
        <v>Név20</v>
      </c>
      <c r="B239" s="33"/>
      <c r="C239" s="33"/>
      <c r="D239" s="33"/>
      <c r="E239" s="33"/>
      <c r="F239" s="58" t="s">
        <v>2</v>
      </c>
      <c r="G239" s="58" t="s">
        <v>2</v>
      </c>
      <c r="H239" s="33"/>
      <c r="I239" s="33"/>
      <c r="J239" s="33"/>
      <c r="K239" s="33"/>
      <c r="L239" s="33"/>
      <c r="M239" s="33"/>
      <c r="N239" s="58" t="s">
        <v>2</v>
      </c>
      <c r="O239" s="58" t="s">
        <v>2</v>
      </c>
      <c r="P239" s="33"/>
      <c r="Q239" s="33"/>
      <c r="R239" s="33"/>
      <c r="S239" s="33"/>
      <c r="T239" s="33"/>
      <c r="U239" s="33"/>
      <c r="V239" s="58" t="s">
        <v>2</v>
      </c>
      <c r="W239" s="58" t="s">
        <v>2</v>
      </c>
      <c r="X239" s="59"/>
      <c r="Y239" s="33"/>
      <c r="Z239" s="33"/>
      <c r="AA239" s="33"/>
      <c r="AB239" s="33"/>
      <c r="AC239" s="33"/>
      <c r="AD239" s="58" t="s">
        <v>2</v>
      </c>
      <c r="AE239" s="58" t="s">
        <v>2</v>
      </c>
      <c r="AF239" s="33"/>
      <c r="AH239" s="16">
        <f t="shared" si="27"/>
        <v>0</v>
      </c>
      <c r="AI239" s="16">
        <f t="shared" si="28"/>
        <v>0</v>
      </c>
    </row>
    <row r="240" spans="1:35" ht="20.100000000000001" customHeight="1">
      <c r="A240" s="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H240" s="9"/>
      <c r="AI240" s="9"/>
    </row>
    <row r="241" spans="1:35" s="6" customFormat="1" ht="20.100000000000001" customHeight="1">
      <c r="A241" s="91" t="s">
        <v>15</v>
      </c>
      <c r="B241" s="19">
        <v>1</v>
      </c>
      <c r="C241" s="17">
        <v>2</v>
      </c>
      <c r="D241" s="17">
        <v>3</v>
      </c>
      <c r="E241" s="17">
        <v>4</v>
      </c>
      <c r="F241" s="17">
        <v>5</v>
      </c>
      <c r="G241" s="17">
        <v>6</v>
      </c>
      <c r="H241" s="17">
        <v>7</v>
      </c>
      <c r="I241" s="17">
        <v>8</v>
      </c>
      <c r="J241" s="17">
        <v>9</v>
      </c>
      <c r="K241" s="17">
        <v>10</v>
      </c>
      <c r="L241" s="17">
        <v>11</v>
      </c>
      <c r="M241" s="17">
        <v>12</v>
      </c>
      <c r="N241" s="17">
        <v>13</v>
      </c>
      <c r="O241" s="17">
        <v>14</v>
      </c>
      <c r="P241" s="17">
        <v>15</v>
      </c>
      <c r="Q241" s="17">
        <v>16</v>
      </c>
      <c r="R241" s="17">
        <v>17</v>
      </c>
      <c r="S241" s="17">
        <v>18</v>
      </c>
      <c r="T241" s="17">
        <v>19</v>
      </c>
      <c r="U241" s="17">
        <v>20</v>
      </c>
      <c r="V241" s="17">
        <v>21</v>
      </c>
      <c r="W241" s="17">
        <v>22</v>
      </c>
      <c r="X241" s="17">
        <v>23</v>
      </c>
      <c r="Y241" s="17">
        <v>24</v>
      </c>
      <c r="Z241" s="17">
        <v>25</v>
      </c>
      <c r="AA241" s="17">
        <v>26</v>
      </c>
      <c r="AB241" s="17">
        <v>27</v>
      </c>
      <c r="AC241" s="17">
        <v>28</v>
      </c>
      <c r="AD241" s="17">
        <v>29</v>
      </c>
      <c r="AE241" s="17">
        <v>30</v>
      </c>
      <c r="AH241" s="93" t="s">
        <v>18</v>
      </c>
      <c r="AI241" s="93" t="s">
        <v>19</v>
      </c>
    </row>
    <row r="242" spans="1:35" ht="20.100000000000001" customHeight="1">
      <c r="A242" s="96"/>
      <c r="B242" s="10" t="str">
        <f>'2020'!B84</f>
        <v>V</v>
      </c>
      <c r="C242" s="10" t="str">
        <f>'2020'!C84</f>
        <v>H</v>
      </c>
      <c r="D242" s="10" t="str">
        <f>'2020'!D84</f>
        <v>K</v>
      </c>
      <c r="E242" s="10" t="str">
        <f>'2020'!E84</f>
        <v>Sze</v>
      </c>
      <c r="F242" s="10" t="str">
        <f>'2020'!F84</f>
        <v>Cs</v>
      </c>
      <c r="G242" s="10" t="str">
        <f>'2020'!G84</f>
        <v>P</v>
      </c>
      <c r="H242" s="10" t="str">
        <f>'2020'!H84</f>
        <v>Szo</v>
      </c>
      <c r="I242" s="10" t="str">
        <f>'2020'!I84</f>
        <v>V</v>
      </c>
      <c r="J242" s="10" t="str">
        <f>'2020'!J84</f>
        <v>H</v>
      </c>
      <c r="K242" s="10" t="str">
        <f>'2020'!K84</f>
        <v>K</v>
      </c>
      <c r="L242" s="10" t="str">
        <f>'2020'!L84</f>
        <v>Sze</v>
      </c>
      <c r="M242" s="10" t="str">
        <f>'2020'!M84</f>
        <v>Cs</v>
      </c>
      <c r="N242" s="10" t="str">
        <f>'2020'!N84</f>
        <v>P</v>
      </c>
      <c r="O242" s="10" t="str">
        <f>'2020'!O84</f>
        <v>Szo</v>
      </c>
      <c r="P242" s="10" t="str">
        <f>'2020'!P84</f>
        <v>V</v>
      </c>
      <c r="Q242" s="10" t="str">
        <f>'2020'!Q84</f>
        <v>H</v>
      </c>
      <c r="R242" s="10" t="str">
        <f>'2020'!R84</f>
        <v>K</v>
      </c>
      <c r="S242" s="10" t="str">
        <f>'2020'!S84</f>
        <v>Sze</v>
      </c>
      <c r="T242" s="10" t="str">
        <f>'2020'!T84</f>
        <v>Cs</v>
      </c>
      <c r="U242" s="10" t="str">
        <f>'2020'!U84</f>
        <v>P</v>
      </c>
      <c r="V242" s="10" t="str">
        <f>'2020'!V84</f>
        <v>Szo</v>
      </c>
      <c r="W242" s="10" t="str">
        <f>'2020'!W84</f>
        <v>V</v>
      </c>
      <c r="X242" s="10" t="str">
        <f>'2020'!X84</f>
        <v>H</v>
      </c>
      <c r="Y242" s="10" t="str">
        <f>'2020'!Y84</f>
        <v>K</v>
      </c>
      <c r="Z242" s="10" t="str">
        <f>'2020'!Z84</f>
        <v>Sze</v>
      </c>
      <c r="AA242" s="10" t="str">
        <f>'2020'!AA84</f>
        <v>Cs</v>
      </c>
      <c r="AB242" s="10" t="str">
        <f>'2020'!AB84</f>
        <v>P</v>
      </c>
      <c r="AC242" s="10" t="str">
        <f>'2020'!AC84</f>
        <v>Szo</v>
      </c>
      <c r="AD242" s="10" t="str">
        <f>'2020'!AD84</f>
        <v>V</v>
      </c>
      <c r="AE242" s="10" t="str">
        <f>'2020'!AE84</f>
        <v>H</v>
      </c>
      <c r="AF242" s="1"/>
      <c r="AH242" s="94"/>
      <c r="AI242" s="94"/>
    </row>
    <row r="243" spans="1:35" ht="20.100000000000001" customHeight="1">
      <c r="A243" s="96"/>
      <c r="B243" s="10">
        <f>'2020'!B87</f>
        <v>2</v>
      </c>
      <c r="C243" s="10">
        <f>'2020'!C87</f>
        <v>2</v>
      </c>
      <c r="D243" s="10">
        <f>'2020'!D87</f>
        <v>2</v>
      </c>
      <c r="E243" s="10">
        <f>'2020'!E87</f>
        <v>2</v>
      </c>
      <c r="F243" s="10">
        <f>'2020'!F87</f>
        <v>2</v>
      </c>
      <c r="G243" s="10" t="str">
        <f>'2020'!G87</f>
        <v>X</v>
      </c>
      <c r="H243" s="10" t="str">
        <f>'2020'!H87</f>
        <v>X</v>
      </c>
      <c r="I243" s="10">
        <f>'2020'!I87</f>
        <v>1</v>
      </c>
      <c r="J243" s="10">
        <f>'2020'!J87</f>
        <v>1</v>
      </c>
      <c r="K243" s="10">
        <f>'2020'!K87</f>
        <v>1</v>
      </c>
      <c r="L243" s="10">
        <f>'2020'!L87</f>
        <v>1</v>
      </c>
      <c r="M243" s="10">
        <f>'2020'!M87</f>
        <v>1</v>
      </c>
      <c r="N243" s="10">
        <f>'2020'!N87</f>
        <v>1</v>
      </c>
      <c r="O243" s="10" t="str">
        <f>'2020'!O87</f>
        <v>X</v>
      </c>
      <c r="P243" s="10" t="str">
        <f>'2020'!P87</f>
        <v>X</v>
      </c>
      <c r="Q243" s="10">
        <f>'2020'!Q87</f>
        <v>3</v>
      </c>
      <c r="R243" s="10">
        <f>'2020'!R87</f>
        <v>3</v>
      </c>
      <c r="S243" s="10">
        <f>'2020'!S87</f>
        <v>3</v>
      </c>
      <c r="T243" s="10">
        <f>'2020'!T87</f>
        <v>3</v>
      </c>
      <c r="U243" s="10">
        <f>'2020'!U87</f>
        <v>3</v>
      </c>
      <c r="V243" s="10">
        <f>'2020'!V87</f>
        <v>3</v>
      </c>
      <c r="W243" s="10" t="str">
        <f>'2020'!W87</f>
        <v>X</v>
      </c>
      <c r="X243" s="10" t="str">
        <f>'2020'!X87</f>
        <v>X</v>
      </c>
      <c r="Y243" s="10">
        <f>'2020'!Y87</f>
        <v>2</v>
      </c>
      <c r="Z243" s="10">
        <f>'2020'!Z87</f>
        <v>2</v>
      </c>
      <c r="AA243" s="10">
        <f>'2020'!AA87</f>
        <v>2</v>
      </c>
      <c r="AB243" s="10">
        <f>'2020'!AB87</f>
        <v>2</v>
      </c>
      <c r="AC243" s="10">
        <f>'2020'!AC87</f>
        <v>2</v>
      </c>
      <c r="AD243" s="10">
        <f>'2020'!AD87</f>
        <v>2</v>
      </c>
      <c r="AE243" s="10" t="str">
        <f>'2020'!AE87</f>
        <v>X</v>
      </c>
      <c r="AF243" s="1"/>
      <c r="AH243" s="94"/>
      <c r="AI243" s="94"/>
    </row>
    <row r="244" spans="1:35" ht="20.100000000000001" customHeight="1">
      <c r="A244" s="18" t="str">
        <f>ÖSSZES!$A$49</f>
        <v>Kuik-Filep András</v>
      </c>
      <c r="B244" s="59"/>
      <c r="C244" s="33"/>
      <c r="D244" s="33"/>
      <c r="E244" s="33"/>
      <c r="F244" s="33"/>
      <c r="G244" s="58" t="s">
        <v>2</v>
      </c>
      <c r="H244" s="58" t="s">
        <v>2</v>
      </c>
      <c r="I244" s="33"/>
      <c r="J244" s="33"/>
      <c r="K244" s="33"/>
      <c r="L244" s="33"/>
      <c r="M244" s="33"/>
      <c r="N244" s="33"/>
      <c r="O244" s="58" t="s">
        <v>2</v>
      </c>
      <c r="P244" s="58" t="s">
        <v>2</v>
      </c>
      <c r="Q244" s="33"/>
      <c r="R244" s="33"/>
      <c r="S244" s="33"/>
      <c r="T244" s="33"/>
      <c r="U244" s="33"/>
      <c r="V244" s="33"/>
      <c r="W244" s="58" t="s">
        <v>2</v>
      </c>
      <c r="X244" s="58" t="s">
        <v>2</v>
      </c>
      <c r="Y244" s="33"/>
      <c r="Z244" s="33"/>
      <c r="AA244" s="33"/>
      <c r="AB244" s="33"/>
      <c r="AC244" s="33"/>
      <c r="AD244" s="33"/>
      <c r="AE244" s="58" t="s">
        <v>2</v>
      </c>
      <c r="AF244" s="1"/>
      <c r="AH244" s="16">
        <f>1*COUNTIF(A244:AF244,"+")</f>
        <v>0</v>
      </c>
      <c r="AI244" s="16">
        <f t="shared" ref="AI244" si="29">1*COUNTIF(B244:AF244,"szf")</f>
        <v>0</v>
      </c>
    </row>
    <row r="245" spans="1:35" ht="20.100000000000001" customHeight="1">
      <c r="A245" s="18" t="str">
        <f>ÖSSZES!$A$50</f>
        <v>Balogh Zsolt</v>
      </c>
      <c r="B245" s="59"/>
      <c r="C245" s="33"/>
      <c r="D245" s="33"/>
      <c r="E245" s="33"/>
      <c r="F245" s="33"/>
      <c r="G245" s="58" t="s">
        <v>2</v>
      </c>
      <c r="H245" s="58" t="s">
        <v>2</v>
      </c>
      <c r="I245" s="33"/>
      <c r="J245" s="33"/>
      <c r="K245" s="33"/>
      <c r="L245" s="33"/>
      <c r="M245" s="33"/>
      <c r="N245" s="33"/>
      <c r="O245" s="58" t="s">
        <v>2</v>
      </c>
      <c r="P245" s="58" t="s">
        <v>2</v>
      </c>
      <c r="Q245" s="33"/>
      <c r="R245" s="33"/>
      <c r="S245" s="33"/>
      <c r="T245" s="33"/>
      <c r="U245" s="33"/>
      <c r="V245" s="33"/>
      <c r="W245" s="58" t="s">
        <v>2</v>
      </c>
      <c r="X245" s="58" t="s">
        <v>2</v>
      </c>
      <c r="Y245" s="33"/>
      <c r="Z245" s="33"/>
      <c r="AA245" s="33"/>
      <c r="AB245" s="33"/>
      <c r="AC245" s="33"/>
      <c r="AD245" s="33"/>
      <c r="AE245" s="58" t="s">
        <v>2</v>
      </c>
      <c r="AF245" s="1"/>
      <c r="AH245" s="16">
        <f t="shared" ref="AH245:AH263" si="30">1*COUNTIF(A245:AF245,"+")</f>
        <v>0</v>
      </c>
      <c r="AI245" s="16">
        <f t="shared" ref="AI245:AI263" si="31">1*COUNTIF(B245:AF245,"szf")</f>
        <v>0</v>
      </c>
    </row>
    <row r="246" spans="1:35" ht="20.100000000000001" customHeight="1">
      <c r="A246" s="18" t="str">
        <f>ÖSSZES!$A$51</f>
        <v>Éliás Viktor</v>
      </c>
      <c r="B246" s="59"/>
      <c r="C246" s="33"/>
      <c r="D246" s="33"/>
      <c r="E246" s="33"/>
      <c r="F246" s="33"/>
      <c r="G246" s="58" t="s">
        <v>2</v>
      </c>
      <c r="H246" s="58" t="s">
        <v>2</v>
      </c>
      <c r="I246" s="33"/>
      <c r="J246" s="33"/>
      <c r="K246" s="33"/>
      <c r="L246" s="33"/>
      <c r="M246" s="33"/>
      <c r="N246" s="33"/>
      <c r="O246" s="58" t="s">
        <v>2</v>
      </c>
      <c r="P246" s="58" t="s">
        <v>2</v>
      </c>
      <c r="Q246" s="33"/>
      <c r="R246" s="33"/>
      <c r="S246" s="33"/>
      <c r="T246" s="33"/>
      <c r="U246" s="33"/>
      <c r="V246" s="33"/>
      <c r="W246" s="58" t="s">
        <v>2</v>
      </c>
      <c r="X246" s="58" t="s">
        <v>2</v>
      </c>
      <c r="Y246" s="33"/>
      <c r="Z246" s="33"/>
      <c r="AA246" s="33"/>
      <c r="AB246" s="33"/>
      <c r="AC246" s="33"/>
      <c r="AD246" s="33"/>
      <c r="AE246" s="58" t="s">
        <v>2</v>
      </c>
      <c r="AF246" s="1"/>
      <c r="AH246" s="16">
        <f t="shared" si="30"/>
        <v>0</v>
      </c>
      <c r="AI246" s="16">
        <f t="shared" si="31"/>
        <v>0</v>
      </c>
    </row>
    <row r="247" spans="1:35" ht="20.100000000000001" customHeight="1">
      <c r="A247" s="18" t="str">
        <f>ÖSSZES!$A$52</f>
        <v>Hadházi Kálmán</v>
      </c>
      <c r="B247" s="59"/>
      <c r="C247" s="33"/>
      <c r="D247" s="33"/>
      <c r="E247" s="33"/>
      <c r="F247" s="33"/>
      <c r="G247" s="58" t="s">
        <v>2</v>
      </c>
      <c r="H247" s="58" t="s">
        <v>2</v>
      </c>
      <c r="I247" s="33"/>
      <c r="J247" s="33"/>
      <c r="K247" s="33"/>
      <c r="L247" s="33"/>
      <c r="M247" s="33"/>
      <c r="N247" s="33"/>
      <c r="O247" s="58" t="s">
        <v>2</v>
      </c>
      <c r="P247" s="58" t="s">
        <v>2</v>
      </c>
      <c r="Q247" s="33"/>
      <c r="R247" s="33"/>
      <c r="S247" s="33"/>
      <c r="T247" s="33"/>
      <c r="U247" s="33"/>
      <c r="V247" s="33"/>
      <c r="W247" s="58" t="s">
        <v>2</v>
      </c>
      <c r="X247" s="58" t="s">
        <v>2</v>
      </c>
      <c r="Y247" s="33"/>
      <c r="Z247" s="33"/>
      <c r="AA247" s="33"/>
      <c r="AB247" s="33"/>
      <c r="AC247" s="33"/>
      <c r="AD247" s="33"/>
      <c r="AE247" s="58" t="s">
        <v>2</v>
      </c>
      <c r="AF247" s="1"/>
      <c r="AH247" s="16">
        <f t="shared" si="30"/>
        <v>0</v>
      </c>
      <c r="AI247" s="16">
        <f t="shared" si="31"/>
        <v>0</v>
      </c>
    </row>
    <row r="248" spans="1:35" ht="20.100000000000001" customHeight="1">
      <c r="A248" s="18" t="str">
        <f>ÖSSZES!$A$53</f>
        <v>Kiss Attila</v>
      </c>
      <c r="B248" s="59"/>
      <c r="C248" s="33"/>
      <c r="D248" s="33"/>
      <c r="E248" s="33"/>
      <c r="F248" s="33"/>
      <c r="G248" s="58" t="s">
        <v>2</v>
      </c>
      <c r="H248" s="58" t="s">
        <v>2</v>
      </c>
      <c r="I248" s="33"/>
      <c r="J248" s="33"/>
      <c r="K248" s="33"/>
      <c r="L248" s="33"/>
      <c r="M248" s="33"/>
      <c r="N248" s="33"/>
      <c r="O248" s="58" t="s">
        <v>2</v>
      </c>
      <c r="P248" s="58" t="s">
        <v>2</v>
      </c>
      <c r="Q248" s="33"/>
      <c r="R248" s="33"/>
      <c r="S248" s="33"/>
      <c r="T248" s="33"/>
      <c r="U248" s="33"/>
      <c r="V248" s="33"/>
      <c r="W248" s="58" t="s">
        <v>2</v>
      </c>
      <c r="X248" s="58" t="s">
        <v>2</v>
      </c>
      <c r="Y248" s="33"/>
      <c r="Z248" s="33"/>
      <c r="AA248" s="33"/>
      <c r="AB248" s="33"/>
      <c r="AC248" s="33"/>
      <c r="AD248" s="33"/>
      <c r="AE248" s="58" t="s">
        <v>2</v>
      </c>
      <c r="AF248" s="1"/>
      <c r="AH248" s="16">
        <f t="shared" si="30"/>
        <v>0</v>
      </c>
      <c r="AI248" s="16">
        <f t="shared" si="31"/>
        <v>0</v>
      </c>
    </row>
    <row r="249" spans="1:35" ht="20.100000000000001" customHeight="1">
      <c r="A249" s="18" t="str">
        <f>ÖSSZES!$A$54</f>
        <v>Serestyén Dániel</v>
      </c>
      <c r="B249" s="59"/>
      <c r="C249" s="33"/>
      <c r="D249" s="33"/>
      <c r="E249" s="33"/>
      <c r="F249" s="33"/>
      <c r="G249" s="58" t="s">
        <v>2</v>
      </c>
      <c r="H249" s="58" t="s">
        <v>2</v>
      </c>
      <c r="I249" s="33"/>
      <c r="J249" s="33"/>
      <c r="K249" s="33"/>
      <c r="L249" s="33"/>
      <c r="M249" s="33"/>
      <c r="N249" s="33"/>
      <c r="O249" s="58" t="s">
        <v>2</v>
      </c>
      <c r="P249" s="58" t="s">
        <v>2</v>
      </c>
      <c r="Q249" s="33"/>
      <c r="R249" s="33"/>
      <c r="S249" s="33"/>
      <c r="T249" s="33"/>
      <c r="U249" s="33"/>
      <c r="V249" s="33"/>
      <c r="W249" s="58" t="s">
        <v>2</v>
      </c>
      <c r="X249" s="58" t="s">
        <v>2</v>
      </c>
      <c r="Y249" s="33"/>
      <c r="Z249" s="33"/>
      <c r="AA249" s="33"/>
      <c r="AB249" s="33"/>
      <c r="AC249" s="33"/>
      <c r="AD249" s="33"/>
      <c r="AE249" s="58" t="s">
        <v>2</v>
      </c>
      <c r="AF249" s="1"/>
      <c r="AH249" s="16">
        <f t="shared" si="30"/>
        <v>0</v>
      </c>
      <c r="AI249" s="16">
        <f t="shared" si="31"/>
        <v>0</v>
      </c>
    </row>
    <row r="250" spans="1:35" ht="20.100000000000001" customHeight="1">
      <c r="A250" s="18" t="str">
        <f>ÖSSZES!$A$55</f>
        <v>Varga Imre</v>
      </c>
      <c r="B250" s="59"/>
      <c r="C250" s="33"/>
      <c r="D250" s="33"/>
      <c r="E250" s="33"/>
      <c r="F250" s="33"/>
      <c r="G250" s="58" t="s">
        <v>2</v>
      </c>
      <c r="H250" s="58" t="s">
        <v>2</v>
      </c>
      <c r="I250" s="33"/>
      <c r="J250" s="33"/>
      <c r="K250" s="33"/>
      <c r="L250" s="33"/>
      <c r="M250" s="33"/>
      <c r="N250" s="33"/>
      <c r="O250" s="58" t="s">
        <v>2</v>
      </c>
      <c r="P250" s="58" t="s">
        <v>2</v>
      </c>
      <c r="Q250" s="33"/>
      <c r="R250" s="33"/>
      <c r="S250" s="33"/>
      <c r="T250" s="33"/>
      <c r="U250" s="33"/>
      <c r="V250" s="33"/>
      <c r="W250" s="58" t="s">
        <v>2</v>
      </c>
      <c r="X250" s="58" t="s">
        <v>2</v>
      </c>
      <c r="Y250" s="33"/>
      <c r="Z250" s="33"/>
      <c r="AA250" s="33"/>
      <c r="AB250" s="33"/>
      <c r="AC250" s="33"/>
      <c r="AD250" s="33"/>
      <c r="AE250" s="58" t="s">
        <v>2</v>
      </c>
      <c r="AF250" s="1"/>
      <c r="AH250" s="16">
        <f t="shared" si="30"/>
        <v>0</v>
      </c>
      <c r="AI250" s="16">
        <f t="shared" si="31"/>
        <v>0</v>
      </c>
    </row>
    <row r="251" spans="1:35" ht="20.100000000000001" hidden="1" customHeight="1">
      <c r="A251" s="18" t="str">
        <f>ÖSSZES!$A$56</f>
        <v>Név8</v>
      </c>
      <c r="B251" s="59"/>
      <c r="C251" s="33"/>
      <c r="D251" s="33"/>
      <c r="E251" s="33"/>
      <c r="F251" s="33"/>
      <c r="G251" s="58" t="s">
        <v>2</v>
      </c>
      <c r="H251" s="58" t="s">
        <v>2</v>
      </c>
      <c r="I251" s="33"/>
      <c r="J251" s="33"/>
      <c r="K251" s="33"/>
      <c r="L251" s="33"/>
      <c r="M251" s="33"/>
      <c r="N251" s="33"/>
      <c r="O251" s="58" t="s">
        <v>2</v>
      </c>
      <c r="P251" s="58" t="s">
        <v>2</v>
      </c>
      <c r="Q251" s="33"/>
      <c r="R251" s="33"/>
      <c r="S251" s="33"/>
      <c r="T251" s="33"/>
      <c r="U251" s="33"/>
      <c r="V251" s="33"/>
      <c r="W251" s="58" t="s">
        <v>2</v>
      </c>
      <c r="X251" s="58" t="s">
        <v>2</v>
      </c>
      <c r="Y251" s="33"/>
      <c r="Z251" s="33"/>
      <c r="AA251" s="33"/>
      <c r="AB251" s="33"/>
      <c r="AC251" s="33"/>
      <c r="AD251" s="33"/>
      <c r="AE251" s="58" t="s">
        <v>2</v>
      </c>
      <c r="AF251" s="1"/>
      <c r="AH251" s="16">
        <f t="shared" si="30"/>
        <v>0</v>
      </c>
      <c r="AI251" s="16">
        <f t="shared" si="31"/>
        <v>0</v>
      </c>
    </row>
    <row r="252" spans="1:35" ht="20.100000000000001" hidden="1" customHeight="1">
      <c r="A252" s="18" t="str">
        <f>ÖSSZES!$A$57</f>
        <v>Név9</v>
      </c>
      <c r="B252" s="59"/>
      <c r="C252" s="33"/>
      <c r="D252" s="33"/>
      <c r="E252" s="33"/>
      <c r="F252" s="33"/>
      <c r="G252" s="58" t="s">
        <v>2</v>
      </c>
      <c r="H252" s="58" t="s">
        <v>2</v>
      </c>
      <c r="I252" s="33"/>
      <c r="J252" s="33"/>
      <c r="K252" s="33"/>
      <c r="L252" s="33"/>
      <c r="M252" s="33"/>
      <c r="N252" s="33"/>
      <c r="O252" s="58" t="s">
        <v>2</v>
      </c>
      <c r="P252" s="58" t="s">
        <v>2</v>
      </c>
      <c r="Q252" s="33"/>
      <c r="R252" s="33"/>
      <c r="S252" s="33"/>
      <c r="T252" s="33"/>
      <c r="U252" s="33"/>
      <c r="V252" s="33"/>
      <c r="W252" s="58" t="s">
        <v>2</v>
      </c>
      <c r="X252" s="58" t="s">
        <v>2</v>
      </c>
      <c r="Y252" s="33"/>
      <c r="Z252" s="33"/>
      <c r="AA252" s="33"/>
      <c r="AB252" s="33"/>
      <c r="AC252" s="33"/>
      <c r="AD252" s="33"/>
      <c r="AE252" s="58" t="s">
        <v>2</v>
      </c>
      <c r="AF252" s="1"/>
      <c r="AH252" s="16">
        <f t="shared" si="30"/>
        <v>0</v>
      </c>
      <c r="AI252" s="16">
        <f t="shared" si="31"/>
        <v>0</v>
      </c>
    </row>
    <row r="253" spans="1:35" ht="20.100000000000001" hidden="1" customHeight="1">
      <c r="A253" s="18" t="str">
        <f>ÖSSZES!$A$58</f>
        <v>Név10</v>
      </c>
      <c r="B253" s="59"/>
      <c r="C253" s="33"/>
      <c r="D253" s="33"/>
      <c r="E253" s="33"/>
      <c r="F253" s="33"/>
      <c r="G253" s="58" t="s">
        <v>2</v>
      </c>
      <c r="H253" s="58" t="s">
        <v>2</v>
      </c>
      <c r="I253" s="33"/>
      <c r="J253" s="33"/>
      <c r="K253" s="33"/>
      <c r="L253" s="33"/>
      <c r="M253" s="33"/>
      <c r="N253" s="33"/>
      <c r="O253" s="58" t="s">
        <v>2</v>
      </c>
      <c r="P253" s="58" t="s">
        <v>2</v>
      </c>
      <c r="Q253" s="33"/>
      <c r="R253" s="33"/>
      <c r="S253" s="33"/>
      <c r="T253" s="33"/>
      <c r="U253" s="33"/>
      <c r="V253" s="33"/>
      <c r="W253" s="58" t="s">
        <v>2</v>
      </c>
      <c r="X253" s="58" t="s">
        <v>2</v>
      </c>
      <c r="Y253" s="33"/>
      <c r="Z253" s="33"/>
      <c r="AA253" s="33"/>
      <c r="AB253" s="33"/>
      <c r="AC253" s="33"/>
      <c r="AD253" s="33"/>
      <c r="AE253" s="58" t="s">
        <v>2</v>
      </c>
      <c r="AF253" s="1"/>
      <c r="AH253" s="16">
        <f t="shared" si="30"/>
        <v>0</v>
      </c>
      <c r="AI253" s="16">
        <f t="shared" si="31"/>
        <v>0</v>
      </c>
    </row>
    <row r="254" spans="1:35" ht="20.100000000000001" hidden="1" customHeight="1">
      <c r="A254" s="18" t="str">
        <f>ÖSSZES!$A$59</f>
        <v>Név11</v>
      </c>
      <c r="B254" s="59"/>
      <c r="C254" s="33"/>
      <c r="D254" s="33"/>
      <c r="E254" s="33"/>
      <c r="F254" s="33"/>
      <c r="G254" s="58" t="s">
        <v>2</v>
      </c>
      <c r="H254" s="58" t="s">
        <v>2</v>
      </c>
      <c r="I254" s="33"/>
      <c r="J254" s="33"/>
      <c r="K254" s="33"/>
      <c r="L254" s="33"/>
      <c r="M254" s="33"/>
      <c r="N254" s="33"/>
      <c r="O254" s="58" t="s">
        <v>2</v>
      </c>
      <c r="P254" s="58" t="s">
        <v>2</v>
      </c>
      <c r="Q254" s="33"/>
      <c r="R254" s="33"/>
      <c r="S254" s="33"/>
      <c r="T254" s="33"/>
      <c r="U254" s="33"/>
      <c r="V254" s="33"/>
      <c r="W254" s="58" t="s">
        <v>2</v>
      </c>
      <c r="X254" s="58" t="s">
        <v>2</v>
      </c>
      <c r="Y254" s="33"/>
      <c r="Z254" s="33"/>
      <c r="AA254" s="33"/>
      <c r="AB254" s="33"/>
      <c r="AC254" s="33"/>
      <c r="AD254" s="33"/>
      <c r="AE254" s="58" t="s">
        <v>2</v>
      </c>
      <c r="AF254" s="1"/>
      <c r="AH254" s="16">
        <f t="shared" si="30"/>
        <v>0</v>
      </c>
      <c r="AI254" s="16">
        <f t="shared" si="31"/>
        <v>0</v>
      </c>
    </row>
    <row r="255" spans="1:35" ht="20.100000000000001" hidden="1" customHeight="1">
      <c r="A255" s="18" t="str">
        <f>ÖSSZES!$A$60</f>
        <v>Név12</v>
      </c>
      <c r="B255" s="59"/>
      <c r="C255" s="33"/>
      <c r="D255" s="33"/>
      <c r="E255" s="33"/>
      <c r="F255" s="33"/>
      <c r="G255" s="58" t="s">
        <v>2</v>
      </c>
      <c r="H255" s="58" t="s">
        <v>2</v>
      </c>
      <c r="I255" s="33"/>
      <c r="J255" s="33"/>
      <c r="K255" s="33"/>
      <c r="L255" s="33"/>
      <c r="M255" s="33"/>
      <c r="N255" s="33"/>
      <c r="O255" s="58" t="s">
        <v>2</v>
      </c>
      <c r="P255" s="58" t="s">
        <v>2</v>
      </c>
      <c r="Q255" s="33"/>
      <c r="R255" s="33"/>
      <c r="S255" s="33"/>
      <c r="T255" s="33"/>
      <c r="U255" s="33"/>
      <c r="V255" s="33"/>
      <c r="W255" s="58" t="s">
        <v>2</v>
      </c>
      <c r="X255" s="58" t="s">
        <v>2</v>
      </c>
      <c r="Y255" s="33"/>
      <c r="Z255" s="33"/>
      <c r="AA255" s="33"/>
      <c r="AB255" s="33"/>
      <c r="AC255" s="33"/>
      <c r="AD255" s="33"/>
      <c r="AE255" s="58" t="s">
        <v>2</v>
      </c>
      <c r="AF255" s="1"/>
      <c r="AH255" s="16">
        <f t="shared" si="30"/>
        <v>0</v>
      </c>
      <c r="AI255" s="16">
        <f t="shared" si="31"/>
        <v>0</v>
      </c>
    </row>
    <row r="256" spans="1:35" ht="20.100000000000001" hidden="1" customHeight="1">
      <c r="A256" s="18" t="str">
        <f>ÖSSZES!$A$61</f>
        <v>Név13</v>
      </c>
      <c r="B256" s="59"/>
      <c r="C256" s="33"/>
      <c r="D256" s="33"/>
      <c r="E256" s="33"/>
      <c r="F256" s="33"/>
      <c r="G256" s="58" t="s">
        <v>2</v>
      </c>
      <c r="H256" s="58" t="s">
        <v>2</v>
      </c>
      <c r="I256" s="33"/>
      <c r="J256" s="33"/>
      <c r="K256" s="33"/>
      <c r="L256" s="33"/>
      <c r="M256" s="33"/>
      <c r="N256" s="33"/>
      <c r="O256" s="58" t="s">
        <v>2</v>
      </c>
      <c r="P256" s="58" t="s">
        <v>2</v>
      </c>
      <c r="Q256" s="33"/>
      <c r="R256" s="33"/>
      <c r="S256" s="33"/>
      <c r="T256" s="33"/>
      <c r="U256" s="33"/>
      <c r="V256" s="33"/>
      <c r="W256" s="58" t="s">
        <v>2</v>
      </c>
      <c r="X256" s="58" t="s">
        <v>2</v>
      </c>
      <c r="Y256" s="33"/>
      <c r="Z256" s="33"/>
      <c r="AA256" s="33"/>
      <c r="AB256" s="33"/>
      <c r="AC256" s="33"/>
      <c r="AD256" s="33"/>
      <c r="AE256" s="58" t="s">
        <v>2</v>
      </c>
      <c r="AF256" s="1"/>
      <c r="AH256" s="16">
        <f t="shared" si="30"/>
        <v>0</v>
      </c>
      <c r="AI256" s="16">
        <f t="shared" si="31"/>
        <v>0</v>
      </c>
    </row>
    <row r="257" spans="1:35" ht="20.100000000000001" hidden="1" customHeight="1">
      <c r="A257" s="18" t="str">
        <f>ÖSSZES!$A$62</f>
        <v>Név14</v>
      </c>
      <c r="B257" s="59"/>
      <c r="C257" s="33"/>
      <c r="D257" s="33"/>
      <c r="E257" s="33"/>
      <c r="F257" s="33"/>
      <c r="G257" s="58" t="s">
        <v>2</v>
      </c>
      <c r="H257" s="58" t="s">
        <v>2</v>
      </c>
      <c r="I257" s="33"/>
      <c r="J257" s="33"/>
      <c r="K257" s="33"/>
      <c r="L257" s="33"/>
      <c r="M257" s="33"/>
      <c r="N257" s="33"/>
      <c r="O257" s="58" t="s">
        <v>2</v>
      </c>
      <c r="P257" s="58" t="s">
        <v>2</v>
      </c>
      <c r="Q257" s="33"/>
      <c r="R257" s="33"/>
      <c r="S257" s="33"/>
      <c r="T257" s="33"/>
      <c r="U257" s="33"/>
      <c r="V257" s="33"/>
      <c r="W257" s="58" t="s">
        <v>2</v>
      </c>
      <c r="X257" s="58" t="s">
        <v>2</v>
      </c>
      <c r="Y257" s="33"/>
      <c r="Z257" s="33"/>
      <c r="AA257" s="33"/>
      <c r="AB257" s="33"/>
      <c r="AC257" s="33"/>
      <c r="AD257" s="33"/>
      <c r="AE257" s="58" t="s">
        <v>2</v>
      </c>
      <c r="AF257" s="1"/>
      <c r="AH257" s="16">
        <f t="shared" si="30"/>
        <v>0</v>
      </c>
      <c r="AI257" s="16">
        <f t="shared" si="31"/>
        <v>0</v>
      </c>
    </row>
    <row r="258" spans="1:35" ht="20.100000000000001" hidden="1" customHeight="1">
      <c r="A258" s="18" t="str">
        <f>ÖSSZES!$A$63</f>
        <v>Név15</v>
      </c>
      <c r="B258" s="59"/>
      <c r="C258" s="33"/>
      <c r="D258" s="33"/>
      <c r="E258" s="33"/>
      <c r="F258" s="33"/>
      <c r="G258" s="58" t="s">
        <v>2</v>
      </c>
      <c r="H258" s="58" t="s">
        <v>2</v>
      </c>
      <c r="I258" s="33"/>
      <c r="J258" s="33"/>
      <c r="K258" s="33"/>
      <c r="L258" s="33"/>
      <c r="M258" s="33"/>
      <c r="N258" s="33"/>
      <c r="O258" s="58" t="s">
        <v>2</v>
      </c>
      <c r="P258" s="58" t="s">
        <v>2</v>
      </c>
      <c r="Q258" s="33"/>
      <c r="R258" s="33"/>
      <c r="S258" s="33"/>
      <c r="T258" s="33"/>
      <c r="U258" s="33"/>
      <c r="V258" s="33"/>
      <c r="W258" s="58" t="s">
        <v>2</v>
      </c>
      <c r="X258" s="58" t="s">
        <v>2</v>
      </c>
      <c r="Y258" s="33"/>
      <c r="Z258" s="33"/>
      <c r="AA258" s="33"/>
      <c r="AB258" s="33"/>
      <c r="AC258" s="33"/>
      <c r="AD258" s="33"/>
      <c r="AE258" s="58" t="s">
        <v>2</v>
      </c>
      <c r="AF258" s="1"/>
      <c r="AH258" s="16">
        <f t="shared" si="30"/>
        <v>0</v>
      </c>
      <c r="AI258" s="16">
        <f t="shared" si="31"/>
        <v>0</v>
      </c>
    </row>
    <row r="259" spans="1:35" ht="20.100000000000001" hidden="1" customHeight="1">
      <c r="A259" s="18" t="str">
        <f>ÖSSZES!$A$64</f>
        <v>Név16</v>
      </c>
      <c r="B259" s="59"/>
      <c r="C259" s="33"/>
      <c r="D259" s="33"/>
      <c r="E259" s="33"/>
      <c r="F259" s="33"/>
      <c r="G259" s="58" t="s">
        <v>2</v>
      </c>
      <c r="H259" s="58" t="s">
        <v>2</v>
      </c>
      <c r="I259" s="33"/>
      <c r="J259" s="33"/>
      <c r="K259" s="33"/>
      <c r="L259" s="33"/>
      <c r="M259" s="33"/>
      <c r="N259" s="33"/>
      <c r="O259" s="58" t="s">
        <v>2</v>
      </c>
      <c r="P259" s="58" t="s">
        <v>2</v>
      </c>
      <c r="Q259" s="33"/>
      <c r="R259" s="33"/>
      <c r="S259" s="33"/>
      <c r="T259" s="33"/>
      <c r="U259" s="33"/>
      <c r="V259" s="33"/>
      <c r="W259" s="58" t="s">
        <v>2</v>
      </c>
      <c r="X259" s="58" t="s">
        <v>2</v>
      </c>
      <c r="Y259" s="33"/>
      <c r="Z259" s="33"/>
      <c r="AA259" s="33"/>
      <c r="AB259" s="33"/>
      <c r="AC259" s="33"/>
      <c r="AD259" s="33"/>
      <c r="AE259" s="58" t="s">
        <v>2</v>
      </c>
      <c r="AF259" s="1"/>
      <c r="AH259" s="16">
        <f t="shared" si="30"/>
        <v>0</v>
      </c>
      <c r="AI259" s="16">
        <f t="shared" si="31"/>
        <v>0</v>
      </c>
    </row>
    <row r="260" spans="1:35" ht="20.100000000000001" hidden="1" customHeight="1">
      <c r="A260" s="18" t="str">
        <f>ÖSSZES!$A$65</f>
        <v>Név17</v>
      </c>
      <c r="B260" s="59"/>
      <c r="C260" s="33"/>
      <c r="D260" s="33"/>
      <c r="E260" s="33"/>
      <c r="F260" s="33"/>
      <c r="G260" s="58" t="s">
        <v>2</v>
      </c>
      <c r="H260" s="58" t="s">
        <v>2</v>
      </c>
      <c r="I260" s="33"/>
      <c r="J260" s="33"/>
      <c r="K260" s="33"/>
      <c r="L260" s="33"/>
      <c r="M260" s="33"/>
      <c r="N260" s="33"/>
      <c r="O260" s="58" t="s">
        <v>2</v>
      </c>
      <c r="P260" s="58" t="s">
        <v>2</v>
      </c>
      <c r="Q260" s="33"/>
      <c r="R260" s="33"/>
      <c r="S260" s="33"/>
      <c r="T260" s="33"/>
      <c r="U260" s="33"/>
      <c r="V260" s="33"/>
      <c r="W260" s="58" t="s">
        <v>2</v>
      </c>
      <c r="X260" s="58" t="s">
        <v>2</v>
      </c>
      <c r="Y260" s="33"/>
      <c r="Z260" s="33"/>
      <c r="AA260" s="33"/>
      <c r="AB260" s="33"/>
      <c r="AC260" s="33"/>
      <c r="AD260" s="33"/>
      <c r="AE260" s="58" t="s">
        <v>2</v>
      </c>
      <c r="AF260" s="1"/>
      <c r="AH260" s="16">
        <f t="shared" si="30"/>
        <v>0</v>
      </c>
      <c r="AI260" s="16">
        <f t="shared" si="31"/>
        <v>0</v>
      </c>
    </row>
    <row r="261" spans="1:35" ht="20.100000000000001" hidden="1" customHeight="1">
      <c r="A261" s="18" t="str">
        <f>ÖSSZES!$A$66</f>
        <v>Név18</v>
      </c>
      <c r="B261" s="59"/>
      <c r="C261" s="33"/>
      <c r="D261" s="33"/>
      <c r="E261" s="33"/>
      <c r="F261" s="33"/>
      <c r="G261" s="58" t="s">
        <v>2</v>
      </c>
      <c r="H261" s="58" t="s">
        <v>2</v>
      </c>
      <c r="I261" s="33"/>
      <c r="J261" s="33"/>
      <c r="K261" s="33"/>
      <c r="L261" s="33"/>
      <c r="M261" s="33"/>
      <c r="N261" s="33"/>
      <c r="O261" s="58" t="s">
        <v>2</v>
      </c>
      <c r="P261" s="58" t="s">
        <v>2</v>
      </c>
      <c r="Q261" s="33"/>
      <c r="R261" s="33"/>
      <c r="S261" s="33"/>
      <c r="T261" s="33"/>
      <c r="U261" s="33"/>
      <c r="V261" s="33"/>
      <c r="W261" s="58" t="s">
        <v>2</v>
      </c>
      <c r="X261" s="58" t="s">
        <v>2</v>
      </c>
      <c r="Y261" s="33"/>
      <c r="Z261" s="33"/>
      <c r="AA261" s="33"/>
      <c r="AB261" s="33"/>
      <c r="AC261" s="33"/>
      <c r="AD261" s="33"/>
      <c r="AE261" s="58" t="s">
        <v>2</v>
      </c>
      <c r="AF261" s="1"/>
      <c r="AH261" s="16">
        <f t="shared" si="30"/>
        <v>0</v>
      </c>
      <c r="AI261" s="16">
        <f t="shared" si="31"/>
        <v>0</v>
      </c>
    </row>
    <row r="262" spans="1:35" ht="20.100000000000001" hidden="1" customHeight="1">
      <c r="A262" s="18" t="str">
        <f>ÖSSZES!$A$67</f>
        <v>Név19</v>
      </c>
      <c r="B262" s="59"/>
      <c r="C262" s="33"/>
      <c r="D262" s="33"/>
      <c r="E262" s="33"/>
      <c r="F262" s="33"/>
      <c r="G262" s="58" t="s">
        <v>2</v>
      </c>
      <c r="H262" s="58" t="s">
        <v>2</v>
      </c>
      <c r="I262" s="33"/>
      <c r="J262" s="33"/>
      <c r="K262" s="33"/>
      <c r="L262" s="33"/>
      <c r="M262" s="33"/>
      <c r="N262" s="33"/>
      <c r="O262" s="58" t="s">
        <v>2</v>
      </c>
      <c r="P262" s="58" t="s">
        <v>2</v>
      </c>
      <c r="Q262" s="33"/>
      <c r="R262" s="33"/>
      <c r="S262" s="33"/>
      <c r="T262" s="33"/>
      <c r="U262" s="33"/>
      <c r="V262" s="33"/>
      <c r="W262" s="58" t="s">
        <v>2</v>
      </c>
      <c r="X262" s="58" t="s">
        <v>2</v>
      </c>
      <c r="Y262" s="33"/>
      <c r="Z262" s="33"/>
      <c r="AA262" s="33"/>
      <c r="AB262" s="33"/>
      <c r="AC262" s="33"/>
      <c r="AD262" s="33"/>
      <c r="AE262" s="58" t="s">
        <v>2</v>
      </c>
      <c r="AF262" s="1"/>
      <c r="AH262" s="16">
        <f t="shared" si="30"/>
        <v>0</v>
      </c>
      <c r="AI262" s="16">
        <f t="shared" si="31"/>
        <v>0</v>
      </c>
    </row>
    <row r="263" spans="1:35" ht="20.100000000000001" hidden="1" customHeight="1">
      <c r="A263" s="18" t="str">
        <f>ÖSSZES!$A$68</f>
        <v>Név20</v>
      </c>
      <c r="B263" s="59"/>
      <c r="C263" s="33"/>
      <c r="D263" s="33"/>
      <c r="E263" s="33"/>
      <c r="F263" s="33"/>
      <c r="G263" s="58" t="s">
        <v>2</v>
      </c>
      <c r="H263" s="58" t="s">
        <v>2</v>
      </c>
      <c r="I263" s="33"/>
      <c r="J263" s="33"/>
      <c r="K263" s="33"/>
      <c r="L263" s="33"/>
      <c r="M263" s="33"/>
      <c r="N263" s="33"/>
      <c r="O263" s="58" t="s">
        <v>2</v>
      </c>
      <c r="P263" s="58" t="s">
        <v>2</v>
      </c>
      <c r="Q263" s="33"/>
      <c r="R263" s="33"/>
      <c r="S263" s="33"/>
      <c r="T263" s="33"/>
      <c r="U263" s="33"/>
      <c r="V263" s="33"/>
      <c r="W263" s="58" t="s">
        <v>2</v>
      </c>
      <c r="X263" s="58" t="s">
        <v>2</v>
      </c>
      <c r="Y263" s="33"/>
      <c r="Z263" s="33"/>
      <c r="AA263" s="33"/>
      <c r="AB263" s="33"/>
      <c r="AC263" s="33"/>
      <c r="AD263" s="33"/>
      <c r="AE263" s="58" t="s">
        <v>2</v>
      </c>
      <c r="AF263" s="1"/>
      <c r="AH263" s="16">
        <f t="shared" si="30"/>
        <v>0</v>
      </c>
      <c r="AI263" s="16">
        <f t="shared" si="31"/>
        <v>0</v>
      </c>
    </row>
    <row r="264" spans="1:35" ht="20.100000000000001" customHeight="1">
      <c r="A264" s="12"/>
    </row>
    <row r="265" spans="1:35" s="6" customFormat="1" ht="20.100000000000001" customHeight="1">
      <c r="A265" s="91" t="s">
        <v>16</v>
      </c>
      <c r="B265" s="17">
        <v>1</v>
      </c>
      <c r="C265" s="17">
        <v>2</v>
      </c>
      <c r="D265" s="17">
        <v>3</v>
      </c>
      <c r="E265" s="17">
        <v>4</v>
      </c>
      <c r="F265" s="17">
        <v>5</v>
      </c>
      <c r="G265" s="17">
        <v>6</v>
      </c>
      <c r="H265" s="17">
        <v>7</v>
      </c>
      <c r="I265" s="17">
        <v>8</v>
      </c>
      <c r="J265" s="17">
        <v>9</v>
      </c>
      <c r="K265" s="17">
        <v>10</v>
      </c>
      <c r="L265" s="17">
        <v>11</v>
      </c>
      <c r="M265" s="17">
        <v>12</v>
      </c>
      <c r="N265" s="17">
        <v>13</v>
      </c>
      <c r="O265" s="17">
        <v>14</v>
      </c>
      <c r="P265" s="17">
        <v>15</v>
      </c>
      <c r="Q265" s="17">
        <v>16</v>
      </c>
      <c r="R265" s="17">
        <v>17</v>
      </c>
      <c r="S265" s="17">
        <v>18</v>
      </c>
      <c r="T265" s="17">
        <v>19</v>
      </c>
      <c r="U265" s="17">
        <v>20</v>
      </c>
      <c r="V265" s="17">
        <v>21</v>
      </c>
      <c r="W265" s="17">
        <v>22</v>
      </c>
      <c r="X265" s="17">
        <v>23</v>
      </c>
      <c r="Y265" s="17">
        <v>24</v>
      </c>
      <c r="Z265" s="19">
        <v>25</v>
      </c>
      <c r="AA265" s="19">
        <v>26</v>
      </c>
      <c r="AB265" s="17">
        <v>27</v>
      </c>
      <c r="AC265" s="17">
        <v>28</v>
      </c>
      <c r="AD265" s="17">
        <v>29</v>
      </c>
      <c r="AE265" s="17">
        <v>30</v>
      </c>
      <c r="AF265" s="17">
        <v>31</v>
      </c>
      <c r="AH265" s="93" t="s">
        <v>18</v>
      </c>
      <c r="AI265" s="93" t="s">
        <v>19</v>
      </c>
    </row>
    <row r="266" spans="1:35" ht="20.100000000000001" customHeight="1">
      <c r="A266" s="96"/>
      <c r="B266" s="10" t="str">
        <f>'2020'!B92</f>
        <v>K</v>
      </c>
      <c r="C266" s="10" t="str">
        <f>'2020'!C92</f>
        <v>Sze</v>
      </c>
      <c r="D266" s="10" t="str">
        <f>'2020'!D92</f>
        <v>Cs</v>
      </c>
      <c r="E266" s="10" t="str">
        <f>'2020'!E92</f>
        <v>P</v>
      </c>
      <c r="F266" s="10" t="str">
        <f>'2020'!F92</f>
        <v>Szo</v>
      </c>
      <c r="G266" s="10" t="str">
        <f>'2020'!G92</f>
        <v>V</v>
      </c>
      <c r="H266" s="10" t="str">
        <f>'2020'!H92</f>
        <v>H</v>
      </c>
      <c r="I266" s="10" t="str">
        <f>'2020'!I92</f>
        <v>K</v>
      </c>
      <c r="J266" s="10" t="str">
        <f>'2020'!J92</f>
        <v>Sze</v>
      </c>
      <c r="K266" s="10" t="str">
        <f>'2020'!K92</f>
        <v>Cs</v>
      </c>
      <c r="L266" s="10" t="str">
        <f>'2020'!L92</f>
        <v>P</v>
      </c>
      <c r="M266" s="10" t="str">
        <f>'2020'!M92</f>
        <v>Szo</v>
      </c>
      <c r="N266" s="10" t="str">
        <f>'2020'!N92</f>
        <v>V</v>
      </c>
      <c r="O266" s="10" t="str">
        <f>'2020'!O92</f>
        <v>H</v>
      </c>
      <c r="P266" s="10" t="str">
        <f>'2020'!P92</f>
        <v>K</v>
      </c>
      <c r="Q266" s="10" t="str">
        <f>'2020'!Q92</f>
        <v>Sze</v>
      </c>
      <c r="R266" s="10" t="str">
        <f>'2020'!R92</f>
        <v>Cs</v>
      </c>
      <c r="S266" s="10" t="str">
        <f>'2020'!S92</f>
        <v>P</v>
      </c>
      <c r="T266" s="10" t="str">
        <f>'2020'!T92</f>
        <v>Szo</v>
      </c>
      <c r="U266" s="10" t="str">
        <f>'2020'!U92</f>
        <v>V</v>
      </c>
      <c r="V266" s="10" t="str">
        <f>'2020'!V92</f>
        <v>H</v>
      </c>
      <c r="W266" s="10" t="str">
        <f>'2020'!W92</f>
        <v>K</v>
      </c>
      <c r="X266" s="10" t="str">
        <f>'2020'!X92</f>
        <v>Sze</v>
      </c>
      <c r="Y266" s="10" t="str">
        <f>'2020'!Y92</f>
        <v>Cs</v>
      </c>
      <c r="Z266" s="10" t="str">
        <f>'2020'!Z92</f>
        <v>P</v>
      </c>
      <c r="AA266" s="10" t="str">
        <f>'2020'!AA92</f>
        <v>Szo</v>
      </c>
      <c r="AB266" s="10" t="str">
        <f>'2020'!AB92</f>
        <v>V</v>
      </c>
      <c r="AC266" s="10" t="str">
        <f>'2020'!AC92</f>
        <v>H</v>
      </c>
      <c r="AD266" s="10" t="str">
        <f>'2020'!AD92</f>
        <v>K</v>
      </c>
      <c r="AE266" s="10" t="str">
        <f>'2020'!AE92</f>
        <v>Sze</v>
      </c>
      <c r="AF266" s="10" t="str">
        <f>'2020'!AF92</f>
        <v>Cs</v>
      </c>
      <c r="AH266" s="94"/>
      <c r="AI266" s="94"/>
    </row>
    <row r="267" spans="1:35" ht="20.100000000000001" customHeight="1">
      <c r="A267" s="96"/>
      <c r="B267" s="10" t="str">
        <f>'2020'!B95</f>
        <v>X</v>
      </c>
      <c r="C267" s="10">
        <f>'2020'!C95</f>
        <v>1</v>
      </c>
      <c r="D267" s="10">
        <f>'2020'!D95</f>
        <v>1</v>
      </c>
      <c r="E267" s="10">
        <f>'2020'!E95</f>
        <v>1</v>
      </c>
      <c r="F267" s="10">
        <f>'2020'!F95</f>
        <v>1</v>
      </c>
      <c r="G267" s="10">
        <f>'2020'!G95</f>
        <v>1</v>
      </c>
      <c r="H267" s="10">
        <f>'2020'!H95</f>
        <v>1</v>
      </c>
      <c r="I267" s="10" t="str">
        <f>'2020'!I95</f>
        <v>X</v>
      </c>
      <c r="J267" s="10" t="str">
        <f>'2020'!J95</f>
        <v>X</v>
      </c>
      <c r="K267" s="10">
        <f>'2020'!K95</f>
        <v>3</v>
      </c>
      <c r="L267" s="10">
        <f>'2020'!L95</f>
        <v>3</v>
      </c>
      <c r="M267" s="10">
        <f>'2020'!M95</f>
        <v>3</v>
      </c>
      <c r="N267" s="10">
        <f>'2020'!N95</f>
        <v>3</v>
      </c>
      <c r="O267" s="10">
        <f>'2020'!O95</f>
        <v>3</v>
      </c>
      <c r="P267" s="10">
        <f>'2020'!P95</f>
        <v>3</v>
      </c>
      <c r="Q267" s="10" t="str">
        <f>'2020'!Q95</f>
        <v>X</v>
      </c>
      <c r="R267" s="10" t="str">
        <f>'2020'!R95</f>
        <v>X</v>
      </c>
      <c r="S267" s="10">
        <f>'2020'!S95</f>
        <v>2</v>
      </c>
      <c r="T267" s="10">
        <f>'2020'!T95</f>
        <v>2</v>
      </c>
      <c r="U267" s="10">
        <f>'2020'!U95</f>
        <v>2</v>
      </c>
      <c r="V267" s="10">
        <f>'2020'!V95</f>
        <v>2</v>
      </c>
      <c r="W267" s="10">
        <f>'2020'!W95</f>
        <v>2</v>
      </c>
      <c r="X267" s="10">
        <f>'2020'!X95</f>
        <v>2</v>
      </c>
      <c r="Y267" s="10" t="str">
        <f>'2020'!Y95</f>
        <v>X</v>
      </c>
      <c r="Z267" s="10" t="str">
        <f>'2020'!Z95</f>
        <v>X</v>
      </c>
      <c r="AA267" s="10">
        <f>'2020'!AA95</f>
        <v>1</v>
      </c>
      <c r="AB267" s="10">
        <f>'2020'!AB95</f>
        <v>1</v>
      </c>
      <c r="AC267" s="10">
        <f>'2020'!AC95</f>
        <v>1</v>
      </c>
      <c r="AD267" s="10">
        <f>'2020'!AD95</f>
        <v>1</v>
      </c>
      <c r="AE267" s="10">
        <f>'2020'!AE95</f>
        <v>1</v>
      </c>
      <c r="AF267" s="10">
        <f>'2020'!AF95</f>
        <v>1</v>
      </c>
      <c r="AH267" s="94"/>
      <c r="AI267" s="94"/>
    </row>
    <row r="268" spans="1:35" ht="20.100000000000001" customHeight="1">
      <c r="A268" s="18" t="str">
        <f>ÖSSZES!$A$49</f>
        <v>Kuik-Filep András</v>
      </c>
      <c r="B268" s="58" t="s">
        <v>2</v>
      </c>
      <c r="C268" s="31"/>
      <c r="D268" s="31"/>
      <c r="E268" s="31"/>
      <c r="F268" s="31"/>
      <c r="G268" s="33"/>
      <c r="H268" s="33"/>
      <c r="I268" s="58" t="s">
        <v>2</v>
      </c>
      <c r="J268" s="58" t="s">
        <v>2</v>
      </c>
      <c r="K268" s="31"/>
      <c r="L268" s="31"/>
      <c r="M268" s="31"/>
      <c r="N268" s="31"/>
      <c r="O268" s="33"/>
      <c r="P268" s="33"/>
      <c r="Q268" s="58" t="s">
        <v>2</v>
      </c>
      <c r="R268" s="58" t="s">
        <v>2</v>
      </c>
      <c r="S268" s="31"/>
      <c r="T268" s="31"/>
      <c r="U268" s="31"/>
      <c r="V268" s="31"/>
      <c r="W268" s="33"/>
      <c r="X268" s="33"/>
      <c r="Y268" s="58" t="s">
        <v>2</v>
      </c>
      <c r="Z268" s="58" t="s">
        <v>2</v>
      </c>
      <c r="AA268" s="59"/>
      <c r="AB268" s="31"/>
      <c r="AC268" s="31"/>
      <c r="AD268" s="31"/>
      <c r="AE268" s="33"/>
      <c r="AF268" s="33"/>
      <c r="AH268" s="16">
        <f>1*COUNTIF(A268:AF268,"+")</f>
        <v>0</v>
      </c>
      <c r="AI268" s="16">
        <f t="shared" ref="AI268" si="32">1*COUNTIF(B268:AF268,"szf")</f>
        <v>0</v>
      </c>
    </row>
    <row r="269" spans="1:35" ht="20.100000000000001" customHeight="1">
      <c r="A269" s="18" t="str">
        <f>ÖSSZES!$A$50</f>
        <v>Balogh Zsolt</v>
      </c>
      <c r="B269" s="58" t="s">
        <v>2</v>
      </c>
      <c r="C269" s="31"/>
      <c r="D269" s="31"/>
      <c r="E269" s="31"/>
      <c r="F269" s="31"/>
      <c r="G269" s="33"/>
      <c r="H269" s="33"/>
      <c r="I269" s="58" t="s">
        <v>2</v>
      </c>
      <c r="J269" s="58" t="s">
        <v>2</v>
      </c>
      <c r="K269" s="31"/>
      <c r="L269" s="31"/>
      <c r="M269" s="31"/>
      <c r="N269" s="31"/>
      <c r="O269" s="33"/>
      <c r="P269" s="33"/>
      <c r="Q269" s="58" t="s">
        <v>2</v>
      </c>
      <c r="R269" s="58" t="s">
        <v>2</v>
      </c>
      <c r="S269" s="31"/>
      <c r="T269" s="31"/>
      <c r="U269" s="31"/>
      <c r="V269" s="31"/>
      <c r="W269" s="33"/>
      <c r="X269" s="33"/>
      <c r="Y269" s="58" t="s">
        <v>2</v>
      </c>
      <c r="Z269" s="58" t="s">
        <v>2</v>
      </c>
      <c r="AA269" s="59"/>
      <c r="AB269" s="31"/>
      <c r="AC269" s="31"/>
      <c r="AD269" s="31"/>
      <c r="AE269" s="33"/>
      <c r="AF269" s="33"/>
      <c r="AH269" s="16">
        <f t="shared" ref="AH269:AH287" si="33">1*COUNTIF(A269:AF269,"+")</f>
        <v>0</v>
      </c>
      <c r="AI269" s="16">
        <f t="shared" ref="AI269:AI287" si="34">1*COUNTIF(B269:AF269,"szf")</f>
        <v>0</v>
      </c>
    </row>
    <row r="270" spans="1:35" ht="20.100000000000001" customHeight="1">
      <c r="A270" s="18" t="str">
        <f>ÖSSZES!$A$51</f>
        <v>Éliás Viktor</v>
      </c>
      <c r="B270" s="58" t="s">
        <v>2</v>
      </c>
      <c r="C270" s="31"/>
      <c r="D270" s="31"/>
      <c r="E270" s="31"/>
      <c r="F270" s="31"/>
      <c r="G270" s="33"/>
      <c r="H270" s="33"/>
      <c r="I270" s="58" t="s">
        <v>2</v>
      </c>
      <c r="J270" s="58" t="s">
        <v>2</v>
      </c>
      <c r="K270" s="31"/>
      <c r="L270" s="31"/>
      <c r="M270" s="31"/>
      <c r="N270" s="31"/>
      <c r="O270" s="33"/>
      <c r="P270" s="33"/>
      <c r="Q270" s="58" t="s">
        <v>2</v>
      </c>
      <c r="R270" s="58" t="s">
        <v>2</v>
      </c>
      <c r="S270" s="31"/>
      <c r="T270" s="31"/>
      <c r="U270" s="31"/>
      <c r="V270" s="31"/>
      <c r="W270" s="33"/>
      <c r="X270" s="33"/>
      <c r="Y270" s="58" t="s">
        <v>2</v>
      </c>
      <c r="Z270" s="58" t="s">
        <v>2</v>
      </c>
      <c r="AA270" s="59"/>
      <c r="AB270" s="31"/>
      <c r="AC270" s="31"/>
      <c r="AD270" s="31"/>
      <c r="AE270" s="33"/>
      <c r="AF270" s="33"/>
      <c r="AH270" s="16">
        <f t="shared" si="33"/>
        <v>0</v>
      </c>
      <c r="AI270" s="16">
        <f t="shared" si="34"/>
        <v>0</v>
      </c>
    </row>
    <row r="271" spans="1:35" ht="20.100000000000001" customHeight="1">
      <c r="A271" s="18" t="str">
        <f>ÖSSZES!$A$52</f>
        <v>Hadházi Kálmán</v>
      </c>
      <c r="B271" s="58" t="s">
        <v>2</v>
      </c>
      <c r="C271" s="31"/>
      <c r="D271" s="31"/>
      <c r="E271" s="31"/>
      <c r="F271" s="31"/>
      <c r="G271" s="33"/>
      <c r="H271" s="33"/>
      <c r="I271" s="58" t="s">
        <v>2</v>
      </c>
      <c r="J271" s="58" t="s">
        <v>2</v>
      </c>
      <c r="K271" s="31"/>
      <c r="L271" s="31"/>
      <c r="M271" s="31"/>
      <c r="N271" s="31"/>
      <c r="O271" s="33"/>
      <c r="P271" s="33"/>
      <c r="Q271" s="58" t="s">
        <v>2</v>
      </c>
      <c r="R271" s="58" t="s">
        <v>2</v>
      </c>
      <c r="S271" s="31"/>
      <c r="T271" s="31"/>
      <c r="U271" s="31"/>
      <c r="V271" s="31"/>
      <c r="W271" s="33"/>
      <c r="X271" s="33"/>
      <c r="Y271" s="58" t="s">
        <v>2</v>
      </c>
      <c r="Z271" s="58" t="s">
        <v>2</v>
      </c>
      <c r="AA271" s="59"/>
      <c r="AB271" s="31"/>
      <c r="AC271" s="31"/>
      <c r="AD271" s="31"/>
      <c r="AE271" s="33"/>
      <c r="AF271" s="33"/>
      <c r="AH271" s="16">
        <f t="shared" si="33"/>
        <v>0</v>
      </c>
      <c r="AI271" s="16">
        <f t="shared" si="34"/>
        <v>0</v>
      </c>
    </row>
    <row r="272" spans="1:35" ht="20.100000000000001" customHeight="1">
      <c r="A272" s="18" t="str">
        <f>ÖSSZES!$A$53</f>
        <v>Kiss Attila</v>
      </c>
      <c r="B272" s="58" t="s">
        <v>2</v>
      </c>
      <c r="C272" s="31"/>
      <c r="D272" s="31"/>
      <c r="E272" s="31"/>
      <c r="F272" s="31"/>
      <c r="G272" s="33"/>
      <c r="H272" s="33"/>
      <c r="I272" s="58" t="s">
        <v>2</v>
      </c>
      <c r="J272" s="58" t="s">
        <v>2</v>
      </c>
      <c r="K272" s="31"/>
      <c r="L272" s="31"/>
      <c r="M272" s="31"/>
      <c r="N272" s="31"/>
      <c r="O272" s="33"/>
      <c r="P272" s="33"/>
      <c r="Q272" s="58" t="s">
        <v>2</v>
      </c>
      <c r="R272" s="58" t="s">
        <v>2</v>
      </c>
      <c r="S272" s="31"/>
      <c r="T272" s="31"/>
      <c r="U272" s="31"/>
      <c r="V272" s="31"/>
      <c r="W272" s="33"/>
      <c r="X272" s="33"/>
      <c r="Y272" s="58" t="s">
        <v>2</v>
      </c>
      <c r="Z272" s="58" t="s">
        <v>2</v>
      </c>
      <c r="AA272" s="59"/>
      <c r="AB272" s="31"/>
      <c r="AC272" s="31"/>
      <c r="AD272" s="31"/>
      <c r="AE272" s="33"/>
      <c r="AF272" s="33"/>
      <c r="AH272" s="16">
        <f t="shared" si="33"/>
        <v>0</v>
      </c>
      <c r="AI272" s="16">
        <f t="shared" si="34"/>
        <v>0</v>
      </c>
    </row>
    <row r="273" spans="1:35" ht="20.100000000000001" customHeight="1">
      <c r="A273" s="18" t="str">
        <f>ÖSSZES!$A$54</f>
        <v>Serestyén Dániel</v>
      </c>
      <c r="B273" s="58" t="s">
        <v>2</v>
      </c>
      <c r="C273" s="31"/>
      <c r="D273" s="31"/>
      <c r="E273" s="31"/>
      <c r="F273" s="31"/>
      <c r="G273" s="33"/>
      <c r="H273" s="33"/>
      <c r="I273" s="58" t="s">
        <v>2</v>
      </c>
      <c r="J273" s="58" t="s">
        <v>2</v>
      </c>
      <c r="K273" s="31"/>
      <c r="L273" s="31"/>
      <c r="M273" s="31"/>
      <c r="N273" s="31"/>
      <c r="O273" s="33"/>
      <c r="P273" s="33"/>
      <c r="Q273" s="58" t="s">
        <v>2</v>
      </c>
      <c r="R273" s="58" t="s">
        <v>2</v>
      </c>
      <c r="S273" s="31"/>
      <c r="T273" s="31"/>
      <c r="U273" s="31"/>
      <c r="V273" s="31"/>
      <c r="W273" s="33"/>
      <c r="X273" s="33"/>
      <c r="Y273" s="58" t="s">
        <v>2</v>
      </c>
      <c r="Z273" s="58" t="s">
        <v>2</v>
      </c>
      <c r="AA273" s="59"/>
      <c r="AB273" s="31"/>
      <c r="AC273" s="31"/>
      <c r="AD273" s="31"/>
      <c r="AE273" s="33"/>
      <c r="AF273" s="33"/>
      <c r="AH273" s="16">
        <f t="shared" si="33"/>
        <v>0</v>
      </c>
      <c r="AI273" s="16">
        <f t="shared" si="34"/>
        <v>0</v>
      </c>
    </row>
    <row r="274" spans="1:35" ht="20.100000000000001" customHeight="1">
      <c r="A274" s="18" t="str">
        <f>ÖSSZES!$A$55</f>
        <v>Varga Imre</v>
      </c>
      <c r="B274" s="58" t="s">
        <v>2</v>
      </c>
      <c r="C274" s="31"/>
      <c r="D274" s="31"/>
      <c r="E274" s="31"/>
      <c r="F274" s="31"/>
      <c r="G274" s="33"/>
      <c r="H274" s="33"/>
      <c r="I274" s="58" t="s">
        <v>2</v>
      </c>
      <c r="J274" s="58" t="s">
        <v>2</v>
      </c>
      <c r="K274" s="31"/>
      <c r="L274" s="31"/>
      <c r="M274" s="31"/>
      <c r="N274" s="31"/>
      <c r="O274" s="33"/>
      <c r="P274" s="33"/>
      <c r="Q274" s="58" t="s">
        <v>2</v>
      </c>
      <c r="R274" s="58" t="s">
        <v>2</v>
      </c>
      <c r="S274" s="31"/>
      <c r="T274" s="31"/>
      <c r="U274" s="31"/>
      <c r="V274" s="31"/>
      <c r="W274" s="33"/>
      <c r="X274" s="33"/>
      <c r="Y274" s="58" t="s">
        <v>2</v>
      </c>
      <c r="Z274" s="58" t="s">
        <v>2</v>
      </c>
      <c r="AA274" s="59"/>
      <c r="AB274" s="31"/>
      <c r="AC274" s="31"/>
      <c r="AD274" s="31"/>
      <c r="AE274" s="33"/>
      <c r="AF274" s="33"/>
      <c r="AH274" s="16">
        <f t="shared" si="33"/>
        <v>0</v>
      </c>
      <c r="AI274" s="16">
        <f t="shared" si="34"/>
        <v>0</v>
      </c>
    </row>
    <row r="275" spans="1:35" ht="20.100000000000001" hidden="1" customHeight="1">
      <c r="A275" s="18" t="str">
        <f>ÖSSZES!$A$56</f>
        <v>Név8</v>
      </c>
      <c r="B275" s="58" t="s">
        <v>2</v>
      </c>
      <c r="C275" s="31"/>
      <c r="D275" s="31"/>
      <c r="E275" s="31"/>
      <c r="F275" s="31"/>
      <c r="G275" s="33"/>
      <c r="H275" s="33"/>
      <c r="I275" s="58" t="s">
        <v>2</v>
      </c>
      <c r="J275" s="58" t="s">
        <v>2</v>
      </c>
      <c r="K275" s="31"/>
      <c r="L275" s="31"/>
      <c r="M275" s="31"/>
      <c r="N275" s="31"/>
      <c r="O275" s="33"/>
      <c r="P275" s="33"/>
      <c r="Q275" s="58" t="s">
        <v>2</v>
      </c>
      <c r="R275" s="58" t="s">
        <v>2</v>
      </c>
      <c r="S275" s="31"/>
      <c r="T275" s="31"/>
      <c r="U275" s="31"/>
      <c r="V275" s="31"/>
      <c r="W275" s="33"/>
      <c r="X275" s="33"/>
      <c r="Y275" s="58" t="s">
        <v>2</v>
      </c>
      <c r="Z275" s="58" t="s">
        <v>2</v>
      </c>
      <c r="AA275" s="59"/>
      <c r="AB275" s="31"/>
      <c r="AC275" s="31"/>
      <c r="AD275" s="31"/>
      <c r="AE275" s="33"/>
      <c r="AF275" s="33"/>
      <c r="AH275" s="16">
        <f t="shared" si="33"/>
        <v>0</v>
      </c>
      <c r="AI275" s="16">
        <f t="shared" si="34"/>
        <v>0</v>
      </c>
    </row>
    <row r="276" spans="1:35" ht="20.100000000000001" hidden="1" customHeight="1">
      <c r="A276" s="18" t="str">
        <f>ÖSSZES!$A$57</f>
        <v>Név9</v>
      </c>
      <c r="B276" s="58" t="s">
        <v>2</v>
      </c>
      <c r="C276" s="31"/>
      <c r="D276" s="31"/>
      <c r="E276" s="31"/>
      <c r="F276" s="31"/>
      <c r="G276" s="33"/>
      <c r="H276" s="33"/>
      <c r="I276" s="58" t="s">
        <v>2</v>
      </c>
      <c r="J276" s="58" t="s">
        <v>2</v>
      </c>
      <c r="K276" s="31"/>
      <c r="L276" s="31"/>
      <c r="M276" s="31"/>
      <c r="N276" s="31"/>
      <c r="O276" s="33"/>
      <c r="P276" s="33"/>
      <c r="Q276" s="58" t="s">
        <v>2</v>
      </c>
      <c r="R276" s="58" t="s">
        <v>2</v>
      </c>
      <c r="S276" s="31"/>
      <c r="T276" s="31"/>
      <c r="U276" s="31"/>
      <c r="V276" s="31"/>
      <c r="W276" s="33"/>
      <c r="X276" s="33"/>
      <c r="Y276" s="58" t="s">
        <v>2</v>
      </c>
      <c r="Z276" s="58" t="s">
        <v>2</v>
      </c>
      <c r="AA276" s="59"/>
      <c r="AB276" s="31"/>
      <c r="AC276" s="31"/>
      <c r="AD276" s="31"/>
      <c r="AE276" s="33"/>
      <c r="AF276" s="33"/>
      <c r="AH276" s="16">
        <f t="shared" si="33"/>
        <v>0</v>
      </c>
      <c r="AI276" s="16">
        <f t="shared" si="34"/>
        <v>0</v>
      </c>
    </row>
    <row r="277" spans="1:35" ht="20.100000000000001" hidden="1" customHeight="1">
      <c r="A277" s="18" t="str">
        <f>ÖSSZES!$A$58</f>
        <v>Név10</v>
      </c>
      <c r="B277" s="58" t="s">
        <v>2</v>
      </c>
      <c r="C277" s="31"/>
      <c r="D277" s="31"/>
      <c r="E277" s="31"/>
      <c r="F277" s="31"/>
      <c r="G277" s="33"/>
      <c r="H277" s="33"/>
      <c r="I277" s="58" t="s">
        <v>2</v>
      </c>
      <c r="J277" s="58" t="s">
        <v>2</v>
      </c>
      <c r="K277" s="31"/>
      <c r="L277" s="31"/>
      <c r="M277" s="31"/>
      <c r="N277" s="31"/>
      <c r="O277" s="33"/>
      <c r="P277" s="33"/>
      <c r="Q277" s="58" t="s">
        <v>2</v>
      </c>
      <c r="R277" s="58" t="s">
        <v>2</v>
      </c>
      <c r="S277" s="31"/>
      <c r="T277" s="31"/>
      <c r="U277" s="31"/>
      <c r="V277" s="31"/>
      <c r="W277" s="33"/>
      <c r="X277" s="33"/>
      <c r="Y277" s="58" t="s">
        <v>2</v>
      </c>
      <c r="Z277" s="58" t="s">
        <v>2</v>
      </c>
      <c r="AA277" s="59"/>
      <c r="AB277" s="31"/>
      <c r="AC277" s="31"/>
      <c r="AD277" s="31"/>
      <c r="AE277" s="33"/>
      <c r="AF277" s="33"/>
      <c r="AH277" s="16">
        <f t="shared" si="33"/>
        <v>0</v>
      </c>
      <c r="AI277" s="16">
        <f t="shared" si="34"/>
        <v>0</v>
      </c>
    </row>
    <row r="278" spans="1:35" ht="20.100000000000001" hidden="1" customHeight="1">
      <c r="A278" s="18" t="str">
        <f>ÖSSZES!$A$59</f>
        <v>Név11</v>
      </c>
      <c r="B278" s="58" t="s">
        <v>2</v>
      </c>
      <c r="C278" s="31"/>
      <c r="D278" s="31"/>
      <c r="E278" s="31"/>
      <c r="F278" s="31"/>
      <c r="G278" s="33"/>
      <c r="H278" s="33"/>
      <c r="I278" s="58" t="s">
        <v>2</v>
      </c>
      <c r="J278" s="58" t="s">
        <v>2</v>
      </c>
      <c r="K278" s="31"/>
      <c r="L278" s="31"/>
      <c r="M278" s="31"/>
      <c r="N278" s="31"/>
      <c r="O278" s="33"/>
      <c r="P278" s="33"/>
      <c r="Q278" s="58" t="s">
        <v>2</v>
      </c>
      <c r="R278" s="58" t="s">
        <v>2</v>
      </c>
      <c r="S278" s="31"/>
      <c r="T278" s="31"/>
      <c r="U278" s="31"/>
      <c r="V278" s="31"/>
      <c r="W278" s="33"/>
      <c r="X278" s="33"/>
      <c r="Y278" s="58" t="s">
        <v>2</v>
      </c>
      <c r="Z278" s="58" t="s">
        <v>2</v>
      </c>
      <c r="AA278" s="59"/>
      <c r="AB278" s="31"/>
      <c r="AC278" s="31"/>
      <c r="AD278" s="31"/>
      <c r="AE278" s="33"/>
      <c r="AF278" s="33"/>
      <c r="AH278" s="16">
        <f t="shared" si="33"/>
        <v>0</v>
      </c>
      <c r="AI278" s="16">
        <f t="shared" si="34"/>
        <v>0</v>
      </c>
    </row>
    <row r="279" spans="1:35" ht="20.100000000000001" hidden="1" customHeight="1">
      <c r="A279" s="18" t="str">
        <f>ÖSSZES!$A$60</f>
        <v>Név12</v>
      </c>
      <c r="B279" s="58" t="s">
        <v>2</v>
      </c>
      <c r="C279" s="31"/>
      <c r="D279" s="31"/>
      <c r="E279" s="31"/>
      <c r="F279" s="31"/>
      <c r="G279" s="33"/>
      <c r="H279" s="33"/>
      <c r="I279" s="58" t="s">
        <v>2</v>
      </c>
      <c r="J279" s="58" t="s">
        <v>2</v>
      </c>
      <c r="K279" s="31"/>
      <c r="L279" s="31"/>
      <c r="M279" s="31"/>
      <c r="N279" s="31"/>
      <c r="O279" s="33"/>
      <c r="P279" s="33"/>
      <c r="Q279" s="58" t="s">
        <v>2</v>
      </c>
      <c r="R279" s="58" t="s">
        <v>2</v>
      </c>
      <c r="S279" s="31"/>
      <c r="T279" s="31"/>
      <c r="U279" s="31"/>
      <c r="V279" s="31"/>
      <c r="W279" s="33"/>
      <c r="X279" s="33"/>
      <c r="Y279" s="58" t="s">
        <v>2</v>
      </c>
      <c r="Z279" s="58" t="s">
        <v>2</v>
      </c>
      <c r="AA279" s="59"/>
      <c r="AB279" s="31"/>
      <c r="AC279" s="31"/>
      <c r="AD279" s="31"/>
      <c r="AE279" s="33"/>
      <c r="AF279" s="33"/>
      <c r="AH279" s="16">
        <f t="shared" si="33"/>
        <v>0</v>
      </c>
      <c r="AI279" s="16">
        <f t="shared" si="34"/>
        <v>0</v>
      </c>
    </row>
    <row r="280" spans="1:35" ht="20.100000000000001" hidden="1" customHeight="1">
      <c r="A280" s="18" t="str">
        <f>ÖSSZES!$A$61</f>
        <v>Név13</v>
      </c>
      <c r="B280" s="58" t="s">
        <v>2</v>
      </c>
      <c r="C280" s="31"/>
      <c r="D280" s="31"/>
      <c r="E280" s="31"/>
      <c r="F280" s="31"/>
      <c r="G280" s="33"/>
      <c r="H280" s="33"/>
      <c r="I280" s="58" t="s">
        <v>2</v>
      </c>
      <c r="J280" s="58" t="s">
        <v>2</v>
      </c>
      <c r="K280" s="31"/>
      <c r="L280" s="31"/>
      <c r="M280" s="31"/>
      <c r="N280" s="31"/>
      <c r="O280" s="33"/>
      <c r="P280" s="33"/>
      <c r="Q280" s="58" t="s">
        <v>2</v>
      </c>
      <c r="R280" s="58" t="s">
        <v>2</v>
      </c>
      <c r="S280" s="31"/>
      <c r="T280" s="31"/>
      <c r="U280" s="31"/>
      <c r="V280" s="31"/>
      <c r="W280" s="33"/>
      <c r="X280" s="33"/>
      <c r="Y280" s="58" t="s">
        <v>2</v>
      </c>
      <c r="Z280" s="58" t="s">
        <v>2</v>
      </c>
      <c r="AA280" s="59"/>
      <c r="AB280" s="31"/>
      <c r="AC280" s="31"/>
      <c r="AD280" s="31"/>
      <c r="AE280" s="33"/>
      <c r="AF280" s="33"/>
      <c r="AH280" s="16">
        <f t="shared" si="33"/>
        <v>0</v>
      </c>
      <c r="AI280" s="16">
        <f t="shared" si="34"/>
        <v>0</v>
      </c>
    </row>
    <row r="281" spans="1:35" ht="20.100000000000001" hidden="1" customHeight="1">
      <c r="A281" s="18" t="str">
        <f>ÖSSZES!$A$62</f>
        <v>Név14</v>
      </c>
      <c r="B281" s="58" t="s">
        <v>2</v>
      </c>
      <c r="C281" s="31"/>
      <c r="D281" s="31"/>
      <c r="E281" s="31"/>
      <c r="F281" s="31"/>
      <c r="G281" s="33"/>
      <c r="H281" s="33"/>
      <c r="I281" s="58" t="s">
        <v>2</v>
      </c>
      <c r="J281" s="58" t="s">
        <v>2</v>
      </c>
      <c r="K281" s="31"/>
      <c r="L281" s="31"/>
      <c r="M281" s="31"/>
      <c r="N281" s="31"/>
      <c r="O281" s="33"/>
      <c r="P281" s="33"/>
      <c r="Q281" s="58" t="s">
        <v>2</v>
      </c>
      <c r="R281" s="58" t="s">
        <v>2</v>
      </c>
      <c r="S281" s="31"/>
      <c r="T281" s="31"/>
      <c r="U281" s="31"/>
      <c r="V281" s="31"/>
      <c r="W281" s="33"/>
      <c r="X281" s="33"/>
      <c r="Y281" s="58" t="s">
        <v>2</v>
      </c>
      <c r="Z281" s="58" t="s">
        <v>2</v>
      </c>
      <c r="AA281" s="59"/>
      <c r="AB281" s="31"/>
      <c r="AC281" s="31"/>
      <c r="AD281" s="31"/>
      <c r="AE281" s="33"/>
      <c r="AF281" s="33"/>
      <c r="AH281" s="16">
        <f t="shared" si="33"/>
        <v>0</v>
      </c>
      <c r="AI281" s="16">
        <f t="shared" si="34"/>
        <v>0</v>
      </c>
    </row>
    <row r="282" spans="1:35" ht="20.100000000000001" hidden="1" customHeight="1">
      <c r="A282" s="18" t="str">
        <f>ÖSSZES!$A$63</f>
        <v>Név15</v>
      </c>
      <c r="B282" s="58" t="s">
        <v>2</v>
      </c>
      <c r="C282" s="31"/>
      <c r="D282" s="31"/>
      <c r="E282" s="31"/>
      <c r="F282" s="31"/>
      <c r="G282" s="33"/>
      <c r="H282" s="33"/>
      <c r="I282" s="58" t="s">
        <v>2</v>
      </c>
      <c r="J282" s="58" t="s">
        <v>2</v>
      </c>
      <c r="K282" s="31"/>
      <c r="L282" s="31"/>
      <c r="M282" s="31"/>
      <c r="N282" s="31"/>
      <c r="O282" s="33"/>
      <c r="P282" s="33"/>
      <c r="Q282" s="58" t="s">
        <v>2</v>
      </c>
      <c r="R282" s="58" t="s">
        <v>2</v>
      </c>
      <c r="S282" s="31"/>
      <c r="T282" s="31"/>
      <c r="U282" s="31"/>
      <c r="V282" s="31"/>
      <c r="W282" s="33"/>
      <c r="X282" s="33"/>
      <c r="Y282" s="58" t="s">
        <v>2</v>
      </c>
      <c r="Z282" s="58" t="s">
        <v>2</v>
      </c>
      <c r="AA282" s="59"/>
      <c r="AB282" s="31"/>
      <c r="AC282" s="31"/>
      <c r="AD282" s="31"/>
      <c r="AE282" s="33"/>
      <c r="AF282" s="33"/>
      <c r="AH282" s="16">
        <f t="shared" si="33"/>
        <v>0</v>
      </c>
      <c r="AI282" s="16">
        <f t="shared" si="34"/>
        <v>0</v>
      </c>
    </row>
    <row r="283" spans="1:35" ht="20.100000000000001" hidden="1" customHeight="1">
      <c r="A283" s="18" t="str">
        <f>ÖSSZES!$A$64</f>
        <v>Név16</v>
      </c>
      <c r="B283" s="58" t="s">
        <v>2</v>
      </c>
      <c r="C283" s="31"/>
      <c r="D283" s="31"/>
      <c r="E283" s="31"/>
      <c r="F283" s="31"/>
      <c r="G283" s="33"/>
      <c r="H283" s="33"/>
      <c r="I283" s="58" t="s">
        <v>2</v>
      </c>
      <c r="J283" s="58" t="s">
        <v>2</v>
      </c>
      <c r="K283" s="31"/>
      <c r="L283" s="31"/>
      <c r="M283" s="31"/>
      <c r="N283" s="31"/>
      <c r="O283" s="33"/>
      <c r="P283" s="33"/>
      <c r="Q283" s="58" t="s">
        <v>2</v>
      </c>
      <c r="R283" s="58" t="s">
        <v>2</v>
      </c>
      <c r="S283" s="31"/>
      <c r="T283" s="31"/>
      <c r="U283" s="31"/>
      <c r="V283" s="31"/>
      <c r="W283" s="33"/>
      <c r="X283" s="33"/>
      <c r="Y283" s="58" t="s">
        <v>2</v>
      </c>
      <c r="Z283" s="58" t="s">
        <v>2</v>
      </c>
      <c r="AA283" s="59"/>
      <c r="AB283" s="31"/>
      <c r="AC283" s="31"/>
      <c r="AD283" s="31"/>
      <c r="AE283" s="33"/>
      <c r="AF283" s="33"/>
      <c r="AH283" s="16">
        <f t="shared" si="33"/>
        <v>0</v>
      </c>
      <c r="AI283" s="16">
        <f t="shared" si="34"/>
        <v>0</v>
      </c>
    </row>
    <row r="284" spans="1:35" ht="20.100000000000001" hidden="1" customHeight="1">
      <c r="A284" s="18" t="str">
        <f>ÖSSZES!$A$65</f>
        <v>Név17</v>
      </c>
      <c r="B284" s="58" t="s">
        <v>2</v>
      </c>
      <c r="C284" s="31"/>
      <c r="D284" s="31"/>
      <c r="E284" s="31"/>
      <c r="F284" s="31"/>
      <c r="G284" s="33"/>
      <c r="H284" s="33"/>
      <c r="I284" s="58" t="s">
        <v>2</v>
      </c>
      <c r="J284" s="58" t="s">
        <v>2</v>
      </c>
      <c r="K284" s="31"/>
      <c r="L284" s="31"/>
      <c r="M284" s="31"/>
      <c r="N284" s="31"/>
      <c r="O284" s="33"/>
      <c r="P284" s="33"/>
      <c r="Q284" s="58" t="s">
        <v>2</v>
      </c>
      <c r="R284" s="58" t="s">
        <v>2</v>
      </c>
      <c r="S284" s="31"/>
      <c r="T284" s="31"/>
      <c r="U284" s="31"/>
      <c r="V284" s="31"/>
      <c r="W284" s="33"/>
      <c r="X284" s="33"/>
      <c r="Y284" s="58" t="s">
        <v>2</v>
      </c>
      <c r="Z284" s="58" t="s">
        <v>2</v>
      </c>
      <c r="AA284" s="59"/>
      <c r="AB284" s="31"/>
      <c r="AC284" s="31"/>
      <c r="AD284" s="31"/>
      <c r="AE284" s="33"/>
      <c r="AF284" s="33"/>
      <c r="AH284" s="16">
        <f t="shared" si="33"/>
        <v>0</v>
      </c>
      <c r="AI284" s="16">
        <f t="shared" si="34"/>
        <v>0</v>
      </c>
    </row>
    <row r="285" spans="1:35" ht="20.100000000000001" hidden="1" customHeight="1">
      <c r="A285" s="18" t="str">
        <f>ÖSSZES!$A$66</f>
        <v>Név18</v>
      </c>
      <c r="B285" s="58" t="s">
        <v>2</v>
      </c>
      <c r="C285" s="31"/>
      <c r="D285" s="31"/>
      <c r="E285" s="31"/>
      <c r="F285" s="31"/>
      <c r="G285" s="33"/>
      <c r="H285" s="33"/>
      <c r="I285" s="58" t="s">
        <v>2</v>
      </c>
      <c r="J285" s="58" t="s">
        <v>2</v>
      </c>
      <c r="K285" s="31"/>
      <c r="L285" s="31"/>
      <c r="M285" s="31"/>
      <c r="N285" s="31"/>
      <c r="O285" s="33"/>
      <c r="P285" s="33"/>
      <c r="Q285" s="58" t="s">
        <v>2</v>
      </c>
      <c r="R285" s="58" t="s">
        <v>2</v>
      </c>
      <c r="S285" s="31"/>
      <c r="T285" s="31"/>
      <c r="U285" s="31"/>
      <c r="V285" s="31"/>
      <c r="W285" s="33"/>
      <c r="X285" s="33"/>
      <c r="Y285" s="58" t="s">
        <v>2</v>
      </c>
      <c r="Z285" s="58" t="s">
        <v>2</v>
      </c>
      <c r="AA285" s="59"/>
      <c r="AB285" s="31"/>
      <c r="AC285" s="31"/>
      <c r="AD285" s="31"/>
      <c r="AE285" s="33"/>
      <c r="AF285" s="33"/>
      <c r="AH285" s="16">
        <f t="shared" si="33"/>
        <v>0</v>
      </c>
      <c r="AI285" s="16">
        <f t="shared" si="34"/>
        <v>0</v>
      </c>
    </row>
    <row r="286" spans="1:35" ht="20.100000000000001" hidden="1" customHeight="1">
      <c r="A286" s="18" t="str">
        <f>ÖSSZES!$A$67</f>
        <v>Név19</v>
      </c>
      <c r="B286" s="58" t="s">
        <v>2</v>
      </c>
      <c r="C286" s="31"/>
      <c r="D286" s="31"/>
      <c r="E286" s="31"/>
      <c r="F286" s="31"/>
      <c r="G286" s="33"/>
      <c r="H286" s="33"/>
      <c r="I286" s="58" t="s">
        <v>2</v>
      </c>
      <c r="J286" s="58" t="s">
        <v>2</v>
      </c>
      <c r="K286" s="31"/>
      <c r="L286" s="31"/>
      <c r="M286" s="31"/>
      <c r="N286" s="31"/>
      <c r="O286" s="33"/>
      <c r="P286" s="33"/>
      <c r="Q286" s="58" t="s">
        <v>2</v>
      </c>
      <c r="R286" s="58" t="s">
        <v>2</v>
      </c>
      <c r="S286" s="31"/>
      <c r="T286" s="31"/>
      <c r="U286" s="31"/>
      <c r="V286" s="31"/>
      <c r="W286" s="33"/>
      <c r="X286" s="33"/>
      <c r="Y286" s="58" t="s">
        <v>2</v>
      </c>
      <c r="Z286" s="58" t="s">
        <v>2</v>
      </c>
      <c r="AA286" s="59"/>
      <c r="AB286" s="31"/>
      <c r="AC286" s="31"/>
      <c r="AD286" s="31"/>
      <c r="AE286" s="33"/>
      <c r="AF286" s="33"/>
      <c r="AH286" s="16">
        <f t="shared" si="33"/>
        <v>0</v>
      </c>
      <c r="AI286" s="16">
        <f t="shared" si="34"/>
        <v>0</v>
      </c>
    </row>
    <row r="287" spans="1:35" ht="20.100000000000001" hidden="1" customHeight="1">
      <c r="A287" s="18" t="str">
        <f>ÖSSZES!$A$68</f>
        <v>Név20</v>
      </c>
      <c r="B287" s="58" t="s">
        <v>2</v>
      </c>
      <c r="C287" s="31"/>
      <c r="D287" s="31"/>
      <c r="E287" s="31"/>
      <c r="F287" s="31"/>
      <c r="G287" s="33"/>
      <c r="H287" s="33"/>
      <c r="I287" s="58" t="s">
        <v>2</v>
      </c>
      <c r="J287" s="58" t="s">
        <v>2</v>
      </c>
      <c r="K287" s="31"/>
      <c r="L287" s="31"/>
      <c r="M287" s="31"/>
      <c r="N287" s="31"/>
      <c r="O287" s="33"/>
      <c r="P287" s="33"/>
      <c r="Q287" s="58" t="s">
        <v>2</v>
      </c>
      <c r="R287" s="58" t="s">
        <v>2</v>
      </c>
      <c r="S287" s="31"/>
      <c r="T287" s="31"/>
      <c r="U287" s="31"/>
      <c r="V287" s="31"/>
      <c r="W287" s="33"/>
      <c r="X287" s="33"/>
      <c r="Y287" s="58" t="s">
        <v>2</v>
      </c>
      <c r="Z287" s="58" t="s">
        <v>2</v>
      </c>
      <c r="AA287" s="59"/>
      <c r="AB287" s="31"/>
      <c r="AC287" s="31"/>
      <c r="AD287" s="31"/>
      <c r="AE287" s="33"/>
      <c r="AF287" s="33"/>
      <c r="AH287" s="16">
        <f t="shared" si="33"/>
        <v>0</v>
      </c>
      <c r="AI287" s="16">
        <f t="shared" si="34"/>
        <v>0</v>
      </c>
    </row>
  </sheetData>
  <sheetProtection password="DD6F" sheet="1" objects="1" scenarios="1"/>
  <mergeCells count="36">
    <mergeCell ref="AH241:AH243"/>
    <mergeCell ref="AI241:AI243"/>
    <mergeCell ref="AH265:AH267"/>
    <mergeCell ref="AI265:AI267"/>
    <mergeCell ref="AH193:AH195"/>
    <mergeCell ref="AI193:AI195"/>
    <mergeCell ref="AH217:AH219"/>
    <mergeCell ref="AI217:AI219"/>
    <mergeCell ref="AH145:AH147"/>
    <mergeCell ref="AI145:AI147"/>
    <mergeCell ref="AH169:AH171"/>
    <mergeCell ref="AI169:AI171"/>
    <mergeCell ref="AH97:AH99"/>
    <mergeCell ref="AI97:AI99"/>
    <mergeCell ref="AH121:AH123"/>
    <mergeCell ref="AI121:AI123"/>
    <mergeCell ref="AH49:AH51"/>
    <mergeCell ref="AI49:AI51"/>
    <mergeCell ref="AH73:AH75"/>
    <mergeCell ref="AI73:AI75"/>
    <mergeCell ref="AH1:AH3"/>
    <mergeCell ref="AI1:AI3"/>
    <mergeCell ref="AH25:AH27"/>
    <mergeCell ref="AI25:AI27"/>
    <mergeCell ref="A217:A219"/>
    <mergeCell ref="A241:A243"/>
    <mergeCell ref="A265:A267"/>
    <mergeCell ref="A97:A99"/>
    <mergeCell ref="A121:A123"/>
    <mergeCell ref="A145:A147"/>
    <mergeCell ref="A169:A171"/>
    <mergeCell ref="A1:A3"/>
    <mergeCell ref="A25:A27"/>
    <mergeCell ref="A49:A51"/>
    <mergeCell ref="A73:A75"/>
    <mergeCell ref="A193:A195"/>
  </mergeCells>
  <phoneticPr fontId="0" type="noConversion"/>
  <conditionalFormatting sqref="A1:XFD3 A24:XFD24 A5:D23 O4:O23 W4:W23 AE4:AE23 A48:XFD51 A28:A47 H28:H47 P28:P47 X28:X47 A72:XFD75 A52:A71 F52:I71 N52:O71 V52:Y71 AD52:XFD71 A96:XFD99 A76:B95 G76:J95 W76:Z76 AE76:XFD95 A120:XFD123 I100:L119 Q100:T119 Y100:AB119 AG100:XFD119 A144:XFD147 J124:M143 R124:U143 Z124:AC143 AF124:XFD143 A168:XFD171 A148:A167 L148:O167 AB148:AE167 AG148:XFD167 A192:XFD195 A172:A191 E172:H191 M172:P191 AC172:XFD191 A216:XFD219 A196:A215 F196:I215 N196:Q215 V196:Y215 A240:XFD243 A220:C239 H220:K239 P220:S239 AF220:XFD239 A264:XFD267 I244:L263 Q244:T263 Y244:AB263 AF244:XFD263 A288:XFD1048576 A268:A287 K268:N287 S268:V287 AG268:XFD287 O76:R95 A100:D119 A124:E143 U172:X191 X220:AA239 A244:D263 AA268:AD287 G5:G23 A25:AC27 AD25:XFD47 R4:T23 Z4:AB23 AG4:XFD23 C28:E47 K28:M47 S28:U47 AA28:AC47 D148:G167 T148:W167 AD196:XFD215 C268:F287 Q52:Q71 A4:G4 J4:L23 W78:Z95 W77:AB77">
    <cfRule type="cellIs" dxfId="1622" priority="457" operator="equal">
      <formula>"szf"</formula>
    </cfRule>
    <cfRule type="cellIs" dxfId="1621" priority="458" operator="equal">
      <formula>"+"</formula>
    </cfRule>
  </conditionalFormatting>
  <conditionalFormatting sqref="E5:E23">
    <cfRule type="cellIs" dxfId="1620" priority="455" operator="equal">
      <formula>"+"</formula>
    </cfRule>
    <cfRule type="cellIs" dxfId="1619" priority="456" operator="equal">
      <formula>"szf"</formula>
    </cfRule>
  </conditionalFormatting>
  <conditionalFormatting sqref="F5:F23">
    <cfRule type="cellIs" dxfId="1618" priority="453" operator="equal">
      <formula>"+"</formula>
    </cfRule>
    <cfRule type="cellIs" dxfId="1617" priority="454" operator="equal">
      <formula>"szf"</formula>
    </cfRule>
  </conditionalFormatting>
  <conditionalFormatting sqref="M4:M23">
    <cfRule type="cellIs" dxfId="1616" priority="451" operator="equal">
      <formula>"+"</formula>
    </cfRule>
    <cfRule type="cellIs" dxfId="1615" priority="452" operator="equal">
      <formula>"szf"</formula>
    </cfRule>
  </conditionalFormatting>
  <conditionalFormatting sqref="N4:N23">
    <cfRule type="cellIs" dxfId="1614" priority="449" operator="equal">
      <formula>"+"</formula>
    </cfRule>
    <cfRule type="cellIs" dxfId="1613" priority="450" operator="equal">
      <formula>"szf"</formula>
    </cfRule>
  </conditionalFormatting>
  <conditionalFormatting sqref="U4:U23">
    <cfRule type="cellIs" dxfId="1612" priority="447" operator="equal">
      <formula>"+"</formula>
    </cfRule>
    <cfRule type="cellIs" dxfId="1611" priority="448" operator="equal">
      <formula>"szf"</formula>
    </cfRule>
  </conditionalFormatting>
  <conditionalFormatting sqref="V4:V23">
    <cfRule type="cellIs" dxfId="1610" priority="445" operator="equal">
      <formula>"+"</formula>
    </cfRule>
    <cfRule type="cellIs" dxfId="1609" priority="446" operator="equal">
      <formula>"szf"</formula>
    </cfRule>
  </conditionalFormatting>
  <conditionalFormatting sqref="AC4:AC23">
    <cfRule type="cellIs" dxfId="1608" priority="443" operator="equal">
      <formula>"+"</formula>
    </cfRule>
    <cfRule type="cellIs" dxfId="1607" priority="444" operator="equal">
      <formula>"szf"</formula>
    </cfRule>
  </conditionalFormatting>
  <conditionalFormatting sqref="AD4:AD23">
    <cfRule type="cellIs" dxfId="1606" priority="441" operator="equal">
      <formula>"+"</formula>
    </cfRule>
    <cfRule type="cellIs" dxfId="1605" priority="442" operator="equal">
      <formula>"szf"</formula>
    </cfRule>
  </conditionalFormatting>
  <conditionalFormatting sqref="F28:F47">
    <cfRule type="cellIs" dxfId="1604" priority="439" operator="equal">
      <formula>"+"</formula>
    </cfRule>
    <cfRule type="cellIs" dxfId="1603" priority="440" operator="equal">
      <formula>"szf"</formula>
    </cfRule>
  </conditionalFormatting>
  <conditionalFormatting sqref="G28:G47">
    <cfRule type="cellIs" dxfId="1602" priority="437" operator="equal">
      <formula>"+"</formula>
    </cfRule>
    <cfRule type="cellIs" dxfId="1601" priority="438" operator="equal">
      <formula>"szf"</formula>
    </cfRule>
  </conditionalFormatting>
  <conditionalFormatting sqref="N28:N47">
    <cfRule type="cellIs" dxfId="1600" priority="435" operator="equal">
      <formula>"+"</formula>
    </cfRule>
    <cfRule type="cellIs" dxfId="1599" priority="436" operator="equal">
      <formula>"szf"</formula>
    </cfRule>
  </conditionalFormatting>
  <conditionalFormatting sqref="O28:O47">
    <cfRule type="cellIs" dxfId="1598" priority="433" operator="equal">
      <formula>"+"</formula>
    </cfRule>
    <cfRule type="cellIs" dxfId="1597" priority="434" operator="equal">
      <formula>"szf"</formula>
    </cfRule>
  </conditionalFormatting>
  <conditionalFormatting sqref="V28:V47">
    <cfRule type="cellIs" dxfId="1596" priority="431" operator="equal">
      <formula>"+"</formula>
    </cfRule>
    <cfRule type="cellIs" dxfId="1595" priority="432" operator="equal">
      <formula>"szf"</formula>
    </cfRule>
  </conditionalFormatting>
  <conditionalFormatting sqref="W28:W47">
    <cfRule type="cellIs" dxfId="1594" priority="429" operator="equal">
      <formula>"+"</formula>
    </cfRule>
    <cfRule type="cellIs" dxfId="1593" priority="430" operator="equal">
      <formula>"szf"</formula>
    </cfRule>
  </conditionalFormatting>
  <conditionalFormatting sqref="B52:B71">
    <cfRule type="cellIs" dxfId="1592" priority="427" operator="equal">
      <formula>"+"</formula>
    </cfRule>
    <cfRule type="cellIs" dxfId="1591" priority="428" operator="equal">
      <formula>"szf"</formula>
    </cfRule>
  </conditionalFormatting>
  <conditionalFormatting sqref="C52:C71">
    <cfRule type="cellIs" dxfId="1590" priority="425" operator="equal">
      <formula>"+"</formula>
    </cfRule>
    <cfRule type="cellIs" dxfId="1589" priority="426" operator="equal">
      <formula>"szf"</formula>
    </cfRule>
  </conditionalFormatting>
  <conditionalFormatting sqref="J52:J71">
    <cfRule type="cellIs" dxfId="1588" priority="423" operator="equal">
      <formula>"+"</formula>
    </cfRule>
    <cfRule type="cellIs" dxfId="1587" priority="424" operator="equal">
      <formula>"szf"</formula>
    </cfRule>
  </conditionalFormatting>
  <conditionalFormatting sqref="K52:K71">
    <cfRule type="cellIs" dxfId="1586" priority="421" operator="equal">
      <formula>"+"</formula>
    </cfRule>
    <cfRule type="cellIs" dxfId="1585" priority="422" operator="equal">
      <formula>"szf"</formula>
    </cfRule>
  </conditionalFormatting>
  <conditionalFormatting sqref="R52:R71">
    <cfRule type="cellIs" dxfId="1584" priority="419" operator="equal">
      <formula>"+"</formula>
    </cfRule>
    <cfRule type="cellIs" dxfId="1583" priority="420" operator="equal">
      <formula>"szf"</formula>
    </cfRule>
  </conditionalFormatting>
  <conditionalFormatting sqref="S52:S71">
    <cfRule type="cellIs" dxfId="1582" priority="417" operator="equal">
      <formula>"+"</formula>
    </cfRule>
    <cfRule type="cellIs" dxfId="1581" priority="418" operator="equal">
      <formula>"szf"</formula>
    </cfRule>
  </conditionalFormatting>
  <conditionalFormatting sqref="Z52:Z71">
    <cfRule type="cellIs" dxfId="1580" priority="415" operator="equal">
      <formula>"+"</formula>
    </cfRule>
    <cfRule type="cellIs" dxfId="1579" priority="416" operator="equal">
      <formula>"szf"</formula>
    </cfRule>
  </conditionalFormatting>
  <conditionalFormatting sqref="AA52:AA71">
    <cfRule type="cellIs" dxfId="1578" priority="413" operator="equal">
      <formula>"+"</formula>
    </cfRule>
    <cfRule type="cellIs" dxfId="1577" priority="414" operator="equal">
      <formula>"szf"</formula>
    </cfRule>
  </conditionalFormatting>
  <conditionalFormatting sqref="C76:C95">
    <cfRule type="cellIs" dxfId="1576" priority="411" operator="equal">
      <formula>"+"</formula>
    </cfRule>
    <cfRule type="cellIs" dxfId="1575" priority="412" operator="equal">
      <formula>"szf"</formula>
    </cfRule>
  </conditionalFormatting>
  <conditionalFormatting sqref="D76:D95">
    <cfRule type="cellIs" dxfId="1574" priority="409" operator="equal">
      <formula>"+"</formula>
    </cfRule>
    <cfRule type="cellIs" dxfId="1573" priority="410" operator="equal">
      <formula>"szf"</formula>
    </cfRule>
  </conditionalFormatting>
  <conditionalFormatting sqref="L76:L95">
    <cfRule type="cellIs" dxfId="1572" priority="405" operator="equal">
      <formula>"+"</formula>
    </cfRule>
    <cfRule type="cellIs" dxfId="1571" priority="406" operator="equal">
      <formula>"szf"</formula>
    </cfRule>
  </conditionalFormatting>
  <conditionalFormatting sqref="S76:S95">
    <cfRule type="cellIs" dxfId="1570" priority="403" operator="equal">
      <formula>"+"</formula>
    </cfRule>
    <cfRule type="cellIs" dxfId="1569" priority="404" operator="equal">
      <formula>"szf"</formula>
    </cfRule>
  </conditionalFormatting>
  <conditionalFormatting sqref="T76:T95">
    <cfRule type="cellIs" dxfId="1568" priority="401" operator="equal">
      <formula>"+"</formula>
    </cfRule>
    <cfRule type="cellIs" dxfId="1567" priority="402" operator="equal">
      <formula>"szf"</formula>
    </cfRule>
  </conditionalFormatting>
  <conditionalFormatting sqref="AA76 AA78:AA95">
    <cfRule type="cellIs" dxfId="1566" priority="399" operator="equal">
      <formula>"+"</formula>
    </cfRule>
    <cfRule type="cellIs" dxfId="1565" priority="400" operator="equal">
      <formula>"szf"</formula>
    </cfRule>
  </conditionalFormatting>
  <conditionalFormatting sqref="AB76 AB78:AB95">
    <cfRule type="cellIs" dxfId="1564" priority="397" operator="equal">
      <formula>"+"</formula>
    </cfRule>
    <cfRule type="cellIs" dxfId="1563" priority="398" operator="equal">
      <formula>"szf"</formula>
    </cfRule>
  </conditionalFormatting>
  <conditionalFormatting sqref="E100:E119">
    <cfRule type="cellIs" dxfId="1562" priority="395" operator="equal">
      <formula>"+"</formula>
    </cfRule>
    <cfRule type="cellIs" dxfId="1561" priority="396" operator="equal">
      <formula>"szf"</formula>
    </cfRule>
  </conditionalFormatting>
  <conditionalFormatting sqref="F100:F119">
    <cfRule type="cellIs" dxfId="1560" priority="393" operator="equal">
      <formula>"+"</formula>
    </cfRule>
    <cfRule type="cellIs" dxfId="1559" priority="394" operator="equal">
      <formula>"szf"</formula>
    </cfRule>
  </conditionalFormatting>
  <conditionalFormatting sqref="M100:M119">
    <cfRule type="cellIs" dxfId="1558" priority="391" operator="equal">
      <formula>"+"</formula>
    </cfRule>
    <cfRule type="cellIs" dxfId="1557" priority="392" operator="equal">
      <formula>"szf"</formula>
    </cfRule>
  </conditionalFormatting>
  <conditionalFormatting sqref="N100:N119">
    <cfRule type="cellIs" dxfId="1556" priority="389" operator="equal">
      <formula>"+"</formula>
    </cfRule>
    <cfRule type="cellIs" dxfId="1555" priority="390" operator="equal">
      <formula>"szf"</formula>
    </cfRule>
  </conditionalFormatting>
  <conditionalFormatting sqref="U100:U119">
    <cfRule type="cellIs" dxfId="1554" priority="387" operator="equal">
      <formula>"+"</formula>
    </cfRule>
    <cfRule type="cellIs" dxfId="1553" priority="388" operator="equal">
      <formula>"szf"</formula>
    </cfRule>
  </conditionalFormatting>
  <conditionalFormatting sqref="V100:V119">
    <cfRule type="cellIs" dxfId="1552" priority="385" operator="equal">
      <formula>"+"</formula>
    </cfRule>
    <cfRule type="cellIs" dxfId="1551" priority="386" operator="equal">
      <formula>"szf"</formula>
    </cfRule>
  </conditionalFormatting>
  <conditionalFormatting sqref="AC100:AC119">
    <cfRule type="cellIs" dxfId="1550" priority="383" operator="equal">
      <formula>"+"</formula>
    </cfRule>
    <cfRule type="cellIs" dxfId="1549" priority="384" operator="equal">
      <formula>"szf"</formula>
    </cfRule>
  </conditionalFormatting>
  <conditionalFormatting sqref="AD100:AD119">
    <cfRule type="cellIs" dxfId="1548" priority="381" operator="equal">
      <formula>"+"</formula>
    </cfRule>
    <cfRule type="cellIs" dxfId="1547" priority="382" operator="equal">
      <formula>"szf"</formula>
    </cfRule>
  </conditionalFormatting>
  <conditionalFormatting sqref="F124:F143">
    <cfRule type="cellIs" dxfId="1546" priority="379" operator="equal">
      <formula>"+"</formula>
    </cfRule>
    <cfRule type="cellIs" dxfId="1545" priority="380" operator="equal">
      <formula>"szf"</formula>
    </cfRule>
  </conditionalFormatting>
  <conditionalFormatting sqref="G124:G143">
    <cfRule type="cellIs" dxfId="1544" priority="377" operator="equal">
      <formula>"+"</formula>
    </cfRule>
    <cfRule type="cellIs" dxfId="1543" priority="378" operator="equal">
      <formula>"szf"</formula>
    </cfRule>
  </conditionalFormatting>
  <conditionalFormatting sqref="N124:N143">
    <cfRule type="cellIs" dxfId="1542" priority="375" operator="equal">
      <formula>"+"</formula>
    </cfRule>
    <cfRule type="cellIs" dxfId="1541" priority="376" operator="equal">
      <formula>"szf"</formula>
    </cfRule>
  </conditionalFormatting>
  <conditionalFormatting sqref="O124:O143">
    <cfRule type="cellIs" dxfId="1540" priority="373" operator="equal">
      <formula>"+"</formula>
    </cfRule>
    <cfRule type="cellIs" dxfId="1539" priority="374" operator="equal">
      <formula>"szf"</formula>
    </cfRule>
  </conditionalFormatting>
  <conditionalFormatting sqref="V124:V143">
    <cfRule type="cellIs" dxfId="1538" priority="371" operator="equal">
      <formula>"+"</formula>
    </cfRule>
    <cfRule type="cellIs" dxfId="1537" priority="372" operator="equal">
      <formula>"szf"</formula>
    </cfRule>
  </conditionalFormatting>
  <conditionalFormatting sqref="W124:W143">
    <cfRule type="cellIs" dxfId="1536" priority="369" operator="equal">
      <formula>"+"</formula>
    </cfRule>
    <cfRule type="cellIs" dxfId="1535" priority="370" operator="equal">
      <formula>"szf"</formula>
    </cfRule>
  </conditionalFormatting>
  <conditionalFormatting sqref="AD124:AD143">
    <cfRule type="cellIs" dxfId="1534" priority="367" operator="equal">
      <formula>"+"</formula>
    </cfRule>
    <cfRule type="cellIs" dxfId="1533" priority="368" operator="equal">
      <formula>"szf"</formula>
    </cfRule>
  </conditionalFormatting>
  <conditionalFormatting sqref="AE124:AE143">
    <cfRule type="cellIs" dxfId="1532" priority="365" operator="equal">
      <formula>"+"</formula>
    </cfRule>
    <cfRule type="cellIs" dxfId="1531" priority="366" operator="equal">
      <formula>"szf"</formula>
    </cfRule>
  </conditionalFormatting>
  <conditionalFormatting sqref="H148:H167">
    <cfRule type="cellIs" dxfId="1530" priority="363" operator="equal">
      <formula>"+"</formula>
    </cfRule>
    <cfRule type="cellIs" dxfId="1529" priority="364" operator="equal">
      <formula>"szf"</formula>
    </cfRule>
  </conditionalFormatting>
  <conditionalFormatting sqref="I148:I167">
    <cfRule type="cellIs" dxfId="1528" priority="361" operator="equal">
      <formula>"+"</formula>
    </cfRule>
    <cfRule type="cellIs" dxfId="1527" priority="362" operator="equal">
      <formula>"szf"</formula>
    </cfRule>
  </conditionalFormatting>
  <conditionalFormatting sqref="P148:P167">
    <cfRule type="cellIs" dxfId="1526" priority="359" operator="equal">
      <formula>"+"</formula>
    </cfRule>
    <cfRule type="cellIs" dxfId="1525" priority="360" operator="equal">
      <formula>"szf"</formula>
    </cfRule>
  </conditionalFormatting>
  <conditionalFormatting sqref="Q148:Q167">
    <cfRule type="cellIs" dxfId="1524" priority="357" operator="equal">
      <formula>"+"</formula>
    </cfRule>
    <cfRule type="cellIs" dxfId="1523" priority="358" operator="equal">
      <formula>"szf"</formula>
    </cfRule>
  </conditionalFormatting>
  <conditionalFormatting sqref="X148:X167">
    <cfRule type="cellIs" dxfId="1522" priority="355" operator="equal">
      <formula>"+"</formula>
    </cfRule>
    <cfRule type="cellIs" dxfId="1521" priority="356" operator="equal">
      <formula>"szf"</formula>
    </cfRule>
  </conditionalFormatting>
  <conditionalFormatting sqref="Y148:Y167">
    <cfRule type="cellIs" dxfId="1520" priority="353" operator="equal">
      <formula>"+"</formula>
    </cfRule>
    <cfRule type="cellIs" dxfId="1519" priority="354" operator="equal">
      <formula>"szf"</formula>
    </cfRule>
  </conditionalFormatting>
  <conditionalFormatting sqref="AF148:AF167">
    <cfRule type="cellIs" dxfId="1518" priority="351" operator="equal">
      <formula>"+"</formula>
    </cfRule>
    <cfRule type="cellIs" dxfId="1517" priority="352" operator="equal">
      <formula>"szf"</formula>
    </cfRule>
  </conditionalFormatting>
  <conditionalFormatting sqref="B172:B191">
    <cfRule type="cellIs" dxfId="1516" priority="349" operator="equal">
      <formula>"+"</formula>
    </cfRule>
    <cfRule type="cellIs" dxfId="1515" priority="350" operator="equal">
      <formula>"szf"</formula>
    </cfRule>
  </conditionalFormatting>
  <conditionalFormatting sqref="I172:I191">
    <cfRule type="cellIs" dxfId="1514" priority="347" operator="equal">
      <formula>"+"</formula>
    </cfRule>
    <cfRule type="cellIs" dxfId="1513" priority="348" operator="equal">
      <formula>"szf"</formula>
    </cfRule>
  </conditionalFormatting>
  <conditionalFormatting sqref="J172:J191">
    <cfRule type="cellIs" dxfId="1512" priority="345" operator="equal">
      <formula>"+"</formula>
    </cfRule>
    <cfRule type="cellIs" dxfId="1511" priority="346" operator="equal">
      <formula>"szf"</formula>
    </cfRule>
  </conditionalFormatting>
  <conditionalFormatting sqref="Q172:Q191">
    <cfRule type="cellIs" dxfId="1510" priority="343" operator="equal">
      <formula>"+"</formula>
    </cfRule>
    <cfRule type="cellIs" dxfId="1509" priority="344" operator="equal">
      <formula>"szf"</formula>
    </cfRule>
  </conditionalFormatting>
  <conditionalFormatting sqref="R172:R191">
    <cfRule type="cellIs" dxfId="1508" priority="341" operator="equal">
      <formula>"+"</formula>
    </cfRule>
    <cfRule type="cellIs" dxfId="1507" priority="342" operator="equal">
      <formula>"szf"</formula>
    </cfRule>
  </conditionalFormatting>
  <conditionalFormatting sqref="Y172:Y191">
    <cfRule type="cellIs" dxfId="1506" priority="339" operator="equal">
      <formula>"+"</formula>
    </cfRule>
    <cfRule type="cellIs" dxfId="1505" priority="340" operator="equal">
      <formula>"szf"</formula>
    </cfRule>
  </conditionalFormatting>
  <conditionalFormatting sqref="Z172:Z191">
    <cfRule type="cellIs" dxfId="1504" priority="337" operator="equal">
      <formula>"+"</formula>
    </cfRule>
    <cfRule type="cellIs" dxfId="1503" priority="338" operator="equal">
      <formula>"szf"</formula>
    </cfRule>
  </conditionalFormatting>
  <conditionalFormatting sqref="B196:B215">
    <cfRule type="cellIs" dxfId="1502" priority="335" operator="equal">
      <formula>"+"</formula>
    </cfRule>
    <cfRule type="cellIs" dxfId="1501" priority="336" operator="equal">
      <formula>"szf"</formula>
    </cfRule>
  </conditionalFormatting>
  <conditionalFormatting sqref="C196:C215">
    <cfRule type="cellIs" dxfId="1500" priority="333" operator="equal">
      <formula>"+"</formula>
    </cfRule>
    <cfRule type="cellIs" dxfId="1499" priority="334" operator="equal">
      <formula>"szf"</formula>
    </cfRule>
  </conditionalFormatting>
  <conditionalFormatting sqref="J196:J215">
    <cfRule type="cellIs" dxfId="1498" priority="331" operator="equal">
      <formula>"+"</formula>
    </cfRule>
    <cfRule type="cellIs" dxfId="1497" priority="332" operator="equal">
      <formula>"szf"</formula>
    </cfRule>
  </conditionalFormatting>
  <conditionalFormatting sqref="K196:K215">
    <cfRule type="cellIs" dxfId="1496" priority="329" operator="equal">
      <formula>"+"</formula>
    </cfRule>
    <cfRule type="cellIs" dxfId="1495" priority="330" operator="equal">
      <formula>"szf"</formula>
    </cfRule>
  </conditionalFormatting>
  <conditionalFormatting sqref="R196:R215">
    <cfRule type="cellIs" dxfId="1494" priority="327" operator="equal">
      <formula>"+"</formula>
    </cfRule>
    <cfRule type="cellIs" dxfId="1493" priority="328" operator="equal">
      <formula>"szf"</formula>
    </cfRule>
  </conditionalFormatting>
  <conditionalFormatting sqref="S196:S215">
    <cfRule type="cellIs" dxfId="1492" priority="325" operator="equal">
      <formula>"+"</formula>
    </cfRule>
    <cfRule type="cellIs" dxfId="1491" priority="326" operator="equal">
      <formula>"szf"</formula>
    </cfRule>
  </conditionalFormatting>
  <conditionalFormatting sqref="Z196:Z215">
    <cfRule type="cellIs" dxfId="1490" priority="323" operator="equal">
      <formula>"+"</formula>
    </cfRule>
    <cfRule type="cellIs" dxfId="1489" priority="324" operator="equal">
      <formula>"szf"</formula>
    </cfRule>
  </conditionalFormatting>
  <conditionalFormatting sqref="AA196:AA215">
    <cfRule type="cellIs" dxfId="1488" priority="321" operator="equal">
      <formula>"+"</formula>
    </cfRule>
    <cfRule type="cellIs" dxfId="1487" priority="322" operator="equal">
      <formula>"szf"</formula>
    </cfRule>
  </conditionalFormatting>
  <conditionalFormatting sqref="D220:D239">
    <cfRule type="cellIs" dxfId="1486" priority="319" operator="equal">
      <formula>"+"</formula>
    </cfRule>
    <cfRule type="cellIs" dxfId="1485" priority="320" operator="equal">
      <formula>"szf"</formula>
    </cfRule>
  </conditionalFormatting>
  <conditionalFormatting sqref="E220:E239">
    <cfRule type="cellIs" dxfId="1484" priority="317" operator="equal">
      <formula>"+"</formula>
    </cfRule>
    <cfRule type="cellIs" dxfId="1483" priority="318" operator="equal">
      <formula>"szf"</formula>
    </cfRule>
  </conditionalFormatting>
  <conditionalFormatting sqref="L220:L239">
    <cfRule type="cellIs" dxfId="1482" priority="315" operator="equal">
      <formula>"+"</formula>
    </cfRule>
    <cfRule type="cellIs" dxfId="1481" priority="316" operator="equal">
      <formula>"szf"</formula>
    </cfRule>
  </conditionalFormatting>
  <conditionalFormatting sqref="M220:M239">
    <cfRule type="cellIs" dxfId="1480" priority="313" operator="equal">
      <formula>"+"</formula>
    </cfRule>
    <cfRule type="cellIs" dxfId="1479" priority="314" operator="equal">
      <formula>"szf"</formula>
    </cfRule>
  </conditionalFormatting>
  <conditionalFormatting sqref="T220:T239">
    <cfRule type="cellIs" dxfId="1478" priority="311" operator="equal">
      <formula>"+"</formula>
    </cfRule>
    <cfRule type="cellIs" dxfId="1477" priority="312" operator="equal">
      <formula>"szf"</formula>
    </cfRule>
  </conditionalFormatting>
  <conditionalFormatting sqref="U220:U239">
    <cfRule type="cellIs" dxfId="1476" priority="309" operator="equal">
      <formula>"+"</formula>
    </cfRule>
    <cfRule type="cellIs" dxfId="1475" priority="310" operator="equal">
      <formula>"szf"</formula>
    </cfRule>
  </conditionalFormatting>
  <conditionalFormatting sqref="AB220:AB239">
    <cfRule type="cellIs" dxfId="1474" priority="307" operator="equal">
      <formula>"+"</formula>
    </cfRule>
    <cfRule type="cellIs" dxfId="1473" priority="308" operator="equal">
      <formula>"szf"</formula>
    </cfRule>
  </conditionalFormatting>
  <conditionalFormatting sqref="AC220:AC239">
    <cfRule type="cellIs" dxfId="1472" priority="305" operator="equal">
      <formula>"+"</formula>
    </cfRule>
    <cfRule type="cellIs" dxfId="1471" priority="306" operator="equal">
      <formula>"szf"</formula>
    </cfRule>
  </conditionalFormatting>
  <conditionalFormatting sqref="E244:E263">
    <cfRule type="cellIs" dxfId="1470" priority="303" operator="equal">
      <formula>"+"</formula>
    </cfRule>
    <cfRule type="cellIs" dxfId="1469" priority="304" operator="equal">
      <formula>"szf"</formula>
    </cfRule>
  </conditionalFormatting>
  <conditionalFormatting sqref="F244:F263">
    <cfRule type="cellIs" dxfId="1468" priority="301" operator="equal">
      <formula>"+"</formula>
    </cfRule>
    <cfRule type="cellIs" dxfId="1467" priority="302" operator="equal">
      <formula>"szf"</formula>
    </cfRule>
  </conditionalFormatting>
  <conditionalFormatting sqref="M244:M263">
    <cfRule type="cellIs" dxfId="1466" priority="299" operator="equal">
      <formula>"+"</formula>
    </cfRule>
    <cfRule type="cellIs" dxfId="1465" priority="300" operator="equal">
      <formula>"szf"</formula>
    </cfRule>
  </conditionalFormatting>
  <conditionalFormatting sqref="N244:N263">
    <cfRule type="cellIs" dxfId="1464" priority="297" operator="equal">
      <formula>"+"</formula>
    </cfRule>
    <cfRule type="cellIs" dxfId="1463" priority="298" operator="equal">
      <formula>"szf"</formula>
    </cfRule>
  </conditionalFormatting>
  <conditionalFormatting sqref="U244:U263">
    <cfRule type="cellIs" dxfId="1462" priority="295" operator="equal">
      <formula>"+"</formula>
    </cfRule>
    <cfRule type="cellIs" dxfId="1461" priority="296" operator="equal">
      <formula>"szf"</formula>
    </cfRule>
  </conditionalFormatting>
  <conditionalFormatting sqref="V244:V263">
    <cfRule type="cellIs" dxfId="1460" priority="293" operator="equal">
      <formula>"+"</formula>
    </cfRule>
    <cfRule type="cellIs" dxfId="1459" priority="294" operator="equal">
      <formula>"szf"</formula>
    </cfRule>
  </conditionalFormatting>
  <conditionalFormatting sqref="AC244:AC263">
    <cfRule type="cellIs" dxfId="1458" priority="291" operator="equal">
      <formula>"+"</formula>
    </cfRule>
    <cfRule type="cellIs" dxfId="1457" priority="292" operator="equal">
      <formula>"szf"</formula>
    </cfRule>
  </conditionalFormatting>
  <conditionalFormatting sqref="AD244:AD263">
    <cfRule type="cellIs" dxfId="1456" priority="289" operator="equal">
      <formula>"+"</formula>
    </cfRule>
    <cfRule type="cellIs" dxfId="1455" priority="290" operator="equal">
      <formula>"szf"</formula>
    </cfRule>
  </conditionalFormatting>
  <conditionalFormatting sqref="G268:G287">
    <cfRule type="cellIs" dxfId="1454" priority="287" operator="equal">
      <formula>"+"</formula>
    </cfRule>
    <cfRule type="cellIs" dxfId="1453" priority="288" operator="equal">
      <formula>"szf"</formula>
    </cfRule>
  </conditionalFormatting>
  <conditionalFormatting sqref="H268:H287">
    <cfRule type="cellIs" dxfId="1452" priority="285" operator="equal">
      <formula>"+"</formula>
    </cfRule>
    <cfRule type="cellIs" dxfId="1451" priority="286" operator="equal">
      <formula>"szf"</formula>
    </cfRule>
  </conditionalFormatting>
  <conditionalFormatting sqref="O268:O287">
    <cfRule type="cellIs" dxfId="1450" priority="283" operator="equal">
      <formula>"+"</formula>
    </cfRule>
    <cfRule type="cellIs" dxfId="1449" priority="284" operator="equal">
      <formula>"szf"</formula>
    </cfRule>
  </conditionalFormatting>
  <conditionalFormatting sqref="P268:P287">
    <cfRule type="cellIs" dxfId="1448" priority="281" operator="equal">
      <formula>"+"</formula>
    </cfRule>
    <cfRule type="cellIs" dxfId="1447" priority="282" operator="equal">
      <formula>"szf"</formula>
    </cfRule>
  </conditionalFormatting>
  <conditionalFormatting sqref="W268:W287">
    <cfRule type="cellIs" dxfId="1446" priority="279" operator="equal">
      <formula>"+"</formula>
    </cfRule>
    <cfRule type="cellIs" dxfId="1445" priority="280" operator="equal">
      <formula>"szf"</formula>
    </cfRule>
  </conditionalFormatting>
  <conditionalFormatting sqref="X268:X287">
    <cfRule type="cellIs" dxfId="1444" priority="277" operator="equal">
      <formula>"+"</formula>
    </cfRule>
    <cfRule type="cellIs" dxfId="1443" priority="278" operator="equal">
      <formula>"szf"</formula>
    </cfRule>
  </conditionalFormatting>
  <conditionalFormatting sqref="AE268:AF287">
    <cfRule type="cellIs" dxfId="1442" priority="275" operator="equal">
      <formula>"+"</formula>
    </cfRule>
    <cfRule type="cellIs" dxfId="1441" priority="276" operator="equal">
      <formula>"szf"</formula>
    </cfRule>
  </conditionalFormatting>
  <conditionalFormatting sqref="K76:K95">
    <cfRule type="cellIs" dxfId="1440" priority="273" operator="equal">
      <formula>"szf"</formula>
    </cfRule>
    <cfRule type="cellIs" dxfId="1439" priority="274" operator="equal">
      <formula>"+"</formula>
    </cfRule>
  </conditionalFormatting>
  <conditionalFormatting sqref="H4:I4">
    <cfRule type="cellIs" dxfId="1438" priority="269" operator="equal">
      <formula>"szf"</formula>
    </cfRule>
  </conditionalFormatting>
  <conditionalFormatting sqref="H4:I23">
    <cfRule type="cellIs" dxfId="1437" priority="267" operator="equal">
      <formula>"+"</formula>
    </cfRule>
    <cfRule type="cellIs" dxfId="1436" priority="268" operator="equal">
      <formula>"szf"</formula>
    </cfRule>
  </conditionalFormatting>
  <conditionalFormatting sqref="P4">
    <cfRule type="cellIs" dxfId="1435" priority="266" operator="equal">
      <formula>"szf"</formula>
    </cfRule>
  </conditionalFormatting>
  <conditionalFormatting sqref="P4:P23">
    <cfRule type="cellIs" dxfId="1434" priority="264" operator="equal">
      <formula>"+"</formula>
    </cfRule>
    <cfRule type="cellIs" dxfId="1433" priority="265" operator="equal">
      <formula>"szf"</formula>
    </cfRule>
  </conditionalFormatting>
  <conditionalFormatting sqref="Q4">
    <cfRule type="cellIs" dxfId="1432" priority="263" operator="equal">
      <formula>"szf"</formula>
    </cfRule>
  </conditionalFormatting>
  <conditionalFormatting sqref="Q4:Q23">
    <cfRule type="cellIs" dxfId="1431" priority="261" operator="equal">
      <formula>"+"</formula>
    </cfRule>
    <cfRule type="cellIs" dxfId="1430" priority="262" operator="equal">
      <formula>"szf"</formula>
    </cfRule>
  </conditionalFormatting>
  <conditionalFormatting sqref="X4">
    <cfRule type="cellIs" dxfId="1429" priority="260" operator="equal">
      <formula>"szf"</formula>
    </cfRule>
  </conditionalFormatting>
  <conditionalFormatting sqref="X4:X23">
    <cfRule type="cellIs" dxfId="1428" priority="258" operator="equal">
      <formula>"+"</formula>
    </cfRule>
    <cfRule type="cellIs" dxfId="1427" priority="259" operator="equal">
      <formula>"szf"</formula>
    </cfRule>
  </conditionalFormatting>
  <conditionalFormatting sqref="Y4">
    <cfRule type="cellIs" dxfId="1426" priority="257" operator="equal">
      <formula>"szf"</formula>
    </cfRule>
  </conditionalFormatting>
  <conditionalFormatting sqref="Y4:Y23">
    <cfRule type="cellIs" dxfId="1425" priority="255" operator="equal">
      <formula>"+"</formula>
    </cfRule>
    <cfRule type="cellIs" dxfId="1424" priority="256" operator="equal">
      <formula>"szf"</formula>
    </cfRule>
  </conditionalFormatting>
  <conditionalFormatting sqref="AF4">
    <cfRule type="cellIs" dxfId="1423" priority="254" operator="equal">
      <formula>"szf"</formula>
    </cfRule>
  </conditionalFormatting>
  <conditionalFormatting sqref="AF4:AF23">
    <cfRule type="cellIs" dxfId="1422" priority="252" operator="equal">
      <formula>"+"</formula>
    </cfRule>
    <cfRule type="cellIs" dxfId="1421" priority="253" operator="equal">
      <formula>"szf"</formula>
    </cfRule>
  </conditionalFormatting>
  <conditionalFormatting sqref="B28">
    <cfRule type="cellIs" dxfId="1420" priority="251" operator="equal">
      <formula>"szf"</formula>
    </cfRule>
  </conditionalFormatting>
  <conditionalFormatting sqref="B28:B47">
    <cfRule type="cellIs" dxfId="1419" priority="249" operator="equal">
      <formula>"+"</formula>
    </cfRule>
    <cfRule type="cellIs" dxfId="1418" priority="250" operator="equal">
      <formula>"szf"</formula>
    </cfRule>
  </conditionalFormatting>
  <conditionalFormatting sqref="I28">
    <cfRule type="cellIs" dxfId="1417" priority="248" operator="equal">
      <formula>"szf"</formula>
    </cfRule>
  </conditionalFormatting>
  <conditionalFormatting sqref="I28:I47">
    <cfRule type="cellIs" dxfId="1416" priority="246" operator="equal">
      <formula>"+"</formula>
    </cfRule>
    <cfRule type="cellIs" dxfId="1415" priority="247" operator="equal">
      <formula>"szf"</formula>
    </cfRule>
  </conditionalFormatting>
  <conditionalFormatting sqref="J28">
    <cfRule type="cellIs" dxfId="1414" priority="245" operator="equal">
      <formula>"szf"</formula>
    </cfRule>
  </conditionalFormatting>
  <conditionalFormatting sqref="J28:J47">
    <cfRule type="cellIs" dxfId="1413" priority="243" operator="equal">
      <formula>"+"</formula>
    </cfRule>
    <cfRule type="cellIs" dxfId="1412" priority="244" operator="equal">
      <formula>"szf"</formula>
    </cfRule>
  </conditionalFormatting>
  <conditionalFormatting sqref="Q28">
    <cfRule type="cellIs" dxfId="1411" priority="242" operator="equal">
      <formula>"szf"</formula>
    </cfRule>
  </conditionalFormatting>
  <conditionalFormatting sqref="Q28:Q47">
    <cfRule type="cellIs" dxfId="1410" priority="240" operator="equal">
      <formula>"+"</formula>
    </cfRule>
    <cfRule type="cellIs" dxfId="1409" priority="241" operator="equal">
      <formula>"szf"</formula>
    </cfRule>
  </conditionalFormatting>
  <conditionalFormatting sqref="R28">
    <cfRule type="cellIs" dxfId="1408" priority="239" operator="equal">
      <formula>"szf"</formula>
    </cfRule>
  </conditionalFormatting>
  <conditionalFormatting sqref="R28:R47">
    <cfRule type="cellIs" dxfId="1407" priority="237" operator="equal">
      <formula>"+"</formula>
    </cfRule>
    <cfRule type="cellIs" dxfId="1406" priority="238" operator="equal">
      <formula>"szf"</formula>
    </cfRule>
  </conditionalFormatting>
  <conditionalFormatting sqref="Z28">
    <cfRule type="cellIs" dxfId="1405" priority="236" operator="equal">
      <formula>"szf"</formula>
    </cfRule>
  </conditionalFormatting>
  <conditionalFormatting sqref="Z28:Z47">
    <cfRule type="cellIs" dxfId="1404" priority="234" operator="equal">
      <formula>"+"</formula>
    </cfRule>
    <cfRule type="cellIs" dxfId="1403" priority="235" operator="equal">
      <formula>"szf"</formula>
    </cfRule>
  </conditionalFormatting>
  <conditionalFormatting sqref="Y28">
    <cfRule type="cellIs" dxfId="1402" priority="233" operator="equal">
      <formula>"szf"</formula>
    </cfRule>
  </conditionalFormatting>
  <conditionalFormatting sqref="Y28:Y47">
    <cfRule type="cellIs" dxfId="1401" priority="231" operator="equal">
      <formula>"+"</formula>
    </cfRule>
    <cfRule type="cellIs" dxfId="1400" priority="232" operator="equal">
      <formula>"szf"</formula>
    </cfRule>
  </conditionalFormatting>
  <conditionalFormatting sqref="D52">
    <cfRule type="cellIs" dxfId="1399" priority="230" operator="equal">
      <formula>"szf"</formula>
    </cfRule>
  </conditionalFormatting>
  <conditionalFormatting sqref="D52:D71">
    <cfRule type="cellIs" dxfId="1398" priority="228" operator="equal">
      <formula>"+"</formula>
    </cfRule>
    <cfRule type="cellIs" dxfId="1397" priority="229" operator="equal">
      <formula>"szf"</formula>
    </cfRule>
  </conditionalFormatting>
  <conditionalFormatting sqref="E52">
    <cfRule type="cellIs" dxfId="1396" priority="227" operator="equal">
      <formula>"szf"</formula>
    </cfRule>
  </conditionalFormatting>
  <conditionalFormatting sqref="E52:E71">
    <cfRule type="cellIs" dxfId="1395" priority="225" operator="equal">
      <formula>"+"</formula>
    </cfRule>
    <cfRule type="cellIs" dxfId="1394" priority="226" operator="equal">
      <formula>"szf"</formula>
    </cfRule>
  </conditionalFormatting>
  <conditionalFormatting sqref="L52">
    <cfRule type="cellIs" dxfId="1393" priority="224" operator="equal">
      <formula>"szf"</formula>
    </cfRule>
  </conditionalFormatting>
  <conditionalFormatting sqref="L52:L71">
    <cfRule type="cellIs" dxfId="1392" priority="222" operator="equal">
      <formula>"+"</formula>
    </cfRule>
    <cfRule type="cellIs" dxfId="1391" priority="223" operator="equal">
      <formula>"szf"</formula>
    </cfRule>
  </conditionalFormatting>
  <conditionalFormatting sqref="M52">
    <cfRule type="cellIs" dxfId="1390" priority="221" operator="equal">
      <formula>"szf"</formula>
    </cfRule>
  </conditionalFormatting>
  <conditionalFormatting sqref="M52:M71">
    <cfRule type="cellIs" dxfId="1389" priority="219" operator="equal">
      <formula>"+"</formula>
    </cfRule>
    <cfRule type="cellIs" dxfId="1388" priority="220" operator="equal">
      <formula>"szf"</formula>
    </cfRule>
  </conditionalFormatting>
  <conditionalFormatting sqref="T52">
    <cfRule type="cellIs" dxfId="1387" priority="218" operator="equal">
      <formula>"szf"</formula>
    </cfRule>
  </conditionalFormatting>
  <conditionalFormatting sqref="T52:T71">
    <cfRule type="cellIs" dxfId="1386" priority="216" operator="equal">
      <formula>"+"</formula>
    </cfRule>
    <cfRule type="cellIs" dxfId="1385" priority="217" operator="equal">
      <formula>"szf"</formula>
    </cfRule>
  </conditionalFormatting>
  <conditionalFormatting sqref="U52">
    <cfRule type="cellIs" dxfId="1384" priority="215" operator="equal">
      <formula>"szf"</formula>
    </cfRule>
  </conditionalFormatting>
  <conditionalFormatting sqref="U52:U71">
    <cfRule type="cellIs" dxfId="1383" priority="213" operator="equal">
      <formula>"+"</formula>
    </cfRule>
    <cfRule type="cellIs" dxfId="1382" priority="214" operator="equal">
      <formula>"szf"</formula>
    </cfRule>
  </conditionalFormatting>
  <conditionalFormatting sqref="AB52">
    <cfRule type="cellIs" dxfId="1381" priority="212" operator="equal">
      <formula>"szf"</formula>
    </cfRule>
  </conditionalFormatting>
  <conditionalFormatting sqref="AB52:AB71">
    <cfRule type="cellIs" dxfId="1380" priority="210" operator="equal">
      <formula>"+"</formula>
    </cfRule>
    <cfRule type="cellIs" dxfId="1379" priority="211" operator="equal">
      <formula>"szf"</formula>
    </cfRule>
  </conditionalFormatting>
  <conditionalFormatting sqref="AC52">
    <cfRule type="cellIs" dxfId="1378" priority="209" operator="equal">
      <formula>"szf"</formula>
    </cfRule>
  </conditionalFormatting>
  <conditionalFormatting sqref="AC52:AC71">
    <cfRule type="cellIs" dxfId="1377" priority="207" operator="equal">
      <formula>"+"</formula>
    </cfRule>
    <cfRule type="cellIs" dxfId="1376" priority="208" operator="equal">
      <formula>"szf"</formula>
    </cfRule>
  </conditionalFormatting>
  <conditionalFormatting sqref="E76">
    <cfRule type="cellIs" dxfId="1375" priority="206" operator="equal">
      <formula>"szf"</formula>
    </cfRule>
  </conditionalFormatting>
  <conditionalFormatting sqref="E76:E95">
    <cfRule type="cellIs" dxfId="1374" priority="204" operator="equal">
      <formula>"+"</formula>
    </cfRule>
    <cfRule type="cellIs" dxfId="1373" priority="205" operator="equal">
      <formula>"szf"</formula>
    </cfRule>
  </conditionalFormatting>
  <conditionalFormatting sqref="F76">
    <cfRule type="cellIs" dxfId="1372" priority="203" operator="equal">
      <formula>"szf"</formula>
    </cfRule>
  </conditionalFormatting>
  <conditionalFormatting sqref="F76:F95">
    <cfRule type="cellIs" dxfId="1371" priority="201" operator="equal">
      <formula>"+"</formula>
    </cfRule>
    <cfRule type="cellIs" dxfId="1370" priority="202" operator="equal">
      <formula>"szf"</formula>
    </cfRule>
  </conditionalFormatting>
  <conditionalFormatting sqref="M76">
    <cfRule type="cellIs" dxfId="1369" priority="200" operator="equal">
      <formula>"szf"</formula>
    </cfRule>
  </conditionalFormatting>
  <conditionalFormatting sqref="M76:M95">
    <cfRule type="cellIs" dxfId="1368" priority="198" operator="equal">
      <formula>"+"</formula>
    </cfRule>
    <cfRule type="cellIs" dxfId="1367" priority="199" operator="equal">
      <formula>"szf"</formula>
    </cfRule>
  </conditionalFormatting>
  <conditionalFormatting sqref="N76">
    <cfRule type="cellIs" dxfId="1366" priority="197" operator="equal">
      <formula>"szf"</formula>
    </cfRule>
  </conditionalFormatting>
  <conditionalFormatting sqref="N76:N95">
    <cfRule type="cellIs" dxfId="1365" priority="195" operator="equal">
      <formula>"+"</formula>
    </cfRule>
    <cfRule type="cellIs" dxfId="1364" priority="196" operator="equal">
      <formula>"szf"</formula>
    </cfRule>
  </conditionalFormatting>
  <conditionalFormatting sqref="U76">
    <cfRule type="cellIs" dxfId="1363" priority="194" operator="equal">
      <formula>"szf"</formula>
    </cfRule>
  </conditionalFormatting>
  <conditionalFormatting sqref="U76:U95">
    <cfRule type="cellIs" dxfId="1362" priority="192" operator="equal">
      <formula>"+"</formula>
    </cfRule>
    <cfRule type="cellIs" dxfId="1361" priority="193" operator="equal">
      <formula>"szf"</formula>
    </cfRule>
  </conditionalFormatting>
  <conditionalFormatting sqref="V76">
    <cfRule type="cellIs" dxfId="1360" priority="191" operator="equal">
      <formula>"szf"</formula>
    </cfRule>
  </conditionalFormatting>
  <conditionalFormatting sqref="V76:V95">
    <cfRule type="cellIs" dxfId="1359" priority="189" operator="equal">
      <formula>"+"</formula>
    </cfRule>
    <cfRule type="cellIs" dxfId="1358" priority="190" operator="equal">
      <formula>"szf"</formula>
    </cfRule>
  </conditionalFormatting>
  <conditionalFormatting sqref="AC76">
    <cfRule type="cellIs" dxfId="1357" priority="188" operator="equal">
      <formula>"szf"</formula>
    </cfRule>
  </conditionalFormatting>
  <conditionalFormatting sqref="AC76:AC95">
    <cfRule type="cellIs" dxfId="1356" priority="186" operator="equal">
      <formula>"+"</formula>
    </cfRule>
    <cfRule type="cellIs" dxfId="1355" priority="187" operator="equal">
      <formula>"szf"</formula>
    </cfRule>
  </conditionalFormatting>
  <conditionalFormatting sqref="AD76">
    <cfRule type="cellIs" dxfId="1354" priority="185" operator="equal">
      <formula>"szf"</formula>
    </cfRule>
  </conditionalFormatting>
  <conditionalFormatting sqref="AD76:AD95">
    <cfRule type="cellIs" dxfId="1353" priority="183" operator="equal">
      <formula>"+"</formula>
    </cfRule>
    <cfRule type="cellIs" dxfId="1352" priority="184" operator="equal">
      <formula>"szf"</formula>
    </cfRule>
  </conditionalFormatting>
  <conditionalFormatting sqref="G100">
    <cfRule type="cellIs" dxfId="1351" priority="182" operator="equal">
      <formula>"szf"</formula>
    </cfRule>
  </conditionalFormatting>
  <conditionalFormatting sqref="G100:G119">
    <cfRule type="cellIs" dxfId="1350" priority="180" operator="equal">
      <formula>"+"</formula>
    </cfRule>
    <cfRule type="cellIs" dxfId="1349" priority="181" operator="equal">
      <formula>"szf"</formula>
    </cfRule>
  </conditionalFormatting>
  <conditionalFormatting sqref="H100">
    <cfRule type="cellIs" dxfId="1348" priority="179" operator="equal">
      <formula>"szf"</formula>
    </cfRule>
  </conditionalFormatting>
  <conditionalFormatting sqref="H100:H119">
    <cfRule type="cellIs" dxfId="1347" priority="177" operator="equal">
      <formula>"+"</formula>
    </cfRule>
    <cfRule type="cellIs" dxfId="1346" priority="178" operator="equal">
      <formula>"szf"</formula>
    </cfRule>
  </conditionalFormatting>
  <conditionalFormatting sqref="O100">
    <cfRule type="cellIs" dxfId="1345" priority="176" operator="equal">
      <formula>"szf"</formula>
    </cfRule>
  </conditionalFormatting>
  <conditionalFormatting sqref="O100:O119">
    <cfRule type="cellIs" dxfId="1344" priority="174" operator="equal">
      <formula>"+"</formula>
    </cfRule>
    <cfRule type="cellIs" dxfId="1343" priority="175" operator="equal">
      <formula>"szf"</formula>
    </cfRule>
  </conditionalFormatting>
  <conditionalFormatting sqref="P100">
    <cfRule type="cellIs" dxfId="1342" priority="173" operator="equal">
      <formula>"szf"</formula>
    </cfRule>
  </conditionalFormatting>
  <conditionalFormatting sqref="P100:P119">
    <cfRule type="cellIs" dxfId="1341" priority="171" operator="equal">
      <formula>"+"</formula>
    </cfRule>
    <cfRule type="cellIs" dxfId="1340" priority="172" operator="equal">
      <formula>"szf"</formula>
    </cfRule>
  </conditionalFormatting>
  <conditionalFormatting sqref="W100">
    <cfRule type="cellIs" dxfId="1339" priority="170" operator="equal">
      <formula>"szf"</formula>
    </cfRule>
  </conditionalFormatting>
  <conditionalFormatting sqref="W100:W119">
    <cfRule type="cellIs" dxfId="1338" priority="168" operator="equal">
      <formula>"+"</formula>
    </cfRule>
    <cfRule type="cellIs" dxfId="1337" priority="169" operator="equal">
      <formula>"szf"</formula>
    </cfRule>
  </conditionalFormatting>
  <conditionalFormatting sqref="X100">
    <cfRule type="cellIs" dxfId="1336" priority="167" operator="equal">
      <formula>"szf"</formula>
    </cfRule>
  </conditionalFormatting>
  <conditionalFormatting sqref="X100:X119">
    <cfRule type="cellIs" dxfId="1335" priority="165" operator="equal">
      <formula>"+"</formula>
    </cfRule>
    <cfRule type="cellIs" dxfId="1334" priority="166" operator="equal">
      <formula>"szf"</formula>
    </cfRule>
  </conditionalFormatting>
  <conditionalFormatting sqref="AE100">
    <cfRule type="cellIs" dxfId="1333" priority="164" operator="equal">
      <formula>"szf"</formula>
    </cfRule>
  </conditionalFormatting>
  <conditionalFormatting sqref="AE100:AE119">
    <cfRule type="cellIs" dxfId="1332" priority="162" operator="equal">
      <formula>"+"</formula>
    </cfRule>
    <cfRule type="cellIs" dxfId="1331" priority="163" operator="equal">
      <formula>"szf"</formula>
    </cfRule>
  </conditionalFormatting>
  <conditionalFormatting sqref="AF100">
    <cfRule type="cellIs" dxfId="1330" priority="161" operator="equal">
      <formula>"szf"</formula>
    </cfRule>
  </conditionalFormatting>
  <conditionalFormatting sqref="AF100:AF119">
    <cfRule type="cellIs" dxfId="1329" priority="159" operator="equal">
      <formula>"+"</formula>
    </cfRule>
    <cfRule type="cellIs" dxfId="1328" priority="160" operator="equal">
      <formula>"szf"</formula>
    </cfRule>
  </conditionalFormatting>
  <conditionalFormatting sqref="H124">
    <cfRule type="cellIs" dxfId="1327" priority="158" operator="equal">
      <formula>"szf"</formula>
    </cfRule>
  </conditionalFormatting>
  <conditionalFormatting sqref="H124:H143">
    <cfRule type="cellIs" dxfId="1326" priority="156" operator="equal">
      <formula>"+"</formula>
    </cfRule>
    <cfRule type="cellIs" dxfId="1325" priority="157" operator="equal">
      <formula>"szf"</formula>
    </cfRule>
  </conditionalFormatting>
  <conditionalFormatting sqref="I124">
    <cfRule type="cellIs" dxfId="1324" priority="155" operator="equal">
      <formula>"szf"</formula>
    </cfRule>
  </conditionalFormatting>
  <conditionalFormatting sqref="I124:I143">
    <cfRule type="cellIs" dxfId="1323" priority="153" operator="equal">
      <formula>"+"</formula>
    </cfRule>
    <cfRule type="cellIs" dxfId="1322" priority="154" operator="equal">
      <formula>"szf"</formula>
    </cfRule>
  </conditionalFormatting>
  <conditionalFormatting sqref="P124">
    <cfRule type="cellIs" dxfId="1321" priority="152" operator="equal">
      <formula>"szf"</formula>
    </cfRule>
  </conditionalFormatting>
  <conditionalFormatting sqref="P124:P143">
    <cfRule type="cellIs" dxfId="1320" priority="150" operator="equal">
      <formula>"+"</formula>
    </cfRule>
    <cfRule type="cellIs" dxfId="1319" priority="151" operator="equal">
      <formula>"szf"</formula>
    </cfRule>
  </conditionalFormatting>
  <conditionalFormatting sqref="Q124">
    <cfRule type="cellIs" dxfId="1318" priority="149" operator="equal">
      <formula>"szf"</formula>
    </cfRule>
  </conditionalFormatting>
  <conditionalFormatting sqref="Q124:Q143">
    <cfRule type="cellIs" dxfId="1317" priority="147" operator="equal">
      <formula>"+"</formula>
    </cfRule>
    <cfRule type="cellIs" dxfId="1316" priority="148" operator="equal">
      <formula>"szf"</formula>
    </cfRule>
  </conditionalFormatting>
  <conditionalFormatting sqref="X124">
    <cfRule type="cellIs" dxfId="1315" priority="146" operator="equal">
      <formula>"szf"</formula>
    </cfRule>
  </conditionalFormatting>
  <conditionalFormatting sqref="X124:X143">
    <cfRule type="cellIs" dxfId="1314" priority="144" operator="equal">
      <formula>"+"</formula>
    </cfRule>
    <cfRule type="cellIs" dxfId="1313" priority="145" operator="equal">
      <formula>"szf"</formula>
    </cfRule>
  </conditionalFormatting>
  <conditionalFormatting sqref="Y124">
    <cfRule type="cellIs" dxfId="1312" priority="143" operator="equal">
      <formula>"szf"</formula>
    </cfRule>
  </conditionalFormatting>
  <conditionalFormatting sqref="Y124:Y143">
    <cfRule type="cellIs" dxfId="1311" priority="141" operator="equal">
      <formula>"+"</formula>
    </cfRule>
    <cfRule type="cellIs" dxfId="1310" priority="142" operator="equal">
      <formula>"szf"</formula>
    </cfRule>
  </conditionalFormatting>
  <conditionalFormatting sqref="B148">
    <cfRule type="cellIs" dxfId="1309" priority="140" operator="equal">
      <formula>"szf"</formula>
    </cfRule>
  </conditionalFormatting>
  <conditionalFormatting sqref="B148:B167">
    <cfRule type="cellIs" dxfId="1308" priority="138" operator="equal">
      <formula>"+"</formula>
    </cfRule>
    <cfRule type="cellIs" dxfId="1307" priority="139" operator="equal">
      <formula>"szf"</formula>
    </cfRule>
  </conditionalFormatting>
  <conditionalFormatting sqref="C148">
    <cfRule type="cellIs" dxfId="1306" priority="137" operator="equal">
      <formula>"szf"</formula>
    </cfRule>
  </conditionalFormatting>
  <conditionalFormatting sqref="C148:C167">
    <cfRule type="cellIs" dxfId="1305" priority="135" operator="equal">
      <formula>"+"</formula>
    </cfRule>
    <cfRule type="cellIs" dxfId="1304" priority="136" operator="equal">
      <formula>"szf"</formula>
    </cfRule>
  </conditionalFormatting>
  <conditionalFormatting sqref="J148">
    <cfRule type="cellIs" dxfId="1303" priority="134" operator="equal">
      <formula>"szf"</formula>
    </cfRule>
  </conditionalFormatting>
  <conditionalFormatting sqref="J148:J167">
    <cfRule type="cellIs" dxfId="1302" priority="132" operator="equal">
      <formula>"+"</formula>
    </cfRule>
    <cfRule type="cellIs" dxfId="1301" priority="133" operator="equal">
      <formula>"szf"</formula>
    </cfRule>
  </conditionalFormatting>
  <conditionalFormatting sqref="K148">
    <cfRule type="cellIs" dxfId="1300" priority="131" operator="equal">
      <formula>"szf"</formula>
    </cfRule>
  </conditionalFormatting>
  <conditionalFormatting sqref="K148:K167">
    <cfRule type="cellIs" dxfId="1299" priority="129" operator="equal">
      <formula>"+"</formula>
    </cfRule>
    <cfRule type="cellIs" dxfId="1298" priority="130" operator="equal">
      <formula>"szf"</formula>
    </cfRule>
  </conditionalFormatting>
  <conditionalFormatting sqref="S148">
    <cfRule type="cellIs" dxfId="1297" priority="128" operator="equal">
      <formula>"szf"</formula>
    </cfRule>
  </conditionalFormatting>
  <conditionalFormatting sqref="S148:S167">
    <cfRule type="cellIs" dxfId="1296" priority="126" operator="equal">
      <formula>"+"</formula>
    </cfRule>
    <cfRule type="cellIs" dxfId="1295" priority="127" operator="equal">
      <formula>"szf"</formula>
    </cfRule>
  </conditionalFormatting>
  <conditionalFormatting sqref="R148">
    <cfRule type="cellIs" dxfId="1294" priority="125" operator="equal">
      <formula>"szf"</formula>
    </cfRule>
  </conditionalFormatting>
  <conditionalFormatting sqref="R148:R167">
    <cfRule type="cellIs" dxfId="1293" priority="123" operator="equal">
      <formula>"+"</formula>
    </cfRule>
    <cfRule type="cellIs" dxfId="1292" priority="124" operator="equal">
      <formula>"szf"</formula>
    </cfRule>
  </conditionalFormatting>
  <conditionalFormatting sqref="Z148">
    <cfRule type="cellIs" dxfId="1291" priority="122" operator="equal">
      <formula>"szf"</formula>
    </cfRule>
  </conditionalFormatting>
  <conditionalFormatting sqref="Z148:Z167">
    <cfRule type="cellIs" dxfId="1290" priority="120" operator="equal">
      <formula>"+"</formula>
    </cfRule>
    <cfRule type="cellIs" dxfId="1289" priority="121" operator="equal">
      <formula>"szf"</formula>
    </cfRule>
  </conditionalFormatting>
  <conditionalFormatting sqref="AA148">
    <cfRule type="cellIs" dxfId="1288" priority="119" operator="equal">
      <formula>"szf"</formula>
    </cfRule>
  </conditionalFormatting>
  <conditionalFormatting sqref="AA148:AA167">
    <cfRule type="cellIs" dxfId="1287" priority="117" operator="equal">
      <formula>"+"</formula>
    </cfRule>
    <cfRule type="cellIs" dxfId="1286" priority="118" operator="equal">
      <formula>"szf"</formula>
    </cfRule>
  </conditionalFormatting>
  <conditionalFormatting sqref="C172">
    <cfRule type="cellIs" dxfId="1285" priority="116" operator="equal">
      <formula>"szf"</formula>
    </cfRule>
  </conditionalFormatting>
  <conditionalFormatting sqref="C172:C191">
    <cfRule type="cellIs" dxfId="1284" priority="114" operator="equal">
      <formula>"+"</formula>
    </cfRule>
    <cfRule type="cellIs" dxfId="1283" priority="115" operator="equal">
      <formula>"szf"</formula>
    </cfRule>
  </conditionalFormatting>
  <conditionalFormatting sqref="D172">
    <cfRule type="cellIs" dxfId="1282" priority="113" operator="equal">
      <formula>"szf"</formula>
    </cfRule>
  </conditionalFormatting>
  <conditionalFormatting sqref="D172:D191">
    <cfRule type="cellIs" dxfId="1281" priority="111" operator="equal">
      <formula>"+"</formula>
    </cfRule>
    <cfRule type="cellIs" dxfId="1280" priority="112" operator="equal">
      <formula>"szf"</formula>
    </cfRule>
  </conditionalFormatting>
  <conditionalFormatting sqref="K172">
    <cfRule type="cellIs" dxfId="1279" priority="110" operator="equal">
      <formula>"szf"</formula>
    </cfRule>
  </conditionalFormatting>
  <conditionalFormatting sqref="K172:K191">
    <cfRule type="cellIs" dxfId="1278" priority="108" operator="equal">
      <formula>"+"</formula>
    </cfRule>
    <cfRule type="cellIs" dxfId="1277" priority="109" operator="equal">
      <formula>"szf"</formula>
    </cfRule>
  </conditionalFormatting>
  <conditionalFormatting sqref="L172">
    <cfRule type="cellIs" dxfId="1276" priority="107" operator="equal">
      <formula>"szf"</formula>
    </cfRule>
  </conditionalFormatting>
  <conditionalFormatting sqref="L172:L191">
    <cfRule type="cellIs" dxfId="1275" priority="105" operator="equal">
      <formula>"+"</formula>
    </cfRule>
    <cfRule type="cellIs" dxfId="1274" priority="106" operator="equal">
      <formula>"szf"</formula>
    </cfRule>
  </conditionalFormatting>
  <conditionalFormatting sqref="S172">
    <cfRule type="cellIs" dxfId="1273" priority="104" operator="equal">
      <formula>"szf"</formula>
    </cfRule>
  </conditionalFormatting>
  <conditionalFormatting sqref="S172:S191">
    <cfRule type="cellIs" dxfId="1272" priority="102" operator="equal">
      <formula>"+"</formula>
    </cfRule>
    <cfRule type="cellIs" dxfId="1271" priority="103" operator="equal">
      <formula>"szf"</formula>
    </cfRule>
  </conditionalFormatting>
  <conditionalFormatting sqref="T172">
    <cfRule type="cellIs" dxfId="1270" priority="101" operator="equal">
      <formula>"szf"</formula>
    </cfRule>
  </conditionalFormatting>
  <conditionalFormatting sqref="T172:T191">
    <cfRule type="cellIs" dxfId="1269" priority="99" operator="equal">
      <formula>"+"</formula>
    </cfRule>
    <cfRule type="cellIs" dxfId="1268" priority="100" operator="equal">
      <formula>"szf"</formula>
    </cfRule>
  </conditionalFormatting>
  <conditionalFormatting sqref="AA172">
    <cfRule type="cellIs" dxfId="1267" priority="98" operator="equal">
      <formula>"szf"</formula>
    </cfRule>
  </conditionalFormatting>
  <conditionalFormatting sqref="AA172:AA191">
    <cfRule type="cellIs" dxfId="1266" priority="96" operator="equal">
      <formula>"+"</formula>
    </cfRule>
    <cfRule type="cellIs" dxfId="1265" priority="97" operator="equal">
      <formula>"szf"</formula>
    </cfRule>
  </conditionalFormatting>
  <conditionalFormatting sqref="AB172">
    <cfRule type="cellIs" dxfId="1264" priority="95" operator="equal">
      <formula>"szf"</formula>
    </cfRule>
  </conditionalFormatting>
  <conditionalFormatting sqref="AB172:AB191">
    <cfRule type="cellIs" dxfId="1263" priority="93" operator="equal">
      <formula>"+"</formula>
    </cfRule>
    <cfRule type="cellIs" dxfId="1262" priority="94" operator="equal">
      <formula>"szf"</formula>
    </cfRule>
  </conditionalFormatting>
  <conditionalFormatting sqref="D196">
    <cfRule type="cellIs" dxfId="1261" priority="92" operator="equal">
      <formula>"szf"</formula>
    </cfRule>
  </conditionalFormatting>
  <conditionalFormatting sqref="D196:D215">
    <cfRule type="cellIs" dxfId="1260" priority="90" operator="equal">
      <formula>"+"</formula>
    </cfRule>
    <cfRule type="cellIs" dxfId="1259" priority="91" operator="equal">
      <formula>"szf"</formula>
    </cfRule>
  </conditionalFormatting>
  <conditionalFormatting sqref="E196">
    <cfRule type="cellIs" dxfId="1258" priority="89" operator="equal">
      <formula>"szf"</formula>
    </cfRule>
  </conditionalFormatting>
  <conditionalFormatting sqref="E196:E215">
    <cfRule type="cellIs" dxfId="1257" priority="87" operator="equal">
      <formula>"+"</formula>
    </cfRule>
    <cfRule type="cellIs" dxfId="1256" priority="88" operator="equal">
      <formula>"szf"</formula>
    </cfRule>
  </conditionalFormatting>
  <conditionalFormatting sqref="L196">
    <cfRule type="cellIs" dxfId="1255" priority="86" operator="equal">
      <formula>"szf"</formula>
    </cfRule>
  </conditionalFormatting>
  <conditionalFormatting sqref="L196:L215">
    <cfRule type="cellIs" dxfId="1254" priority="84" operator="equal">
      <formula>"+"</formula>
    </cfRule>
    <cfRule type="cellIs" dxfId="1253" priority="85" operator="equal">
      <formula>"szf"</formula>
    </cfRule>
  </conditionalFormatting>
  <conditionalFormatting sqref="M196">
    <cfRule type="cellIs" dxfId="1252" priority="83" operator="equal">
      <formula>"szf"</formula>
    </cfRule>
  </conditionalFormatting>
  <conditionalFormatting sqref="M196:M215">
    <cfRule type="cellIs" dxfId="1251" priority="81" operator="equal">
      <formula>"+"</formula>
    </cfRule>
    <cfRule type="cellIs" dxfId="1250" priority="82" operator="equal">
      <formula>"szf"</formula>
    </cfRule>
  </conditionalFormatting>
  <conditionalFormatting sqref="T196">
    <cfRule type="cellIs" dxfId="1249" priority="80" operator="equal">
      <formula>"szf"</formula>
    </cfRule>
  </conditionalFormatting>
  <conditionalFormatting sqref="T196:T215">
    <cfRule type="cellIs" dxfId="1248" priority="78" operator="equal">
      <formula>"+"</formula>
    </cfRule>
    <cfRule type="cellIs" dxfId="1247" priority="79" operator="equal">
      <formula>"szf"</formula>
    </cfRule>
  </conditionalFormatting>
  <conditionalFormatting sqref="U196">
    <cfRule type="cellIs" dxfId="1246" priority="77" operator="equal">
      <formula>"szf"</formula>
    </cfRule>
  </conditionalFormatting>
  <conditionalFormatting sqref="U196:U215">
    <cfRule type="cellIs" dxfId="1245" priority="75" operator="equal">
      <formula>"+"</formula>
    </cfRule>
    <cfRule type="cellIs" dxfId="1244" priority="76" operator="equal">
      <formula>"szf"</formula>
    </cfRule>
  </conditionalFormatting>
  <conditionalFormatting sqref="AC196">
    <cfRule type="cellIs" dxfId="1243" priority="74" operator="equal">
      <formula>"szf"</formula>
    </cfRule>
  </conditionalFormatting>
  <conditionalFormatting sqref="AC196:AC215">
    <cfRule type="cellIs" dxfId="1242" priority="72" operator="equal">
      <formula>"+"</formula>
    </cfRule>
    <cfRule type="cellIs" dxfId="1241" priority="73" operator="equal">
      <formula>"szf"</formula>
    </cfRule>
  </conditionalFormatting>
  <conditionalFormatting sqref="AB196">
    <cfRule type="cellIs" dxfId="1240" priority="71" operator="equal">
      <formula>"szf"</formula>
    </cfRule>
  </conditionalFormatting>
  <conditionalFormatting sqref="AB196:AB215">
    <cfRule type="cellIs" dxfId="1239" priority="69" operator="equal">
      <formula>"+"</formula>
    </cfRule>
    <cfRule type="cellIs" dxfId="1238" priority="70" operator="equal">
      <formula>"szf"</formula>
    </cfRule>
  </conditionalFormatting>
  <conditionalFormatting sqref="F220">
    <cfRule type="cellIs" dxfId="1237" priority="68" operator="equal">
      <formula>"szf"</formula>
    </cfRule>
  </conditionalFormatting>
  <conditionalFormatting sqref="F220:F239">
    <cfRule type="cellIs" dxfId="1236" priority="66" operator="equal">
      <formula>"+"</formula>
    </cfRule>
    <cfRule type="cellIs" dxfId="1235" priority="67" operator="equal">
      <formula>"szf"</formula>
    </cfRule>
  </conditionalFormatting>
  <conditionalFormatting sqref="G220">
    <cfRule type="cellIs" dxfId="1234" priority="65" operator="equal">
      <formula>"szf"</formula>
    </cfRule>
  </conditionalFormatting>
  <conditionalFormatting sqref="G220:G239">
    <cfRule type="cellIs" dxfId="1233" priority="63" operator="equal">
      <formula>"+"</formula>
    </cfRule>
    <cfRule type="cellIs" dxfId="1232" priority="64" operator="equal">
      <formula>"szf"</formula>
    </cfRule>
  </conditionalFormatting>
  <conditionalFormatting sqref="N220">
    <cfRule type="cellIs" dxfId="1231" priority="62" operator="equal">
      <formula>"szf"</formula>
    </cfRule>
  </conditionalFormatting>
  <conditionalFormatting sqref="N220:N239">
    <cfRule type="cellIs" dxfId="1230" priority="60" operator="equal">
      <formula>"+"</formula>
    </cfRule>
    <cfRule type="cellIs" dxfId="1229" priority="61" operator="equal">
      <formula>"szf"</formula>
    </cfRule>
  </conditionalFormatting>
  <conditionalFormatting sqref="O220">
    <cfRule type="cellIs" dxfId="1228" priority="59" operator="equal">
      <formula>"szf"</formula>
    </cfRule>
  </conditionalFormatting>
  <conditionalFormatting sqref="O220:O239">
    <cfRule type="cellIs" dxfId="1227" priority="57" operator="equal">
      <formula>"+"</formula>
    </cfRule>
    <cfRule type="cellIs" dxfId="1226" priority="58" operator="equal">
      <formula>"szf"</formula>
    </cfRule>
  </conditionalFormatting>
  <conditionalFormatting sqref="V220">
    <cfRule type="cellIs" dxfId="1225" priority="56" operator="equal">
      <formula>"szf"</formula>
    </cfRule>
  </conditionalFormatting>
  <conditionalFormatting sqref="V220:V239">
    <cfRule type="cellIs" dxfId="1224" priority="54" operator="equal">
      <formula>"+"</formula>
    </cfRule>
    <cfRule type="cellIs" dxfId="1223" priority="55" operator="equal">
      <formula>"szf"</formula>
    </cfRule>
  </conditionalFormatting>
  <conditionalFormatting sqref="W220">
    <cfRule type="cellIs" dxfId="1222" priority="53" operator="equal">
      <formula>"szf"</formula>
    </cfRule>
  </conditionalFormatting>
  <conditionalFormatting sqref="W220:W239">
    <cfRule type="cellIs" dxfId="1221" priority="51" operator="equal">
      <formula>"+"</formula>
    </cfRule>
    <cfRule type="cellIs" dxfId="1220" priority="52" operator="equal">
      <formula>"szf"</formula>
    </cfRule>
  </conditionalFormatting>
  <conditionalFormatting sqref="AD220">
    <cfRule type="cellIs" dxfId="1219" priority="50" operator="equal">
      <formula>"szf"</formula>
    </cfRule>
  </conditionalFormatting>
  <conditionalFormatting sqref="AD220:AD239">
    <cfRule type="cellIs" dxfId="1218" priority="48" operator="equal">
      <formula>"+"</formula>
    </cfRule>
    <cfRule type="cellIs" dxfId="1217" priority="49" operator="equal">
      <formula>"szf"</formula>
    </cfRule>
  </conditionalFormatting>
  <conditionalFormatting sqref="AE220">
    <cfRule type="cellIs" dxfId="1216" priority="47" operator="equal">
      <formula>"szf"</formula>
    </cfRule>
  </conditionalFormatting>
  <conditionalFormatting sqref="AE220:AE239">
    <cfRule type="cellIs" dxfId="1215" priority="45" operator="equal">
      <formula>"+"</formula>
    </cfRule>
    <cfRule type="cellIs" dxfId="1214" priority="46" operator="equal">
      <formula>"szf"</formula>
    </cfRule>
  </conditionalFormatting>
  <conditionalFormatting sqref="G244">
    <cfRule type="cellIs" dxfId="1213" priority="44" operator="equal">
      <formula>"szf"</formula>
    </cfRule>
  </conditionalFormatting>
  <conditionalFormatting sqref="G244:G263">
    <cfRule type="cellIs" dxfId="1212" priority="42" operator="equal">
      <formula>"+"</formula>
    </cfRule>
    <cfRule type="cellIs" dxfId="1211" priority="43" operator="equal">
      <formula>"szf"</formula>
    </cfRule>
  </conditionalFormatting>
  <conditionalFormatting sqref="H244">
    <cfRule type="cellIs" dxfId="1210" priority="41" operator="equal">
      <formula>"szf"</formula>
    </cfRule>
  </conditionalFormatting>
  <conditionalFormatting sqref="H244:H263">
    <cfRule type="cellIs" dxfId="1209" priority="39" operator="equal">
      <formula>"+"</formula>
    </cfRule>
    <cfRule type="cellIs" dxfId="1208" priority="40" operator="equal">
      <formula>"szf"</formula>
    </cfRule>
  </conditionalFormatting>
  <conditionalFormatting sqref="O244">
    <cfRule type="cellIs" dxfId="1207" priority="38" operator="equal">
      <formula>"szf"</formula>
    </cfRule>
  </conditionalFormatting>
  <conditionalFormatting sqref="O244:O263">
    <cfRule type="cellIs" dxfId="1206" priority="36" operator="equal">
      <formula>"+"</formula>
    </cfRule>
    <cfRule type="cellIs" dxfId="1205" priority="37" operator="equal">
      <formula>"szf"</formula>
    </cfRule>
  </conditionalFormatting>
  <conditionalFormatting sqref="P244">
    <cfRule type="cellIs" dxfId="1204" priority="35" operator="equal">
      <formula>"szf"</formula>
    </cfRule>
  </conditionalFormatting>
  <conditionalFormatting sqref="P244:P263">
    <cfRule type="cellIs" dxfId="1203" priority="33" operator="equal">
      <formula>"+"</formula>
    </cfRule>
    <cfRule type="cellIs" dxfId="1202" priority="34" operator="equal">
      <formula>"szf"</formula>
    </cfRule>
  </conditionalFormatting>
  <conditionalFormatting sqref="W244">
    <cfRule type="cellIs" dxfId="1201" priority="32" operator="equal">
      <formula>"szf"</formula>
    </cfRule>
  </conditionalFormatting>
  <conditionalFormatting sqref="W244:W263">
    <cfRule type="cellIs" dxfId="1200" priority="30" operator="equal">
      <formula>"+"</formula>
    </cfRule>
    <cfRule type="cellIs" dxfId="1199" priority="31" operator="equal">
      <formula>"szf"</formula>
    </cfRule>
  </conditionalFormatting>
  <conditionalFormatting sqref="X244">
    <cfRule type="cellIs" dxfId="1198" priority="29" operator="equal">
      <formula>"szf"</formula>
    </cfRule>
  </conditionalFormatting>
  <conditionalFormatting sqref="X244:X263">
    <cfRule type="cellIs" dxfId="1197" priority="27" operator="equal">
      <formula>"+"</formula>
    </cfRule>
    <cfRule type="cellIs" dxfId="1196" priority="28" operator="equal">
      <formula>"szf"</formula>
    </cfRule>
  </conditionalFormatting>
  <conditionalFormatting sqref="AE244">
    <cfRule type="cellIs" dxfId="1195" priority="26" operator="equal">
      <formula>"szf"</formula>
    </cfRule>
  </conditionalFormatting>
  <conditionalFormatting sqref="AE244:AE263">
    <cfRule type="cellIs" dxfId="1194" priority="24" operator="equal">
      <formula>"+"</formula>
    </cfRule>
    <cfRule type="cellIs" dxfId="1193" priority="25" operator="equal">
      <formula>"szf"</formula>
    </cfRule>
  </conditionalFormatting>
  <conditionalFormatting sqref="B268">
    <cfRule type="cellIs" dxfId="1192" priority="23" operator="equal">
      <formula>"szf"</formula>
    </cfRule>
  </conditionalFormatting>
  <conditionalFormatting sqref="B268:B287">
    <cfRule type="cellIs" dxfId="1191" priority="21" operator="equal">
      <formula>"+"</formula>
    </cfRule>
    <cfRule type="cellIs" dxfId="1190" priority="22" operator="equal">
      <formula>"szf"</formula>
    </cfRule>
  </conditionalFormatting>
  <conditionalFormatting sqref="I268">
    <cfRule type="cellIs" dxfId="1189" priority="20" operator="equal">
      <formula>"szf"</formula>
    </cfRule>
  </conditionalFormatting>
  <conditionalFormatting sqref="I268:I287">
    <cfRule type="cellIs" dxfId="1188" priority="18" operator="equal">
      <formula>"+"</formula>
    </cfRule>
    <cfRule type="cellIs" dxfId="1187" priority="19" operator="equal">
      <formula>"szf"</formula>
    </cfRule>
  </conditionalFormatting>
  <conditionalFormatting sqref="J268">
    <cfRule type="cellIs" dxfId="1186" priority="17" operator="equal">
      <formula>"szf"</formula>
    </cfRule>
  </conditionalFormatting>
  <conditionalFormatting sqref="J268:J287">
    <cfRule type="cellIs" dxfId="1185" priority="15" operator="equal">
      <formula>"+"</formula>
    </cfRule>
    <cfRule type="cellIs" dxfId="1184" priority="16" operator="equal">
      <formula>"szf"</formula>
    </cfRule>
  </conditionalFormatting>
  <conditionalFormatting sqref="Q268">
    <cfRule type="cellIs" dxfId="1183" priority="14" operator="equal">
      <formula>"szf"</formula>
    </cfRule>
  </conditionalFormatting>
  <conditionalFormatting sqref="Q268:Q287">
    <cfRule type="cellIs" dxfId="1182" priority="12" operator="equal">
      <formula>"+"</formula>
    </cfRule>
    <cfRule type="cellIs" dxfId="1181" priority="13" operator="equal">
      <formula>"szf"</formula>
    </cfRule>
  </conditionalFormatting>
  <conditionalFormatting sqref="R268">
    <cfRule type="cellIs" dxfId="1180" priority="11" operator="equal">
      <formula>"szf"</formula>
    </cfRule>
  </conditionalFormatting>
  <conditionalFormatting sqref="R268:R287">
    <cfRule type="cellIs" dxfId="1179" priority="9" operator="equal">
      <formula>"+"</formula>
    </cfRule>
    <cfRule type="cellIs" dxfId="1178" priority="10" operator="equal">
      <formula>"szf"</formula>
    </cfRule>
  </conditionalFormatting>
  <conditionalFormatting sqref="Y268">
    <cfRule type="cellIs" dxfId="1177" priority="8" operator="equal">
      <formula>"szf"</formula>
    </cfRule>
  </conditionalFormatting>
  <conditionalFormatting sqref="Y268:Y287">
    <cfRule type="cellIs" dxfId="1176" priority="6" operator="equal">
      <formula>"+"</formula>
    </cfRule>
    <cfRule type="cellIs" dxfId="1175" priority="7" operator="equal">
      <formula>"szf"</formula>
    </cfRule>
  </conditionalFormatting>
  <conditionalFormatting sqref="Z268">
    <cfRule type="cellIs" dxfId="1174" priority="5" operator="equal">
      <formula>"szf"</formula>
    </cfRule>
  </conditionalFormatting>
  <conditionalFormatting sqref="Z268:Z287">
    <cfRule type="cellIs" dxfId="1173" priority="3" operator="equal">
      <formula>"+"</formula>
    </cfRule>
    <cfRule type="cellIs" dxfId="1172" priority="4" operator="equal">
      <formula>"szf"</formula>
    </cfRule>
  </conditionalFormatting>
  <conditionalFormatting sqref="P52:P71">
    <cfRule type="cellIs" dxfId="1171" priority="1" operator="equal">
      <formula>"+"</formula>
    </cfRule>
    <cfRule type="cellIs" dxfId="1170" priority="2" operator="equal">
      <formula>"szf"</formula>
    </cfRule>
  </conditionalFormatting>
  <printOptions horizontalCentered="1" verticalCentered="1"/>
  <pageMargins left="0.39370078740157483" right="0.39370078740157483" top="0.24" bottom="0.3" header="0.17" footer="0.3"/>
  <pageSetup paperSize="9" orientation="landscape" horizontalDpi="4294967292" r:id="rId1"/>
  <headerFooter alignWithMargins="0">
    <oddFooter>&amp;RCim: C:\besse\szab_szn\szabi.xls</oddFooter>
  </headerFooter>
  <rowBreaks count="11" manualBreakCount="11">
    <brk id="23" max="16383" man="1"/>
    <brk id="47" max="16383" man="1"/>
    <brk id="71" max="16383" man="1"/>
    <brk id="95" max="16383" man="1"/>
    <brk id="119" max="16383" man="1"/>
    <brk id="143" max="16383" man="1"/>
    <brk id="167" max="16383" man="1"/>
    <brk id="191" max="16383" man="1"/>
    <brk id="215" max="16383" man="1"/>
    <brk id="239" max="16383" man="1"/>
    <brk id="26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7"/>
  <sheetViews>
    <sheetView showGridLines="0" topLeftCell="A58" workbookViewId="0">
      <selection activeCell="X80" sqref="X80"/>
    </sheetView>
  </sheetViews>
  <sheetFormatPr defaultColWidth="12" defaultRowHeight="12.75"/>
  <cols>
    <col min="1" max="1" width="18.85546875" style="20" customWidth="1"/>
    <col min="2" max="2" width="4" style="4" customWidth="1"/>
    <col min="3" max="8" width="3.140625" style="4" customWidth="1"/>
    <col min="9" max="9" width="3" style="4" customWidth="1"/>
    <col min="10" max="31" width="3.140625" style="4" customWidth="1"/>
    <col min="32" max="32" width="3.85546875" style="4" customWidth="1"/>
    <col min="33" max="33" width="3.42578125" style="1" customWidth="1"/>
    <col min="34" max="35" width="6.85546875" style="8" hidden="1" customWidth="1"/>
    <col min="36" max="43" width="3.42578125" style="1" customWidth="1"/>
    <col min="44" max="16384" width="12" style="1"/>
  </cols>
  <sheetData>
    <row r="1" spans="1:35" s="6" customFormat="1" ht="20.100000000000001" customHeight="1">
      <c r="A1" s="88" t="s">
        <v>0</v>
      </c>
      <c r="B1" s="66">
        <v>1</v>
      </c>
      <c r="C1" s="67">
        <v>2</v>
      </c>
      <c r="D1" s="67">
        <v>3</v>
      </c>
      <c r="E1" s="67">
        <v>4</v>
      </c>
      <c r="F1" s="67">
        <v>5</v>
      </c>
      <c r="G1" s="67">
        <v>6</v>
      </c>
      <c r="H1" s="67">
        <v>7</v>
      </c>
      <c r="I1" s="67">
        <v>8</v>
      </c>
      <c r="J1" s="67">
        <v>9</v>
      </c>
      <c r="K1" s="67">
        <v>10</v>
      </c>
      <c r="L1" s="67">
        <v>11</v>
      </c>
      <c r="M1" s="67">
        <v>12</v>
      </c>
      <c r="N1" s="67">
        <v>13</v>
      </c>
      <c r="O1" s="67">
        <v>14</v>
      </c>
      <c r="P1" s="67">
        <v>15</v>
      </c>
      <c r="Q1" s="67">
        <v>16</v>
      </c>
      <c r="R1" s="67">
        <v>17</v>
      </c>
      <c r="S1" s="67">
        <v>18</v>
      </c>
      <c r="T1" s="67">
        <v>19</v>
      </c>
      <c r="U1" s="67">
        <v>20</v>
      </c>
      <c r="V1" s="67">
        <v>21</v>
      </c>
      <c r="W1" s="67">
        <v>22</v>
      </c>
      <c r="X1" s="67">
        <v>23</v>
      </c>
      <c r="Y1" s="67">
        <v>24</v>
      </c>
      <c r="Z1" s="67">
        <v>25</v>
      </c>
      <c r="AA1" s="67">
        <v>26</v>
      </c>
      <c r="AB1" s="67">
        <v>27</v>
      </c>
      <c r="AC1" s="67">
        <v>28</v>
      </c>
      <c r="AD1" s="67">
        <v>29</v>
      </c>
      <c r="AE1" s="67">
        <v>30</v>
      </c>
      <c r="AF1" s="67">
        <v>31</v>
      </c>
      <c r="AG1" s="75"/>
      <c r="AH1" s="93" t="s">
        <v>18</v>
      </c>
      <c r="AI1" s="93" t="s">
        <v>19</v>
      </c>
    </row>
    <row r="2" spans="1:35" ht="20.100000000000001" customHeight="1">
      <c r="A2" s="95"/>
      <c r="B2" s="68" t="str">
        <f>'2020'!B4</f>
        <v>Sze</v>
      </c>
      <c r="C2" s="68" t="str">
        <f>'2020'!C4</f>
        <v>Cs</v>
      </c>
      <c r="D2" s="68" t="str">
        <f>'2020'!D4</f>
        <v>P</v>
      </c>
      <c r="E2" s="68" t="str">
        <f>'2020'!E4</f>
        <v>Szo</v>
      </c>
      <c r="F2" s="68" t="str">
        <f>'2020'!F4</f>
        <v>V</v>
      </c>
      <c r="G2" s="68" t="str">
        <f>'2020'!G4</f>
        <v>H</v>
      </c>
      <c r="H2" s="68" t="str">
        <f>'2020'!H4</f>
        <v>K</v>
      </c>
      <c r="I2" s="68" t="str">
        <f>'2020'!I4</f>
        <v>Sze</v>
      </c>
      <c r="J2" s="68" t="str">
        <f>'2020'!J4</f>
        <v>Cs</v>
      </c>
      <c r="K2" s="68" t="str">
        <f>'2020'!K4</f>
        <v>P</v>
      </c>
      <c r="L2" s="68" t="str">
        <f>'2020'!L4</f>
        <v>Szo</v>
      </c>
      <c r="M2" s="68" t="str">
        <f>'2020'!M4</f>
        <v>V</v>
      </c>
      <c r="N2" s="68" t="str">
        <f>'2020'!N4</f>
        <v>H</v>
      </c>
      <c r="O2" s="68" t="str">
        <f>'2020'!O4</f>
        <v>K</v>
      </c>
      <c r="P2" s="68" t="str">
        <f>'2020'!P4</f>
        <v>Sze</v>
      </c>
      <c r="Q2" s="68" t="str">
        <f>'2020'!Q4</f>
        <v>Cs</v>
      </c>
      <c r="R2" s="68" t="str">
        <f>'2020'!R4</f>
        <v>P</v>
      </c>
      <c r="S2" s="68" t="str">
        <f>'2020'!S4</f>
        <v>Szo</v>
      </c>
      <c r="T2" s="68" t="str">
        <f>'2020'!T4</f>
        <v>V</v>
      </c>
      <c r="U2" s="68" t="str">
        <f>'2020'!U4</f>
        <v>H</v>
      </c>
      <c r="V2" s="68" t="str">
        <f>'2020'!V4</f>
        <v>K</v>
      </c>
      <c r="W2" s="68" t="str">
        <f>'2020'!W4</f>
        <v>Sze</v>
      </c>
      <c r="X2" s="68" t="str">
        <f>'2020'!X4</f>
        <v>Cs</v>
      </c>
      <c r="Y2" s="68" t="str">
        <f>'2020'!Y4</f>
        <v>P</v>
      </c>
      <c r="Z2" s="68" t="str">
        <f>'2020'!Z4</f>
        <v>Szo</v>
      </c>
      <c r="AA2" s="68" t="str">
        <f>'2020'!AA4</f>
        <v>V</v>
      </c>
      <c r="AB2" s="68" t="str">
        <f>'2020'!AB4</f>
        <v>H</v>
      </c>
      <c r="AC2" s="68" t="str">
        <f>'2020'!AC4</f>
        <v>K</v>
      </c>
      <c r="AD2" s="68" t="str">
        <f>'2020'!AD4</f>
        <v>Sze</v>
      </c>
      <c r="AE2" s="68" t="str">
        <f>'2020'!AE4</f>
        <v>Cs</v>
      </c>
      <c r="AF2" s="68" t="str">
        <f>'2020'!AF4</f>
        <v>P</v>
      </c>
      <c r="AG2" s="76"/>
      <c r="AH2" s="94"/>
      <c r="AI2" s="94"/>
    </row>
    <row r="3" spans="1:35" ht="20.100000000000001" customHeight="1">
      <c r="A3" s="95"/>
      <c r="B3" s="68">
        <f>'2020'!B8</f>
        <v>2</v>
      </c>
      <c r="C3" s="68">
        <f>'2020'!C8</f>
        <v>2</v>
      </c>
      <c r="D3" s="68">
        <f>'2020'!D8</f>
        <v>2</v>
      </c>
      <c r="E3" s="68">
        <f>'2020'!E8</f>
        <v>2</v>
      </c>
      <c r="F3" s="68" t="str">
        <f>'2020'!F8</f>
        <v>X</v>
      </c>
      <c r="G3" s="68" t="str">
        <f>'2020'!G8</f>
        <v>X</v>
      </c>
      <c r="H3" s="68">
        <f>'2020'!H8</f>
        <v>1</v>
      </c>
      <c r="I3" s="68">
        <f>'2020'!I8</f>
        <v>1</v>
      </c>
      <c r="J3" s="68">
        <f>'2020'!J8</f>
        <v>1</v>
      </c>
      <c r="K3" s="68">
        <f>'2020'!K8</f>
        <v>1</v>
      </c>
      <c r="L3" s="68">
        <f>'2020'!L8</f>
        <v>1</v>
      </c>
      <c r="M3" s="68">
        <f>'2020'!M8</f>
        <v>1</v>
      </c>
      <c r="N3" s="68" t="str">
        <f>'2020'!N8</f>
        <v>X</v>
      </c>
      <c r="O3" s="68" t="str">
        <f>'2020'!O8</f>
        <v>X</v>
      </c>
      <c r="P3" s="68">
        <f>'2020'!P8</f>
        <v>3</v>
      </c>
      <c r="Q3" s="68">
        <f>'2020'!Q8</f>
        <v>3</v>
      </c>
      <c r="R3" s="68">
        <f>'2020'!R8</f>
        <v>3</v>
      </c>
      <c r="S3" s="68">
        <f>'2020'!S8</f>
        <v>3</v>
      </c>
      <c r="T3" s="68">
        <f>'2020'!T8</f>
        <v>3</v>
      </c>
      <c r="U3" s="68">
        <f>'2020'!U8</f>
        <v>3</v>
      </c>
      <c r="V3" s="68" t="str">
        <f>'2020'!V8</f>
        <v>X</v>
      </c>
      <c r="W3" s="68" t="str">
        <f>'2020'!W8</f>
        <v>X</v>
      </c>
      <c r="X3" s="68">
        <f>'2020'!X8</f>
        <v>2</v>
      </c>
      <c r="Y3" s="68">
        <f>'2020'!Y8</f>
        <v>2</v>
      </c>
      <c r="Z3" s="68">
        <f>'2020'!Z8</f>
        <v>2</v>
      </c>
      <c r="AA3" s="68">
        <f>'2020'!AA8</f>
        <v>2</v>
      </c>
      <c r="AB3" s="68">
        <f>'2020'!AB8</f>
        <v>2</v>
      </c>
      <c r="AC3" s="68">
        <f>'2020'!AC8</f>
        <v>2</v>
      </c>
      <c r="AD3" s="68" t="str">
        <f>'2020'!AD8</f>
        <v>X</v>
      </c>
      <c r="AE3" s="68" t="str">
        <f>'2020'!AE8</f>
        <v>X</v>
      </c>
      <c r="AF3" s="68">
        <f>'2020'!AF8</f>
        <v>1</v>
      </c>
      <c r="AG3" s="76"/>
      <c r="AH3" s="94"/>
      <c r="AI3" s="94"/>
    </row>
    <row r="4" spans="1:35" ht="20.100000000000001" customHeight="1">
      <c r="A4" s="18" t="str">
        <f>ÖSSZES!$A$72</f>
        <v>Daku Gábor</v>
      </c>
      <c r="B4" s="69" t="str">
        <f>[1]D!B4</f>
        <v>+</v>
      </c>
      <c r="C4" s="72">
        <f>[1]D!C4</f>
        <v>2</v>
      </c>
      <c r="D4" s="72">
        <f>[1]D!D4</f>
        <v>2</v>
      </c>
      <c r="E4" s="72">
        <f>[1]D!E4</f>
        <v>2</v>
      </c>
      <c r="F4" s="71" t="str">
        <f>[1]D!F4</f>
        <v>X</v>
      </c>
      <c r="G4" s="71" t="str">
        <f>[1]D!G4</f>
        <v>X</v>
      </c>
      <c r="H4" s="70">
        <f>[1]D!H4</f>
        <v>1</v>
      </c>
      <c r="I4" s="70">
        <f>[1]D!I4</f>
        <v>1</v>
      </c>
      <c r="J4" s="70">
        <f>[1]D!J4</f>
        <v>1</v>
      </c>
      <c r="K4" s="72">
        <f>[1]D!K4</f>
        <v>1</v>
      </c>
      <c r="L4" s="72">
        <f>[1]D!L4</f>
        <v>1</v>
      </c>
      <c r="M4" s="72">
        <f>[1]D!M4</f>
        <v>1</v>
      </c>
      <c r="N4" s="71" t="str">
        <f>[1]D!N4</f>
        <v>X</v>
      </c>
      <c r="O4" s="71" t="str">
        <f>[1]D!O4</f>
        <v>X</v>
      </c>
      <c r="P4" s="70" t="s">
        <v>118</v>
      </c>
      <c r="Q4" s="70">
        <f>[1]D!Q4</f>
        <v>3</v>
      </c>
      <c r="R4" s="70">
        <f>[1]D!R4</f>
        <v>3</v>
      </c>
      <c r="S4" s="72">
        <f>[1]D!S4</f>
        <v>3</v>
      </c>
      <c r="T4" s="72">
        <f>[1]D!T4</f>
        <v>3</v>
      </c>
      <c r="U4" s="72">
        <f>[1]D!U4</f>
        <v>3</v>
      </c>
      <c r="V4" s="71" t="str">
        <f>[1]D!V4</f>
        <v>X</v>
      </c>
      <c r="W4" s="71" t="str">
        <f>[1]D!W4</f>
        <v>X</v>
      </c>
      <c r="X4" s="70">
        <f>[1]D!X4</f>
        <v>2</v>
      </c>
      <c r="Y4" s="70">
        <f>[1]D!Y4</f>
        <v>2</v>
      </c>
      <c r="Z4" s="70">
        <f>[1]D!Z4</f>
        <v>2</v>
      </c>
      <c r="AA4" s="72">
        <f>[1]D!AA4</f>
        <v>2</v>
      </c>
      <c r="AB4" s="72">
        <f>[1]D!AB4</f>
        <v>2</v>
      </c>
      <c r="AC4" s="72">
        <f>[1]D!AC4</f>
        <v>2</v>
      </c>
      <c r="AD4" s="71" t="str">
        <f>[1]D!AD4</f>
        <v>X</v>
      </c>
      <c r="AE4" s="71" t="str">
        <f>[1]D!AE4</f>
        <v>X</v>
      </c>
      <c r="AF4" s="70">
        <f>[1]D!AF4</f>
        <v>1</v>
      </c>
      <c r="AG4" s="76"/>
      <c r="AH4" s="16">
        <f>1*COUNTIF(A4:AF4,"+")</f>
        <v>1</v>
      </c>
      <c r="AI4" s="16">
        <f>1*COUNTIF(B4:AF4,"szf")</f>
        <v>0</v>
      </c>
    </row>
    <row r="5" spans="1:35" ht="20.100000000000001" customHeight="1">
      <c r="A5" s="18" t="str">
        <f>ÖSSZES!$A$73</f>
        <v>Borbély Csaba</v>
      </c>
      <c r="B5" s="69">
        <f>[1]D!B5</f>
        <v>2</v>
      </c>
      <c r="C5" s="72">
        <f>[1]D!C5</f>
        <v>2</v>
      </c>
      <c r="D5" s="72">
        <f>[1]D!D5</f>
        <v>2</v>
      </c>
      <c r="E5" s="72">
        <f>[1]D!E5</f>
        <v>2</v>
      </c>
      <c r="F5" s="71" t="str">
        <f>[1]D!F5</f>
        <v>X</v>
      </c>
      <c r="G5" s="71" t="str">
        <f>[1]D!G5</f>
        <v>X</v>
      </c>
      <c r="H5" s="70">
        <f>[1]D!H5</f>
        <v>1</v>
      </c>
      <c r="I5" s="70">
        <f>[1]D!I5</f>
        <v>1</v>
      </c>
      <c r="J5" s="70">
        <f>[1]D!J5</f>
        <v>1</v>
      </c>
      <c r="K5" s="72">
        <f>[1]D!K5</f>
        <v>1</v>
      </c>
      <c r="L5" s="72">
        <f>[1]D!L5</f>
        <v>1</v>
      </c>
      <c r="M5" s="72" t="str">
        <f>[1]D!M5</f>
        <v>+</v>
      </c>
      <c r="N5" s="71" t="str">
        <f>[1]D!N5</f>
        <v>X</v>
      </c>
      <c r="O5" s="71" t="str">
        <f>[1]D!O5</f>
        <v>X</v>
      </c>
      <c r="P5" s="70">
        <f>[1]D!P5</f>
        <v>3</v>
      </c>
      <c r="Q5" s="70">
        <f>[1]D!Q5</f>
        <v>3</v>
      </c>
      <c r="R5" s="70">
        <f>[1]D!R5</f>
        <v>3</v>
      </c>
      <c r="S5" s="72">
        <f>[1]D!S5</f>
        <v>3</v>
      </c>
      <c r="T5" s="72">
        <f>[1]D!T5</f>
        <v>3</v>
      </c>
      <c r="U5" s="72">
        <f>[1]D!U5</f>
        <v>3</v>
      </c>
      <c r="V5" s="71" t="str">
        <f>[1]D!V5</f>
        <v>X</v>
      </c>
      <c r="W5" s="71" t="str">
        <f>[1]D!W5</f>
        <v>X</v>
      </c>
      <c r="X5" s="70">
        <f>[1]D!X5</f>
        <v>2</v>
      </c>
      <c r="Y5" s="70">
        <f>[1]D!Y5</f>
        <v>2</v>
      </c>
      <c r="Z5" s="70">
        <f>[1]D!Z5</f>
        <v>2</v>
      </c>
      <c r="AA5" s="72">
        <f>[1]D!AA5</f>
        <v>2</v>
      </c>
      <c r="AB5" s="72">
        <f>[1]D!AB5</f>
        <v>2</v>
      </c>
      <c r="AC5" s="72">
        <f>[1]D!AC5</f>
        <v>2</v>
      </c>
      <c r="AD5" s="71" t="str">
        <f>[1]D!AD5</f>
        <v>X</v>
      </c>
      <c r="AE5" s="71" t="str">
        <f>[1]D!AE5</f>
        <v>X</v>
      </c>
      <c r="AF5" s="70">
        <f>[1]D!AF5</f>
        <v>1</v>
      </c>
      <c r="AG5" s="76"/>
      <c r="AH5" s="16">
        <f t="shared" ref="AH5:AH23" si="0">1*COUNTIF(A5:AF5,"+")</f>
        <v>1</v>
      </c>
      <c r="AI5" s="16">
        <f t="shared" ref="AI5:AI23" si="1">1*COUNTIF(B5:AF5,"szf")</f>
        <v>0</v>
      </c>
    </row>
    <row r="6" spans="1:35" ht="20.100000000000001" customHeight="1">
      <c r="A6" s="18" t="str">
        <f>ÖSSZES!$A$74</f>
        <v>Erdei Bálint</v>
      </c>
      <c r="B6" s="69">
        <f>[1]D!B6</f>
        <v>2</v>
      </c>
      <c r="C6" s="72">
        <f>[1]D!C6</f>
        <v>2</v>
      </c>
      <c r="D6" s="72">
        <f>[1]D!D6</f>
        <v>2</v>
      </c>
      <c r="E6" s="72">
        <f>[1]D!E6</f>
        <v>2</v>
      </c>
      <c r="F6" s="71" t="str">
        <f>[1]D!F6</f>
        <v>X</v>
      </c>
      <c r="G6" s="71" t="str">
        <f>[1]D!G6</f>
        <v>X</v>
      </c>
      <c r="H6" s="70">
        <f>[1]D!H6</f>
        <v>1</v>
      </c>
      <c r="I6" s="70">
        <f>[1]D!I6</f>
        <v>1</v>
      </c>
      <c r="J6" s="70">
        <f>[1]D!J6</f>
        <v>1</v>
      </c>
      <c r="K6" s="72">
        <f>[1]D!K6</f>
        <v>1</v>
      </c>
      <c r="L6" s="72">
        <f>[1]D!L6</f>
        <v>1</v>
      </c>
      <c r="M6" s="72">
        <f>[1]D!M6</f>
        <v>1</v>
      </c>
      <c r="N6" s="71" t="str">
        <f>[1]D!N6</f>
        <v>X</v>
      </c>
      <c r="O6" s="71" t="str">
        <f>[1]D!O6</f>
        <v>X</v>
      </c>
      <c r="P6" s="70">
        <f>[1]D!P6</f>
        <v>3</v>
      </c>
      <c r="Q6" s="70">
        <f>[1]D!Q6</f>
        <v>3</v>
      </c>
      <c r="R6" s="70">
        <f>[1]D!R6</f>
        <v>3</v>
      </c>
      <c r="S6" s="72">
        <f>[1]D!S6</f>
        <v>3</v>
      </c>
      <c r="T6" s="72">
        <f>[1]D!T6</f>
        <v>3</v>
      </c>
      <c r="U6" s="72">
        <f>[1]D!U6</f>
        <v>3</v>
      </c>
      <c r="V6" s="71" t="str">
        <f>[1]D!V6</f>
        <v>X</v>
      </c>
      <c r="W6" s="71" t="str">
        <f>[1]D!W6</f>
        <v>X</v>
      </c>
      <c r="X6" s="70" t="str">
        <f>[1]D!X6</f>
        <v>+</v>
      </c>
      <c r="Y6" s="70">
        <f>[1]D!Y6</f>
        <v>2</v>
      </c>
      <c r="Z6" s="70">
        <f>[1]D!Z6</f>
        <v>2</v>
      </c>
      <c r="AA6" s="72">
        <f>[1]D!AA6</f>
        <v>2</v>
      </c>
      <c r="AB6" s="72">
        <f>[1]D!AB6</f>
        <v>2</v>
      </c>
      <c r="AC6" s="72">
        <f>[1]D!AC6</f>
        <v>2</v>
      </c>
      <c r="AD6" s="71" t="str">
        <f>[1]D!AD6</f>
        <v>X</v>
      </c>
      <c r="AE6" s="71" t="str">
        <f>[1]D!AE6</f>
        <v>X</v>
      </c>
      <c r="AF6" s="70">
        <f>[1]D!AF6</f>
        <v>1</v>
      </c>
      <c r="AG6" s="76"/>
      <c r="AH6" s="16">
        <f t="shared" si="0"/>
        <v>1</v>
      </c>
      <c r="AI6" s="16">
        <f t="shared" si="1"/>
        <v>0</v>
      </c>
    </row>
    <row r="7" spans="1:35" ht="20.100000000000001" customHeight="1">
      <c r="A7" s="18" t="str">
        <f>ÖSSZES!$A$75</f>
        <v>Fábián Gábor</v>
      </c>
      <c r="B7" s="69">
        <f>[1]D!B7</f>
        <v>2</v>
      </c>
      <c r="C7" s="72">
        <f>[1]D!C7</f>
        <v>2</v>
      </c>
      <c r="D7" s="72">
        <f>[1]D!D7</f>
        <v>2</v>
      </c>
      <c r="E7" s="72">
        <f>[1]D!E7</f>
        <v>2</v>
      </c>
      <c r="F7" s="71" t="str">
        <f>[1]D!F7</f>
        <v>X</v>
      </c>
      <c r="G7" s="71" t="str">
        <f>[1]D!G7</f>
        <v>X</v>
      </c>
      <c r="H7" s="70">
        <f>[1]D!H7</f>
        <v>1</v>
      </c>
      <c r="I7" s="70" t="str">
        <f>[1]D!I7</f>
        <v>+</v>
      </c>
      <c r="J7" s="70">
        <f>[1]D!J7</f>
        <v>1</v>
      </c>
      <c r="K7" s="72">
        <f>[1]D!K7</f>
        <v>1</v>
      </c>
      <c r="L7" s="72">
        <f>[1]D!L7</f>
        <v>1</v>
      </c>
      <c r="M7" s="72">
        <f>[1]D!M7</f>
        <v>1</v>
      </c>
      <c r="N7" s="71" t="str">
        <f>[1]D!N7</f>
        <v>X</v>
      </c>
      <c r="O7" s="71" t="str">
        <f>[1]D!O7</f>
        <v>X</v>
      </c>
      <c r="P7" s="70">
        <f>[1]D!P7</f>
        <v>3</v>
      </c>
      <c r="Q7" s="70">
        <f>[1]D!Q7</f>
        <v>3</v>
      </c>
      <c r="R7" s="70">
        <f>[1]D!R7</f>
        <v>3</v>
      </c>
      <c r="S7" s="72">
        <f>[1]D!S7</f>
        <v>3</v>
      </c>
      <c r="T7" s="72">
        <f>[1]D!T7</f>
        <v>3</v>
      </c>
      <c r="U7" s="72">
        <f>[1]D!U7</f>
        <v>3</v>
      </c>
      <c r="V7" s="71" t="str">
        <f>[1]D!V7</f>
        <v>X</v>
      </c>
      <c r="W7" s="71" t="str">
        <f>[1]D!W7</f>
        <v>X</v>
      </c>
      <c r="X7" s="70">
        <f>[1]D!X7</f>
        <v>2</v>
      </c>
      <c r="Y7" s="70">
        <f>[1]D!Y7</f>
        <v>2</v>
      </c>
      <c r="Z7" s="70">
        <f>[1]D!Z7</f>
        <v>2</v>
      </c>
      <c r="AA7" s="72">
        <f>[1]D!AA7</f>
        <v>2</v>
      </c>
      <c r="AB7" s="72">
        <f>[1]D!AB7</f>
        <v>2</v>
      </c>
      <c r="AC7" s="72">
        <f>[1]D!AC7</f>
        <v>2</v>
      </c>
      <c r="AD7" s="71" t="str">
        <f>[1]D!AD7</f>
        <v>X</v>
      </c>
      <c r="AE7" s="71" t="str">
        <f>[1]D!AE7</f>
        <v>X</v>
      </c>
      <c r="AF7" s="70" t="str">
        <f>[1]D!AF7</f>
        <v>szf</v>
      </c>
      <c r="AG7" s="76"/>
      <c r="AH7" s="16">
        <f t="shared" si="0"/>
        <v>1</v>
      </c>
      <c r="AI7" s="16">
        <f t="shared" si="1"/>
        <v>1</v>
      </c>
    </row>
    <row r="8" spans="1:35" ht="20.100000000000001" customHeight="1">
      <c r="A8" s="18" t="str">
        <f>ÖSSZES!$A$76</f>
        <v>Gellei Zsolt</v>
      </c>
      <c r="B8" s="69" t="str">
        <f>[1]D!B8</f>
        <v>+</v>
      </c>
      <c r="C8" s="72">
        <f>[1]D!C8</f>
        <v>2</v>
      </c>
      <c r="D8" s="72">
        <f>[1]D!D8</f>
        <v>2</v>
      </c>
      <c r="E8" s="72">
        <f>[1]D!E8</f>
        <v>2</v>
      </c>
      <c r="F8" s="71" t="str">
        <f>[1]D!F8</f>
        <v>X</v>
      </c>
      <c r="G8" s="71" t="str">
        <f>[1]D!G8</f>
        <v>X</v>
      </c>
      <c r="H8" s="70">
        <f>[1]D!H8</f>
        <v>1</v>
      </c>
      <c r="I8" s="70">
        <f>[1]D!I8</f>
        <v>4</v>
      </c>
      <c r="J8" s="70">
        <f>[1]D!J8</f>
        <v>1</v>
      </c>
      <c r="K8" s="72">
        <f>[1]D!K8</f>
        <v>1</v>
      </c>
      <c r="L8" s="72">
        <f>[1]D!L8</f>
        <v>1</v>
      </c>
      <c r="M8" s="72">
        <f>[1]D!M8</f>
        <v>1</v>
      </c>
      <c r="N8" s="71" t="str">
        <f>[1]D!N8</f>
        <v>X</v>
      </c>
      <c r="O8" s="71" t="str">
        <f>[1]D!O8</f>
        <v>X</v>
      </c>
      <c r="P8" s="70">
        <f>[1]D!P8</f>
        <v>3</v>
      </c>
      <c r="Q8" s="70">
        <f>[1]D!Q8</f>
        <v>3</v>
      </c>
      <c r="R8" s="70">
        <f>[1]D!R8</f>
        <v>3</v>
      </c>
      <c r="S8" s="72">
        <f>[1]D!S8</f>
        <v>3</v>
      </c>
      <c r="T8" s="72">
        <f>[1]D!T8</f>
        <v>3</v>
      </c>
      <c r="U8" s="72">
        <f>[1]D!U8</f>
        <v>3</v>
      </c>
      <c r="V8" s="71" t="str">
        <f>[1]D!V8</f>
        <v>X</v>
      </c>
      <c r="W8" s="71" t="str">
        <f>[1]D!W8</f>
        <v>X</v>
      </c>
      <c r="X8" s="70">
        <f>[1]D!X8</f>
        <v>2</v>
      </c>
      <c r="Y8" s="70">
        <f>[1]D!Y8</f>
        <v>2</v>
      </c>
      <c r="Z8" s="70">
        <f>[1]D!Z8</f>
        <v>2</v>
      </c>
      <c r="AA8" s="72">
        <f>[1]D!AA8</f>
        <v>2</v>
      </c>
      <c r="AB8" s="72">
        <f>[1]D!AB8</f>
        <v>2</v>
      </c>
      <c r="AC8" s="72">
        <f>[1]D!AC8</f>
        <v>2</v>
      </c>
      <c r="AD8" s="71" t="str">
        <f>[1]D!AD8</f>
        <v>X</v>
      </c>
      <c r="AE8" s="71" t="str">
        <f>[1]D!AE8</f>
        <v>X</v>
      </c>
      <c r="AF8" s="70">
        <f>[1]D!AF8</f>
        <v>1</v>
      </c>
      <c r="AG8" s="76"/>
      <c r="AH8" s="16">
        <f t="shared" si="0"/>
        <v>1</v>
      </c>
      <c r="AI8" s="16">
        <f t="shared" si="1"/>
        <v>0</v>
      </c>
    </row>
    <row r="9" spans="1:35" ht="20.100000000000001" customHeight="1">
      <c r="A9" s="18" t="str">
        <f>ÖSSZES!$A$77</f>
        <v>Kiss Gyula</v>
      </c>
      <c r="B9" s="69" t="str">
        <f>[1]D!B9</f>
        <v>+</v>
      </c>
      <c r="C9" s="72">
        <f>[1]D!C9</f>
        <v>2</v>
      </c>
      <c r="D9" s="72">
        <f>[1]D!D9</f>
        <v>2</v>
      </c>
      <c r="E9" s="72">
        <f>[1]D!E9</f>
        <v>2</v>
      </c>
      <c r="F9" s="71" t="str">
        <f>[1]D!F9</f>
        <v>X</v>
      </c>
      <c r="G9" s="71" t="str">
        <f>[1]D!G9</f>
        <v>X</v>
      </c>
      <c r="H9" s="70">
        <f>[1]D!H9</f>
        <v>1</v>
      </c>
      <c r="I9" s="70">
        <f>[1]D!I9</f>
        <v>1</v>
      </c>
      <c r="J9" s="70">
        <f>[1]D!J9</f>
        <v>1</v>
      </c>
      <c r="K9" s="72">
        <f>[1]D!K9</f>
        <v>1</v>
      </c>
      <c r="L9" s="72">
        <f>[1]D!L9</f>
        <v>1</v>
      </c>
      <c r="M9" s="72">
        <f>[1]D!M9</f>
        <v>1</v>
      </c>
      <c r="N9" s="71" t="str">
        <f>[1]D!N9</f>
        <v>X</v>
      </c>
      <c r="O9" s="71" t="str">
        <f>[1]D!O9</f>
        <v>X</v>
      </c>
      <c r="P9" s="77" t="str">
        <f>[1]D!P9</f>
        <v>B</v>
      </c>
      <c r="Q9" s="77" t="str">
        <f>[1]D!Q9</f>
        <v>B</v>
      </c>
      <c r="R9" s="77" t="str">
        <f>[1]D!R9</f>
        <v>B</v>
      </c>
      <c r="S9" s="78" t="str">
        <f>[1]D!S9</f>
        <v>B</v>
      </c>
      <c r="T9" s="78" t="str">
        <f>[1]D!T9</f>
        <v>B</v>
      </c>
      <c r="U9" s="78" t="str">
        <f>[1]D!U9</f>
        <v>B</v>
      </c>
      <c r="V9" s="71" t="str">
        <f>[1]D!V9</f>
        <v>X</v>
      </c>
      <c r="W9" s="71" t="str">
        <f>[1]D!W9</f>
        <v>X</v>
      </c>
      <c r="X9" s="70">
        <f>[1]D!X9</f>
        <v>2</v>
      </c>
      <c r="Y9" s="70">
        <f>[1]D!Y9</f>
        <v>2</v>
      </c>
      <c r="Z9" s="70">
        <f>[1]D!Z9</f>
        <v>2</v>
      </c>
      <c r="AA9" s="72">
        <f>[1]D!AA9</f>
        <v>2</v>
      </c>
      <c r="AB9" s="72">
        <f>[1]D!AB9</f>
        <v>2</v>
      </c>
      <c r="AC9" s="72">
        <f>[1]D!AC9</f>
        <v>2</v>
      </c>
      <c r="AD9" s="71" t="str">
        <f>[1]D!AD9</f>
        <v>X</v>
      </c>
      <c r="AE9" s="71" t="str">
        <f>[1]D!AE9</f>
        <v>X</v>
      </c>
      <c r="AF9" s="70">
        <f>[1]D!AF9</f>
        <v>1</v>
      </c>
      <c r="AG9" s="76"/>
      <c r="AH9" s="16">
        <f t="shared" si="0"/>
        <v>1</v>
      </c>
      <c r="AI9" s="16">
        <f t="shared" si="1"/>
        <v>0</v>
      </c>
    </row>
    <row r="10" spans="1:35" ht="20.100000000000001" customHeight="1">
      <c r="A10" s="18" t="str">
        <f>ÖSSZES!$A$78</f>
        <v>Nagy István</v>
      </c>
      <c r="B10" s="69">
        <f>[1]D!B10</f>
        <v>2</v>
      </c>
      <c r="C10" s="72">
        <f>[1]D!C10</f>
        <v>2</v>
      </c>
      <c r="D10" s="72">
        <f>[1]D!D10</f>
        <v>2</v>
      </c>
      <c r="E10" s="72">
        <f>[1]D!E10</f>
        <v>2</v>
      </c>
      <c r="F10" s="71" t="str">
        <f>[1]D!F10</f>
        <v>X</v>
      </c>
      <c r="G10" s="71" t="str">
        <f>[1]D!G10</f>
        <v>X</v>
      </c>
      <c r="H10" s="70">
        <f>[1]D!H10</f>
        <v>1</v>
      </c>
      <c r="I10" s="70">
        <f>[1]D!I10</f>
        <v>1</v>
      </c>
      <c r="J10" s="70">
        <f>[1]D!J10</f>
        <v>1</v>
      </c>
      <c r="K10" s="72">
        <f>[1]D!K10</f>
        <v>1</v>
      </c>
      <c r="L10" s="72">
        <f>[1]D!L10</f>
        <v>1</v>
      </c>
      <c r="M10" s="72">
        <f>[1]D!M10</f>
        <v>1</v>
      </c>
      <c r="N10" s="71" t="str">
        <f>[1]D!N10</f>
        <v>X</v>
      </c>
      <c r="O10" s="71" t="str">
        <f>[1]D!O10</f>
        <v>X</v>
      </c>
      <c r="P10" s="70">
        <f>[1]D!P10</f>
        <v>3</v>
      </c>
      <c r="Q10" s="70">
        <f>[1]D!Q10</f>
        <v>3</v>
      </c>
      <c r="R10" s="70">
        <f>[1]D!R10</f>
        <v>3</v>
      </c>
      <c r="S10" s="72">
        <f>[1]D!S10</f>
        <v>3</v>
      </c>
      <c r="T10" s="72">
        <f>[1]D!T10</f>
        <v>3</v>
      </c>
      <c r="U10" s="72">
        <f>[1]D!U10</f>
        <v>3</v>
      </c>
      <c r="V10" s="71" t="str">
        <f>[1]D!V10</f>
        <v>X</v>
      </c>
      <c r="W10" s="71" t="str">
        <f>[1]D!W10</f>
        <v>X</v>
      </c>
      <c r="X10" s="70">
        <f>[1]D!X10</f>
        <v>2</v>
      </c>
      <c r="Y10" s="70">
        <f>[1]D!Y10</f>
        <v>2</v>
      </c>
      <c r="Z10" s="70">
        <f>[1]D!Z10</f>
        <v>2</v>
      </c>
      <c r="AA10" s="72">
        <f>[1]D!AA10</f>
        <v>2</v>
      </c>
      <c r="AB10" s="72">
        <f>[1]D!AB10</f>
        <v>2</v>
      </c>
      <c r="AC10" s="72">
        <f>[1]D!AC10</f>
        <v>2</v>
      </c>
      <c r="AD10" s="71" t="str">
        <f>[1]D!AD10</f>
        <v>X</v>
      </c>
      <c r="AE10" s="71" t="str">
        <f>[1]D!AE10</f>
        <v>X</v>
      </c>
      <c r="AF10" s="70">
        <f>[1]D!AF10</f>
        <v>1</v>
      </c>
      <c r="AG10" s="76"/>
      <c r="AH10" s="16">
        <f t="shared" si="0"/>
        <v>0</v>
      </c>
      <c r="AI10" s="16">
        <f t="shared" si="1"/>
        <v>0</v>
      </c>
    </row>
    <row r="11" spans="1:35" ht="20.100000000000001" hidden="1" customHeight="1">
      <c r="A11" s="18" t="str">
        <f>ÖSSZES!$A$79</f>
        <v>Fényi László</v>
      </c>
      <c r="B11" s="69">
        <f>[1]D!B11</f>
        <v>0</v>
      </c>
      <c r="C11" s="72">
        <f>[1]D!C11</f>
        <v>0</v>
      </c>
      <c r="D11" s="72">
        <f>[1]D!D11</f>
        <v>0</v>
      </c>
      <c r="E11" s="72">
        <f>[1]D!E11</f>
        <v>0</v>
      </c>
      <c r="F11" s="71">
        <f>[1]D!F11</f>
        <v>0</v>
      </c>
      <c r="G11" s="71">
        <f>[1]D!G11</f>
        <v>0</v>
      </c>
      <c r="H11" s="70">
        <f>[1]D!H11</f>
        <v>0</v>
      </c>
      <c r="I11" s="70">
        <f>[1]D!I11</f>
        <v>0</v>
      </c>
      <c r="J11" s="70">
        <f>[1]D!J11</f>
        <v>0</v>
      </c>
      <c r="K11" s="72">
        <f>[1]D!K11</f>
        <v>0</v>
      </c>
      <c r="L11" s="72">
        <f>[1]D!L11</f>
        <v>0</v>
      </c>
      <c r="M11" s="72">
        <f>[1]D!M11</f>
        <v>0</v>
      </c>
      <c r="N11" s="71">
        <f>[1]D!N11</f>
        <v>0</v>
      </c>
      <c r="O11" s="71">
        <f>[1]D!O11</f>
        <v>0</v>
      </c>
      <c r="P11" s="70">
        <f>[1]D!P11</f>
        <v>0</v>
      </c>
      <c r="Q11" s="70">
        <f>[1]D!Q11</f>
        <v>0</v>
      </c>
      <c r="R11" s="70">
        <f>[1]D!R11</f>
        <v>0</v>
      </c>
      <c r="S11" s="72">
        <f>[1]D!S11</f>
        <v>0</v>
      </c>
      <c r="T11" s="72">
        <f>[1]D!T11</f>
        <v>0</v>
      </c>
      <c r="U11" s="72" t="s">
        <v>114</v>
      </c>
      <c r="V11" s="71">
        <f>[1]D!V11</f>
        <v>0</v>
      </c>
      <c r="W11" s="71">
        <f>[1]D!W11</f>
        <v>0</v>
      </c>
      <c r="X11" s="70">
        <f>[1]D!X11</f>
        <v>0</v>
      </c>
      <c r="Y11" s="70">
        <f>[1]D!Y11</f>
        <v>0</v>
      </c>
      <c r="Z11" s="70">
        <f>[1]D!Z11</f>
        <v>0</v>
      </c>
      <c r="AA11" s="72">
        <f>[1]D!AA11</f>
        <v>0</v>
      </c>
      <c r="AB11" s="72">
        <f>[1]D!AB11</f>
        <v>0</v>
      </c>
      <c r="AC11" s="72">
        <f>[1]D!AC11</f>
        <v>0</v>
      </c>
      <c r="AD11" s="71">
        <f>[1]D!AD11</f>
        <v>0</v>
      </c>
      <c r="AE11" s="71">
        <f>[1]D!AE11</f>
        <v>0</v>
      </c>
      <c r="AF11" s="70">
        <f>[1]D!AF11</f>
        <v>0</v>
      </c>
      <c r="AG11" s="76"/>
      <c r="AH11" s="16">
        <f t="shared" si="0"/>
        <v>1</v>
      </c>
      <c r="AI11" s="16">
        <f t="shared" si="1"/>
        <v>0</v>
      </c>
    </row>
    <row r="12" spans="1:35" ht="20.100000000000001" hidden="1" customHeight="1">
      <c r="A12" s="18" t="str">
        <f>ÖSSZES!$A$80</f>
        <v>Név9</v>
      </c>
      <c r="B12" s="69"/>
      <c r="C12" s="72"/>
      <c r="D12" s="72"/>
      <c r="E12" s="72"/>
      <c r="F12" s="71" t="s">
        <v>2</v>
      </c>
      <c r="G12" s="71" t="s">
        <v>2</v>
      </c>
      <c r="H12" s="70"/>
      <c r="I12" s="70"/>
      <c r="J12" s="70"/>
      <c r="K12" s="72"/>
      <c r="L12" s="72"/>
      <c r="M12" s="72"/>
      <c r="N12" s="71" t="s">
        <v>2</v>
      </c>
      <c r="O12" s="71" t="s">
        <v>2</v>
      </c>
      <c r="P12" s="70"/>
      <c r="Q12" s="70"/>
      <c r="R12" s="70"/>
      <c r="S12" s="72"/>
      <c r="T12" s="72"/>
      <c r="U12" s="72"/>
      <c r="V12" s="71" t="s">
        <v>2</v>
      </c>
      <c r="W12" s="71" t="s">
        <v>2</v>
      </c>
      <c r="X12" s="70"/>
      <c r="Y12" s="70"/>
      <c r="Z12" s="70"/>
      <c r="AA12" s="72"/>
      <c r="AB12" s="72"/>
      <c r="AC12" s="72"/>
      <c r="AD12" s="71" t="s">
        <v>2</v>
      </c>
      <c r="AE12" s="71" t="s">
        <v>2</v>
      </c>
      <c r="AF12" s="70"/>
      <c r="AG12" s="76"/>
      <c r="AH12" s="16">
        <f t="shared" si="0"/>
        <v>0</v>
      </c>
      <c r="AI12" s="16">
        <f t="shared" si="1"/>
        <v>0</v>
      </c>
    </row>
    <row r="13" spans="1:35" ht="20.100000000000001" hidden="1" customHeight="1">
      <c r="A13" s="18" t="str">
        <f>ÖSSZES!$A$81</f>
        <v>Név10</v>
      </c>
      <c r="B13" s="69"/>
      <c r="C13" s="72"/>
      <c r="D13" s="72"/>
      <c r="E13" s="72"/>
      <c r="F13" s="71" t="s">
        <v>2</v>
      </c>
      <c r="G13" s="71" t="s">
        <v>2</v>
      </c>
      <c r="H13" s="70"/>
      <c r="I13" s="70"/>
      <c r="J13" s="70"/>
      <c r="K13" s="72"/>
      <c r="L13" s="72"/>
      <c r="M13" s="72"/>
      <c r="N13" s="71" t="s">
        <v>2</v>
      </c>
      <c r="O13" s="71" t="s">
        <v>2</v>
      </c>
      <c r="P13" s="70"/>
      <c r="Q13" s="70"/>
      <c r="R13" s="70"/>
      <c r="S13" s="72"/>
      <c r="T13" s="72"/>
      <c r="U13" s="72"/>
      <c r="V13" s="71" t="s">
        <v>2</v>
      </c>
      <c r="W13" s="71" t="s">
        <v>2</v>
      </c>
      <c r="X13" s="70"/>
      <c r="Y13" s="70"/>
      <c r="Z13" s="70"/>
      <c r="AA13" s="72"/>
      <c r="AB13" s="72"/>
      <c r="AC13" s="72"/>
      <c r="AD13" s="71" t="s">
        <v>2</v>
      </c>
      <c r="AE13" s="71" t="s">
        <v>2</v>
      </c>
      <c r="AF13" s="70"/>
      <c r="AG13" s="76"/>
      <c r="AH13" s="16">
        <f t="shared" si="0"/>
        <v>0</v>
      </c>
      <c r="AI13" s="16">
        <f t="shared" si="1"/>
        <v>0</v>
      </c>
    </row>
    <row r="14" spans="1:35" ht="20.100000000000001" hidden="1" customHeight="1">
      <c r="A14" s="18" t="str">
        <f>ÖSSZES!$A$82</f>
        <v>Név11</v>
      </c>
      <c r="B14" s="69"/>
      <c r="C14" s="72"/>
      <c r="D14" s="72"/>
      <c r="E14" s="72"/>
      <c r="F14" s="71" t="s">
        <v>2</v>
      </c>
      <c r="G14" s="71" t="s">
        <v>2</v>
      </c>
      <c r="H14" s="70"/>
      <c r="I14" s="70"/>
      <c r="J14" s="70"/>
      <c r="K14" s="72"/>
      <c r="L14" s="72"/>
      <c r="M14" s="72"/>
      <c r="N14" s="71" t="s">
        <v>2</v>
      </c>
      <c r="O14" s="71" t="s">
        <v>2</v>
      </c>
      <c r="P14" s="70"/>
      <c r="Q14" s="70"/>
      <c r="R14" s="70"/>
      <c r="S14" s="72"/>
      <c r="T14" s="72"/>
      <c r="U14" s="72"/>
      <c r="V14" s="71" t="s">
        <v>2</v>
      </c>
      <c r="W14" s="71" t="s">
        <v>2</v>
      </c>
      <c r="X14" s="70"/>
      <c r="Y14" s="70"/>
      <c r="Z14" s="70"/>
      <c r="AA14" s="72"/>
      <c r="AB14" s="72"/>
      <c r="AC14" s="72"/>
      <c r="AD14" s="71" t="s">
        <v>2</v>
      </c>
      <c r="AE14" s="71" t="s">
        <v>2</v>
      </c>
      <c r="AF14" s="70"/>
      <c r="AG14" s="76"/>
      <c r="AH14" s="16">
        <f t="shared" si="0"/>
        <v>0</v>
      </c>
      <c r="AI14" s="16">
        <f t="shared" si="1"/>
        <v>0</v>
      </c>
    </row>
    <row r="15" spans="1:35" ht="20.100000000000001" hidden="1" customHeight="1">
      <c r="A15" s="18" t="str">
        <f>ÖSSZES!$A$83</f>
        <v>Név12</v>
      </c>
      <c r="B15" s="69"/>
      <c r="C15" s="72"/>
      <c r="D15" s="72"/>
      <c r="E15" s="72"/>
      <c r="F15" s="71" t="s">
        <v>2</v>
      </c>
      <c r="G15" s="71" t="s">
        <v>2</v>
      </c>
      <c r="H15" s="70"/>
      <c r="I15" s="70"/>
      <c r="J15" s="70"/>
      <c r="K15" s="72"/>
      <c r="L15" s="72"/>
      <c r="M15" s="72"/>
      <c r="N15" s="71" t="s">
        <v>2</v>
      </c>
      <c r="O15" s="71" t="s">
        <v>2</v>
      </c>
      <c r="P15" s="70"/>
      <c r="Q15" s="70"/>
      <c r="R15" s="70"/>
      <c r="S15" s="72"/>
      <c r="T15" s="72"/>
      <c r="U15" s="72"/>
      <c r="V15" s="71" t="s">
        <v>2</v>
      </c>
      <c r="W15" s="71" t="s">
        <v>2</v>
      </c>
      <c r="X15" s="70"/>
      <c r="Y15" s="70"/>
      <c r="Z15" s="70"/>
      <c r="AA15" s="72"/>
      <c r="AB15" s="72"/>
      <c r="AC15" s="72"/>
      <c r="AD15" s="71" t="s">
        <v>2</v>
      </c>
      <c r="AE15" s="71" t="s">
        <v>2</v>
      </c>
      <c r="AF15" s="70"/>
      <c r="AG15" s="76"/>
      <c r="AH15" s="16">
        <f t="shared" si="0"/>
        <v>0</v>
      </c>
      <c r="AI15" s="16">
        <f t="shared" si="1"/>
        <v>0</v>
      </c>
    </row>
    <row r="16" spans="1:35" ht="20.100000000000001" hidden="1" customHeight="1">
      <c r="A16" s="18" t="str">
        <f>ÖSSZES!$A$84</f>
        <v>Név13</v>
      </c>
      <c r="B16" s="69"/>
      <c r="C16" s="72"/>
      <c r="D16" s="72"/>
      <c r="E16" s="72"/>
      <c r="F16" s="71" t="s">
        <v>2</v>
      </c>
      <c r="G16" s="71" t="s">
        <v>2</v>
      </c>
      <c r="H16" s="70"/>
      <c r="I16" s="70"/>
      <c r="J16" s="70"/>
      <c r="K16" s="72"/>
      <c r="L16" s="72"/>
      <c r="M16" s="72"/>
      <c r="N16" s="71" t="s">
        <v>2</v>
      </c>
      <c r="O16" s="71" t="s">
        <v>2</v>
      </c>
      <c r="P16" s="70"/>
      <c r="Q16" s="70"/>
      <c r="R16" s="70"/>
      <c r="S16" s="72"/>
      <c r="T16" s="72"/>
      <c r="U16" s="72"/>
      <c r="V16" s="71" t="s">
        <v>2</v>
      </c>
      <c r="W16" s="71" t="s">
        <v>2</v>
      </c>
      <c r="X16" s="70"/>
      <c r="Y16" s="70"/>
      <c r="Z16" s="70"/>
      <c r="AA16" s="72"/>
      <c r="AB16" s="72"/>
      <c r="AC16" s="72"/>
      <c r="AD16" s="71" t="s">
        <v>2</v>
      </c>
      <c r="AE16" s="71" t="s">
        <v>2</v>
      </c>
      <c r="AF16" s="70"/>
      <c r="AG16" s="76"/>
      <c r="AH16" s="16">
        <f t="shared" si="0"/>
        <v>0</v>
      </c>
      <c r="AI16" s="16">
        <f t="shared" si="1"/>
        <v>0</v>
      </c>
    </row>
    <row r="17" spans="1:35" ht="20.100000000000001" hidden="1" customHeight="1">
      <c r="A17" s="18" t="str">
        <f>ÖSSZES!$A$85</f>
        <v>Név14</v>
      </c>
      <c r="B17" s="69"/>
      <c r="C17" s="72"/>
      <c r="D17" s="72"/>
      <c r="E17" s="72"/>
      <c r="F17" s="71" t="s">
        <v>2</v>
      </c>
      <c r="G17" s="71" t="s">
        <v>2</v>
      </c>
      <c r="H17" s="70"/>
      <c r="I17" s="70"/>
      <c r="J17" s="70"/>
      <c r="K17" s="72"/>
      <c r="L17" s="72"/>
      <c r="M17" s="72"/>
      <c r="N17" s="71" t="s">
        <v>2</v>
      </c>
      <c r="O17" s="71" t="s">
        <v>2</v>
      </c>
      <c r="P17" s="70"/>
      <c r="Q17" s="70"/>
      <c r="R17" s="70"/>
      <c r="S17" s="72"/>
      <c r="T17" s="72"/>
      <c r="U17" s="72"/>
      <c r="V17" s="71" t="s">
        <v>2</v>
      </c>
      <c r="W17" s="71" t="s">
        <v>2</v>
      </c>
      <c r="X17" s="70"/>
      <c r="Y17" s="70"/>
      <c r="Z17" s="70"/>
      <c r="AA17" s="72"/>
      <c r="AB17" s="72"/>
      <c r="AC17" s="72"/>
      <c r="AD17" s="71" t="s">
        <v>2</v>
      </c>
      <c r="AE17" s="71" t="s">
        <v>2</v>
      </c>
      <c r="AF17" s="70"/>
      <c r="AG17" s="76"/>
      <c r="AH17" s="16">
        <f t="shared" si="0"/>
        <v>0</v>
      </c>
      <c r="AI17" s="16">
        <f t="shared" si="1"/>
        <v>0</v>
      </c>
    </row>
    <row r="18" spans="1:35" ht="20.100000000000001" hidden="1" customHeight="1">
      <c r="A18" s="18" t="str">
        <f>ÖSSZES!$A$86</f>
        <v>Név15</v>
      </c>
      <c r="B18" s="69"/>
      <c r="C18" s="72"/>
      <c r="D18" s="72"/>
      <c r="E18" s="72"/>
      <c r="F18" s="71" t="s">
        <v>2</v>
      </c>
      <c r="G18" s="71" t="s">
        <v>2</v>
      </c>
      <c r="H18" s="70"/>
      <c r="I18" s="70"/>
      <c r="J18" s="70"/>
      <c r="K18" s="72"/>
      <c r="L18" s="72"/>
      <c r="M18" s="72"/>
      <c r="N18" s="71" t="s">
        <v>2</v>
      </c>
      <c r="O18" s="71" t="s">
        <v>2</v>
      </c>
      <c r="P18" s="70"/>
      <c r="Q18" s="70"/>
      <c r="R18" s="70"/>
      <c r="S18" s="72"/>
      <c r="T18" s="72"/>
      <c r="U18" s="72"/>
      <c r="V18" s="71" t="s">
        <v>2</v>
      </c>
      <c r="W18" s="71" t="s">
        <v>2</v>
      </c>
      <c r="X18" s="70"/>
      <c r="Y18" s="70"/>
      <c r="Z18" s="70"/>
      <c r="AA18" s="72"/>
      <c r="AB18" s="72"/>
      <c r="AC18" s="72"/>
      <c r="AD18" s="71" t="s">
        <v>2</v>
      </c>
      <c r="AE18" s="71" t="s">
        <v>2</v>
      </c>
      <c r="AF18" s="70"/>
      <c r="AG18" s="76"/>
      <c r="AH18" s="16">
        <f t="shared" si="0"/>
        <v>0</v>
      </c>
      <c r="AI18" s="16">
        <f t="shared" si="1"/>
        <v>0</v>
      </c>
    </row>
    <row r="19" spans="1:35" ht="20.100000000000001" hidden="1" customHeight="1">
      <c r="A19" s="18" t="str">
        <f>ÖSSZES!$A$87</f>
        <v>Név16</v>
      </c>
      <c r="B19" s="69"/>
      <c r="C19" s="72"/>
      <c r="D19" s="72"/>
      <c r="E19" s="72"/>
      <c r="F19" s="71" t="s">
        <v>2</v>
      </c>
      <c r="G19" s="71" t="s">
        <v>2</v>
      </c>
      <c r="H19" s="70"/>
      <c r="I19" s="70"/>
      <c r="J19" s="70"/>
      <c r="K19" s="72"/>
      <c r="L19" s="72"/>
      <c r="M19" s="72"/>
      <c r="N19" s="71" t="s">
        <v>2</v>
      </c>
      <c r="O19" s="71" t="s">
        <v>2</v>
      </c>
      <c r="P19" s="70"/>
      <c r="Q19" s="70"/>
      <c r="R19" s="70"/>
      <c r="S19" s="72"/>
      <c r="T19" s="72"/>
      <c r="U19" s="72"/>
      <c r="V19" s="71" t="s">
        <v>2</v>
      </c>
      <c r="W19" s="71" t="s">
        <v>2</v>
      </c>
      <c r="X19" s="70"/>
      <c r="Y19" s="70"/>
      <c r="Z19" s="70"/>
      <c r="AA19" s="72"/>
      <c r="AB19" s="72"/>
      <c r="AC19" s="72"/>
      <c r="AD19" s="71" t="s">
        <v>2</v>
      </c>
      <c r="AE19" s="71" t="s">
        <v>2</v>
      </c>
      <c r="AF19" s="70"/>
      <c r="AG19" s="76"/>
      <c r="AH19" s="16">
        <f t="shared" si="0"/>
        <v>0</v>
      </c>
      <c r="AI19" s="16">
        <f t="shared" si="1"/>
        <v>0</v>
      </c>
    </row>
    <row r="20" spans="1:35" ht="20.100000000000001" hidden="1" customHeight="1">
      <c r="A20" s="18" t="str">
        <f>ÖSSZES!$A$88</f>
        <v>Név17</v>
      </c>
      <c r="B20" s="69"/>
      <c r="C20" s="72"/>
      <c r="D20" s="72"/>
      <c r="E20" s="72"/>
      <c r="F20" s="71" t="s">
        <v>2</v>
      </c>
      <c r="G20" s="71" t="s">
        <v>2</v>
      </c>
      <c r="H20" s="70"/>
      <c r="I20" s="70"/>
      <c r="J20" s="70"/>
      <c r="K20" s="72"/>
      <c r="L20" s="72"/>
      <c r="M20" s="72"/>
      <c r="N20" s="71" t="s">
        <v>2</v>
      </c>
      <c r="O20" s="71" t="s">
        <v>2</v>
      </c>
      <c r="P20" s="70"/>
      <c r="Q20" s="70"/>
      <c r="R20" s="70"/>
      <c r="S20" s="72"/>
      <c r="T20" s="72"/>
      <c r="U20" s="72"/>
      <c r="V20" s="71" t="s">
        <v>2</v>
      </c>
      <c r="W20" s="71" t="s">
        <v>2</v>
      </c>
      <c r="X20" s="70"/>
      <c r="Y20" s="70"/>
      <c r="Z20" s="70"/>
      <c r="AA20" s="72"/>
      <c r="AB20" s="72"/>
      <c r="AC20" s="72"/>
      <c r="AD20" s="71" t="s">
        <v>2</v>
      </c>
      <c r="AE20" s="71" t="s">
        <v>2</v>
      </c>
      <c r="AF20" s="70"/>
      <c r="AG20" s="76"/>
      <c r="AH20" s="16">
        <f t="shared" si="0"/>
        <v>0</v>
      </c>
      <c r="AI20" s="16">
        <f t="shared" si="1"/>
        <v>0</v>
      </c>
    </row>
    <row r="21" spans="1:35" ht="20.100000000000001" hidden="1" customHeight="1">
      <c r="A21" s="18" t="str">
        <f>ÖSSZES!$A$89</f>
        <v>Név18</v>
      </c>
      <c r="B21" s="69"/>
      <c r="C21" s="72"/>
      <c r="D21" s="72"/>
      <c r="E21" s="72"/>
      <c r="F21" s="71" t="s">
        <v>2</v>
      </c>
      <c r="G21" s="71" t="s">
        <v>2</v>
      </c>
      <c r="H21" s="70"/>
      <c r="I21" s="70"/>
      <c r="J21" s="70"/>
      <c r="K21" s="72"/>
      <c r="L21" s="72"/>
      <c r="M21" s="72"/>
      <c r="N21" s="71" t="s">
        <v>2</v>
      </c>
      <c r="O21" s="71" t="s">
        <v>2</v>
      </c>
      <c r="P21" s="70"/>
      <c r="Q21" s="70"/>
      <c r="R21" s="70"/>
      <c r="S21" s="72"/>
      <c r="T21" s="72"/>
      <c r="U21" s="72"/>
      <c r="V21" s="71" t="s">
        <v>2</v>
      </c>
      <c r="W21" s="71" t="s">
        <v>2</v>
      </c>
      <c r="X21" s="70"/>
      <c r="Y21" s="70"/>
      <c r="Z21" s="70"/>
      <c r="AA21" s="72"/>
      <c r="AB21" s="72"/>
      <c r="AC21" s="72"/>
      <c r="AD21" s="71" t="s">
        <v>2</v>
      </c>
      <c r="AE21" s="71" t="s">
        <v>2</v>
      </c>
      <c r="AF21" s="70"/>
      <c r="AG21" s="76"/>
      <c r="AH21" s="16">
        <f t="shared" si="0"/>
        <v>0</v>
      </c>
      <c r="AI21" s="16">
        <f t="shared" si="1"/>
        <v>0</v>
      </c>
    </row>
    <row r="22" spans="1:35" ht="20.100000000000001" hidden="1" customHeight="1">
      <c r="A22" s="18" t="str">
        <f>ÖSSZES!$A$90</f>
        <v>Név19</v>
      </c>
      <c r="B22" s="69"/>
      <c r="C22" s="72"/>
      <c r="D22" s="72"/>
      <c r="E22" s="72"/>
      <c r="F22" s="71" t="s">
        <v>2</v>
      </c>
      <c r="G22" s="71" t="s">
        <v>2</v>
      </c>
      <c r="H22" s="70"/>
      <c r="I22" s="70"/>
      <c r="J22" s="70"/>
      <c r="K22" s="72"/>
      <c r="L22" s="72"/>
      <c r="M22" s="72"/>
      <c r="N22" s="71" t="s">
        <v>2</v>
      </c>
      <c r="O22" s="71" t="s">
        <v>2</v>
      </c>
      <c r="P22" s="70"/>
      <c r="Q22" s="70"/>
      <c r="R22" s="70"/>
      <c r="S22" s="72"/>
      <c r="T22" s="72"/>
      <c r="U22" s="72"/>
      <c r="V22" s="71" t="s">
        <v>2</v>
      </c>
      <c r="W22" s="71" t="s">
        <v>2</v>
      </c>
      <c r="X22" s="70"/>
      <c r="Y22" s="70"/>
      <c r="Z22" s="70"/>
      <c r="AA22" s="72"/>
      <c r="AB22" s="72"/>
      <c r="AC22" s="72"/>
      <c r="AD22" s="71" t="s">
        <v>2</v>
      </c>
      <c r="AE22" s="71" t="s">
        <v>2</v>
      </c>
      <c r="AF22" s="70"/>
      <c r="AG22" s="76"/>
      <c r="AH22" s="16">
        <f t="shared" si="0"/>
        <v>0</v>
      </c>
      <c r="AI22" s="16">
        <f t="shared" si="1"/>
        <v>0</v>
      </c>
    </row>
    <row r="23" spans="1:35" ht="20.100000000000001" hidden="1" customHeight="1">
      <c r="A23" s="18" t="str">
        <f>ÖSSZES!$A$91</f>
        <v>Név20</v>
      </c>
      <c r="B23" s="69"/>
      <c r="C23" s="72"/>
      <c r="D23" s="72"/>
      <c r="E23" s="72"/>
      <c r="F23" s="71" t="s">
        <v>2</v>
      </c>
      <c r="G23" s="71" t="s">
        <v>2</v>
      </c>
      <c r="H23" s="70"/>
      <c r="I23" s="70"/>
      <c r="J23" s="70"/>
      <c r="K23" s="72"/>
      <c r="L23" s="72"/>
      <c r="M23" s="72"/>
      <c r="N23" s="71" t="s">
        <v>2</v>
      </c>
      <c r="O23" s="71" t="s">
        <v>2</v>
      </c>
      <c r="P23" s="70"/>
      <c r="Q23" s="70"/>
      <c r="R23" s="70"/>
      <c r="S23" s="72"/>
      <c r="T23" s="72"/>
      <c r="U23" s="72"/>
      <c r="V23" s="71" t="s">
        <v>2</v>
      </c>
      <c r="W23" s="71" t="s">
        <v>2</v>
      </c>
      <c r="X23" s="70"/>
      <c r="Y23" s="70"/>
      <c r="Z23" s="70"/>
      <c r="AA23" s="72"/>
      <c r="AB23" s="72"/>
      <c r="AC23" s="72"/>
      <c r="AD23" s="71" t="s">
        <v>2</v>
      </c>
      <c r="AE23" s="71" t="s">
        <v>2</v>
      </c>
      <c r="AF23" s="70"/>
      <c r="AG23" s="76"/>
      <c r="AH23" s="16">
        <f t="shared" si="0"/>
        <v>0</v>
      </c>
      <c r="AI23" s="16">
        <f t="shared" si="1"/>
        <v>0</v>
      </c>
    </row>
    <row r="24" spans="1:35" ht="20.100000000000001" customHeight="1">
      <c r="A24" s="2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76"/>
    </row>
    <row r="25" spans="1:35" s="6" customFormat="1" ht="20.100000000000001" customHeight="1">
      <c r="A25" s="88" t="s">
        <v>6</v>
      </c>
      <c r="B25" s="67">
        <v>1</v>
      </c>
      <c r="C25" s="67">
        <v>2</v>
      </c>
      <c r="D25" s="67">
        <v>3</v>
      </c>
      <c r="E25" s="67">
        <v>4</v>
      </c>
      <c r="F25" s="67">
        <v>5</v>
      </c>
      <c r="G25" s="67">
        <v>6</v>
      </c>
      <c r="H25" s="67">
        <v>7</v>
      </c>
      <c r="I25" s="67">
        <v>8</v>
      </c>
      <c r="J25" s="67">
        <v>9</v>
      </c>
      <c r="K25" s="67">
        <v>10</v>
      </c>
      <c r="L25" s="67">
        <v>11</v>
      </c>
      <c r="M25" s="67">
        <v>12</v>
      </c>
      <c r="N25" s="67">
        <v>13</v>
      </c>
      <c r="O25" s="67">
        <v>14</v>
      </c>
      <c r="P25" s="67">
        <v>15</v>
      </c>
      <c r="Q25" s="67">
        <v>16</v>
      </c>
      <c r="R25" s="67">
        <v>17</v>
      </c>
      <c r="S25" s="67">
        <v>18</v>
      </c>
      <c r="T25" s="67">
        <v>19</v>
      </c>
      <c r="U25" s="67">
        <v>20</v>
      </c>
      <c r="V25" s="67">
        <v>21</v>
      </c>
      <c r="W25" s="67">
        <v>22</v>
      </c>
      <c r="X25" s="67">
        <v>23</v>
      </c>
      <c r="Y25" s="67">
        <v>24</v>
      </c>
      <c r="Z25" s="67">
        <v>25</v>
      </c>
      <c r="AA25" s="67">
        <v>26</v>
      </c>
      <c r="AB25" s="67">
        <v>27</v>
      </c>
      <c r="AC25" s="67">
        <v>28</v>
      </c>
      <c r="AD25" s="67">
        <v>29</v>
      </c>
      <c r="AE25" s="75"/>
      <c r="AF25" s="75"/>
      <c r="AG25" s="75"/>
      <c r="AH25" s="93" t="s">
        <v>18</v>
      </c>
      <c r="AI25" s="93" t="s">
        <v>19</v>
      </c>
    </row>
    <row r="26" spans="1:35" ht="20.100000000000001" customHeight="1">
      <c r="A26" s="95"/>
      <c r="B26" s="68" t="str">
        <f>'2020'!B12</f>
        <v>Szo</v>
      </c>
      <c r="C26" s="68" t="str">
        <f>'2020'!C12</f>
        <v>V</v>
      </c>
      <c r="D26" s="68" t="str">
        <f>'2020'!D12</f>
        <v>H</v>
      </c>
      <c r="E26" s="68" t="str">
        <f>'2020'!E12</f>
        <v>K</v>
      </c>
      <c r="F26" s="68" t="str">
        <f>'2020'!F12</f>
        <v>Sze</v>
      </c>
      <c r="G26" s="68" t="str">
        <f>'2020'!G12</f>
        <v>Cs</v>
      </c>
      <c r="H26" s="68" t="str">
        <f>'2020'!H12</f>
        <v>P</v>
      </c>
      <c r="I26" s="68" t="str">
        <f>'2020'!I12</f>
        <v>Szo</v>
      </c>
      <c r="J26" s="68" t="str">
        <f>'2020'!J12</f>
        <v>V</v>
      </c>
      <c r="K26" s="68" t="str">
        <f>'2020'!K12</f>
        <v>H</v>
      </c>
      <c r="L26" s="68" t="str">
        <f>'2020'!L12</f>
        <v>K</v>
      </c>
      <c r="M26" s="68" t="str">
        <f>'2020'!M12</f>
        <v>Sze</v>
      </c>
      <c r="N26" s="68" t="str">
        <f>'2020'!N12</f>
        <v>Cs</v>
      </c>
      <c r="O26" s="68" t="str">
        <f>'2020'!O12</f>
        <v>P</v>
      </c>
      <c r="P26" s="68" t="str">
        <f>'2020'!P12</f>
        <v>Szo</v>
      </c>
      <c r="Q26" s="68" t="str">
        <f>'2020'!Q12</f>
        <v>V</v>
      </c>
      <c r="R26" s="68" t="str">
        <f>'2020'!R12</f>
        <v>H</v>
      </c>
      <c r="S26" s="68" t="str">
        <f>'2020'!S12</f>
        <v>K</v>
      </c>
      <c r="T26" s="68" t="str">
        <f>'2020'!T12</f>
        <v>Sze</v>
      </c>
      <c r="U26" s="68" t="str">
        <f>'2020'!U12</f>
        <v>Cs</v>
      </c>
      <c r="V26" s="68" t="str">
        <f>'2020'!V12</f>
        <v>P</v>
      </c>
      <c r="W26" s="68" t="str">
        <f>'2020'!W12</f>
        <v>Szo</v>
      </c>
      <c r="X26" s="68" t="str">
        <f>'2020'!X12</f>
        <v>V</v>
      </c>
      <c r="Y26" s="68" t="str">
        <f>'2020'!Y12</f>
        <v>H</v>
      </c>
      <c r="Z26" s="68" t="str">
        <f>'2020'!Z12</f>
        <v>K</v>
      </c>
      <c r="AA26" s="68" t="str">
        <f>'2020'!AA12</f>
        <v>Sze</v>
      </c>
      <c r="AB26" s="68" t="str">
        <f>'2020'!AB12</f>
        <v>Cs</v>
      </c>
      <c r="AC26" s="68" t="str">
        <f>'2020'!AC12</f>
        <v>P</v>
      </c>
      <c r="AD26" s="68" t="str">
        <f>'2020'!AD12</f>
        <v>Szo</v>
      </c>
      <c r="AE26" s="76"/>
      <c r="AF26" s="76"/>
      <c r="AG26" s="76"/>
      <c r="AH26" s="94"/>
      <c r="AI26" s="94"/>
    </row>
    <row r="27" spans="1:35" ht="20.100000000000001" customHeight="1">
      <c r="A27" s="95"/>
      <c r="B27" s="68">
        <f>'2020'!B16</f>
        <v>1</v>
      </c>
      <c r="C27" s="68">
        <f>'2020'!C16</f>
        <v>1</v>
      </c>
      <c r="D27" s="68">
        <f>'2020'!D16</f>
        <v>1</v>
      </c>
      <c r="E27" s="68">
        <f>'2020'!E16</f>
        <v>1</v>
      </c>
      <c r="F27" s="68">
        <f>'2020'!F16</f>
        <v>1</v>
      </c>
      <c r="G27" s="68" t="str">
        <f>'2020'!G16</f>
        <v>X</v>
      </c>
      <c r="H27" s="68" t="str">
        <f>'2020'!H16</f>
        <v>X</v>
      </c>
      <c r="I27" s="68">
        <f>'2020'!I16</f>
        <v>3</v>
      </c>
      <c r="J27" s="68">
        <f>'2020'!J16</f>
        <v>3</v>
      </c>
      <c r="K27" s="68">
        <f>'2020'!K16</f>
        <v>3</v>
      </c>
      <c r="L27" s="68">
        <f>'2020'!L16</f>
        <v>3</v>
      </c>
      <c r="M27" s="68">
        <f>'2020'!M16</f>
        <v>3</v>
      </c>
      <c r="N27" s="68">
        <f>'2020'!N16</f>
        <v>3</v>
      </c>
      <c r="O27" s="68" t="str">
        <f>'2020'!O16</f>
        <v>X</v>
      </c>
      <c r="P27" s="68" t="str">
        <f>'2020'!P16</f>
        <v>X</v>
      </c>
      <c r="Q27" s="68">
        <f>'2020'!Q16</f>
        <v>2</v>
      </c>
      <c r="R27" s="68">
        <f>'2020'!R16</f>
        <v>2</v>
      </c>
      <c r="S27" s="68">
        <f>'2020'!S16</f>
        <v>2</v>
      </c>
      <c r="T27" s="68">
        <f>'2020'!T16</f>
        <v>2</v>
      </c>
      <c r="U27" s="68">
        <f>'2020'!U16</f>
        <v>2</v>
      </c>
      <c r="V27" s="68">
        <f>'2020'!V16</f>
        <v>2</v>
      </c>
      <c r="W27" s="68" t="str">
        <f>'2020'!W16</f>
        <v>X</v>
      </c>
      <c r="X27" s="68" t="str">
        <f>'2020'!X16</f>
        <v>X</v>
      </c>
      <c r="Y27" s="68">
        <f>'2020'!Y16</f>
        <v>1</v>
      </c>
      <c r="Z27" s="68">
        <f>'2020'!Z16</f>
        <v>1</v>
      </c>
      <c r="AA27" s="68">
        <f>'2020'!AA16</f>
        <v>1</v>
      </c>
      <c r="AB27" s="68">
        <f>'2020'!AB16</f>
        <v>1</v>
      </c>
      <c r="AC27" s="68">
        <f>'2020'!AC16</f>
        <v>1</v>
      </c>
      <c r="AD27" s="68">
        <f>'2020'!AD16</f>
        <v>1</v>
      </c>
      <c r="AE27" s="76"/>
      <c r="AF27" s="76"/>
      <c r="AG27" s="76"/>
      <c r="AH27" s="94"/>
      <c r="AI27" s="94"/>
    </row>
    <row r="28" spans="1:35" ht="20.100000000000001" customHeight="1">
      <c r="A28" s="18" t="str">
        <f>ÖSSZES!$A$72</f>
        <v>Daku Gábor</v>
      </c>
      <c r="B28" s="80">
        <f>[1]D!B15</f>
        <v>1</v>
      </c>
      <c r="C28" s="80">
        <f>[1]D!C15</f>
        <v>1</v>
      </c>
      <c r="D28" s="80">
        <f>[1]D!D15</f>
        <v>1</v>
      </c>
      <c r="E28" s="80">
        <f>[1]D!E15</f>
        <v>1</v>
      </c>
      <c r="F28" s="80">
        <f>[1]D!F15</f>
        <v>1</v>
      </c>
      <c r="G28" s="81" t="str">
        <f>[1]D!G15</f>
        <v>X</v>
      </c>
      <c r="H28" s="81" t="str">
        <f>[1]D!H15</f>
        <v>X</v>
      </c>
      <c r="I28" s="80" t="s">
        <v>114</v>
      </c>
      <c r="J28" s="80" t="s">
        <v>20</v>
      </c>
      <c r="K28" s="80" t="s">
        <v>20</v>
      </c>
      <c r="L28" s="80">
        <f>[1]D!L15</f>
        <v>3</v>
      </c>
      <c r="M28" s="80">
        <f>[1]D!M15</f>
        <v>3</v>
      </c>
      <c r="N28" s="80">
        <f>[1]D!N15</f>
        <v>3</v>
      </c>
      <c r="O28" s="81" t="str">
        <f>[1]D!O15</f>
        <v>X</v>
      </c>
      <c r="P28" s="81" t="str">
        <f>[1]D!P15</f>
        <v>X</v>
      </c>
      <c r="Q28" s="80">
        <f>[1]D!Q15</f>
        <v>2</v>
      </c>
      <c r="R28" s="80">
        <f>[1]D!R15</f>
        <v>2</v>
      </c>
      <c r="S28" s="80">
        <f>[1]D!S15</f>
        <v>2</v>
      </c>
      <c r="T28" s="80">
        <f>[1]D!T15</f>
        <v>2</v>
      </c>
      <c r="U28" s="80">
        <f>[1]D!U15</f>
        <v>2</v>
      </c>
      <c r="V28" s="80">
        <f>[1]D!V15</f>
        <v>2</v>
      </c>
      <c r="W28" s="81" t="str">
        <f>[1]D!W15</f>
        <v>X</v>
      </c>
      <c r="X28" s="81" t="str">
        <f>[1]D!X15</f>
        <v>X</v>
      </c>
      <c r="Y28" s="80">
        <f>[1]D!Y15</f>
        <v>1</v>
      </c>
      <c r="Z28" s="80">
        <f>[1]D!Z15</f>
        <v>1</v>
      </c>
      <c r="AA28" s="80">
        <f>[1]D!AA15</f>
        <v>1</v>
      </c>
      <c r="AB28" s="80">
        <f>[1]D!AB15</f>
        <v>1</v>
      </c>
      <c r="AC28" s="80">
        <f>[1]D!AC15</f>
        <v>1</v>
      </c>
      <c r="AD28" s="80">
        <f>[1]D!AD15</f>
        <v>1</v>
      </c>
      <c r="AE28" s="76"/>
      <c r="AF28" s="76"/>
      <c r="AG28" s="76"/>
      <c r="AH28" s="16">
        <f>1*COUNTIF(A28:AF28,"+")</f>
        <v>1</v>
      </c>
      <c r="AI28" s="16">
        <f t="shared" ref="AI28" si="2">1*COUNTIF(B28:AF28,"szf")</f>
        <v>2</v>
      </c>
    </row>
    <row r="29" spans="1:35" ht="20.100000000000001" customHeight="1">
      <c r="A29" s="18" t="str">
        <f>ÖSSZES!$A$73</f>
        <v>Borbély Csaba</v>
      </c>
      <c r="B29" s="80" t="s">
        <v>114</v>
      </c>
      <c r="C29" s="80">
        <f>[1]D!C16</f>
        <v>1</v>
      </c>
      <c r="D29" s="80">
        <f>[1]D!D16</f>
        <v>1</v>
      </c>
      <c r="E29" s="80">
        <f>[1]D!E16</f>
        <v>1</v>
      </c>
      <c r="F29" s="80">
        <f>[1]D!F16</f>
        <v>1</v>
      </c>
      <c r="G29" s="81" t="str">
        <f>[1]D!G16</f>
        <v>X</v>
      </c>
      <c r="H29" s="81" t="str">
        <f>[1]D!H16</f>
        <v>X</v>
      </c>
      <c r="I29" s="80">
        <f>[1]D!I16</f>
        <v>3</v>
      </c>
      <c r="J29" s="80">
        <f>[1]D!J16</f>
        <v>3</v>
      </c>
      <c r="K29" s="80">
        <f>[1]D!K16</f>
        <v>3</v>
      </c>
      <c r="L29" s="80">
        <f>[1]D!L16</f>
        <v>3</v>
      </c>
      <c r="M29" s="80">
        <f>[1]D!M16</f>
        <v>3</v>
      </c>
      <c r="N29" s="80">
        <f>[1]D!N16</f>
        <v>3</v>
      </c>
      <c r="O29" s="81" t="str">
        <f>[1]D!O16</f>
        <v>X</v>
      </c>
      <c r="P29" s="81" t="str">
        <f>[1]D!P16</f>
        <v>X</v>
      </c>
      <c r="Q29" s="80" t="s">
        <v>114</v>
      </c>
      <c r="R29" s="80">
        <f>[1]D!R16</f>
        <v>2</v>
      </c>
      <c r="S29" s="80">
        <f>[1]D!S16</f>
        <v>2</v>
      </c>
      <c r="T29" s="80">
        <f>[1]D!T16</f>
        <v>2</v>
      </c>
      <c r="U29" s="80">
        <f>[1]D!U16</f>
        <v>2</v>
      </c>
      <c r="V29" s="80">
        <f>[1]D!V16</f>
        <v>2</v>
      </c>
      <c r="W29" s="81" t="str">
        <f>[1]D!W16</f>
        <v>X</v>
      </c>
      <c r="X29" s="81" t="str">
        <f>[1]D!X16</f>
        <v>X</v>
      </c>
      <c r="Y29" s="80">
        <f>[1]D!Y16</f>
        <v>1</v>
      </c>
      <c r="Z29" s="80">
        <f>[1]D!Z16</f>
        <v>1</v>
      </c>
      <c r="AA29" s="80">
        <f>[1]D!AA16</f>
        <v>1</v>
      </c>
      <c r="AB29" s="80">
        <f>[1]D!AB16</f>
        <v>1</v>
      </c>
      <c r="AC29" s="80">
        <f>[1]D!AC16</f>
        <v>1</v>
      </c>
      <c r="AD29" s="80" t="s">
        <v>114</v>
      </c>
      <c r="AE29" s="76"/>
      <c r="AF29" s="76"/>
      <c r="AG29" s="76"/>
      <c r="AH29" s="16">
        <f t="shared" ref="AH29:AH47" si="3">1*COUNTIF(A29:AF29,"+")</f>
        <v>3</v>
      </c>
      <c r="AI29" s="16">
        <f t="shared" ref="AI29:AI47" si="4">1*COUNTIF(B29:AF29,"szf")</f>
        <v>0</v>
      </c>
    </row>
    <row r="30" spans="1:35" ht="20.100000000000001" customHeight="1">
      <c r="A30" s="18" t="str">
        <f>ÖSSZES!$A$74</f>
        <v>Erdei Bálint</v>
      </c>
      <c r="B30" s="80">
        <f>[1]D!B17</f>
        <v>1</v>
      </c>
      <c r="C30" s="80">
        <f>[1]D!C17</f>
        <v>1</v>
      </c>
      <c r="D30" s="80">
        <f>[1]D!D17</f>
        <v>1</v>
      </c>
      <c r="E30" s="80">
        <f>[1]D!E17</f>
        <v>1</v>
      </c>
      <c r="F30" s="80">
        <f>[1]D!F17</f>
        <v>1</v>
      </c>
      <c r="G30" s="81" t="str">
        <f>[1]D!G17</f>
        <v>X</v>
      </c>
      <c r="H30" s="81" t="str">
        <f>[1]D!H17</f>
        <v>X</v>
      </c>
      <c r="I30" s="80">
        <f>[1]D!I17</f>
        <v>3</v>
      </c>
      <c r="J30" s="80">
        <f>[1]D!J17</f>
        <v>3</v>
      </c>
      <c r="K30" s="80">
        <f>[1]D!K17</f>
        <v>3</v>
      </c>
      <c r="L30" s="80">
        <f>[1]D!L17</f>
        <v>3</v>
      </c>
      <c r="M30" s="80">
        <f>[1]D!M17</f>
        <v>3</v>
      </c>
      <c r="N30" s="80">
        <f>[1]D!N17</f>
        <v>3</v>
      </c>
      <c r="O30" s="81" t="str">
        <f>[1]D!O17</f>
        <v>X</v>
      </c>
      <c r="P30" s="81" t="str">
        <f>[1]D!P17</f>
        <v>X</v>
      </c>
      <c r="Q30" s="80">
        <f>[1]D!Q17</f>
        <v>2</v>
      </c>
      <c r="R30" s="80">
        <f>[1]D!R17</f>
        <v>2</v>
      </c>
      <c r="S30" s="80">
        <f>[1]D!S17</f>
        <v>2</v>
      </c>
      <c r="T30" s="80">
        <f>[1]D!T17</f>
        <v>2</v>
      </c>
      <c r="U30" s="80">
        <f>[1]D!U17</f>
        <v>2</v>
      </c>
      <c r="V30" s="80">
        <f>[1]D!V17</f>
        <v>2</v>
      </c>
      <c r="W30" s="81" t="str">
        <f>[1]D!W17</f>
        <v>X</v>
      </c>
      <c r="X30" s="81" t="str">
        <f>[1]D!X17</f>
        <v>X</v>
      </c>
      <c r="Y30" s="80" t="s">
        <v>114</v>
      </c>
      <c r="Z30" s="80" t="s">
        <v>20</v>
      </c>
      <c r="AA30" s="80">
        <f>[1]D!AA17</f>
        <v>1</v>
      </c>
      <c r="AB30" s="80">
        <f>[1]D!AB17</f>
        <v>1</v>
      </c>
      <c r="AC30" s="80">
        <f>[1]D!AC17</f>
        <v>1</v>
      </c>
      <c r="AD30" s="80">
        <f>[1]D!AD17</f>
        <v>1</v>
      </c>
      <c r="AE30" s="76"/>
      <c r="AF30" s="76"/>
      <c r="AG30" s="76"/>
      <c r="AH30" s="16">
        <f t="shared" si="3"/>
        <v>1</v>
      </c>
      <c r="AI30" s="16">
        <f t="shared" si="4"/>
        <v>1</v>
      </c>
    </row>
    <row r="31" spans="1:35" ht="20.100000000000001" customHeight="1">
      <c r="A31" s="18" t="str">
        <f>ÖSSZES!$A$75</f>
        <v>Fábián Gábor</v>
      </c>
      <c r="B31" s="80" t="s">
        <v>114</v>
      </c>
      <c r="C31" s="80">
        <f>[1]D!C18</f>
        <v>1</v>
      </c>
      <c r="D31" s="80">
        <f>[1]D!D18</f>
        <v>1</v>
      </c>
      <c r="E31" s="80">
        <f>[1]D!E18</f>
        <v>1</v>
      </c>
      <c r="F31" s="80">
        <f>[1]D!F18</f>
        <v>1</v>
      </c>
      <c r="G31" s="81" t="str">
        <f>[1]D!G18</f>
        <v>X</v>
      </c>
      <c r="H31" s="81" t="str">
        <f>[1]D!H18</f>
        <v>X</v>
      </c>
      <c r="I31" s="80">
        <f>[1]D!I18</f>
        <v>3</v>
      </c>
      <c r="J31" s="80">
        <f>[1]D!J18</f>
        <v>3</v>
      </c>
      <c r="K31" s="80">
        <f>[1]D!K18</f>
        <v>3</v>
      </c>
      <c r="L31" s="80">
        <f>[1]D!L18</f>
        <v>3</v>
      </c>
      <c r="M31" s="80">
        <f>[1]D!M18</f>
        <v>3</v>
      </c>
      <c r="N31" s="80">
        <f>[1]D!N18</f>
        <v>3</v>
      </c>
      <c r="O31" s="81" t="str">
        <f>[1]D!O18</f>
        <v>X</v>
      </c>
      <c r="P31" s="81" t="str">
        <f>[1]D!P18</f>
        <v>X</v>
      </c>
      <c r="Q31" s="80">
        <f>[1]D!Q18</f>
        <v>2</v>
      </c>
      <c r="R31" s="80">
        <f>[1]D!R18</f>
        <v>2</v>
      </c>
      <c r="S31" s="80">
        <f>[1]D!S18</f>
        <v>2</v>
      </c>
      <c r="T31" s="80">
        <f>[1]D!T18</f>
        <v>2</v>
      </c>
      <c r="U31" s="80">
        <f>[1]D!U18</f>
        <v>2</v>
      </c>
      <c r="V31" s="80">
        <f>[1]D!V18</f>
        <v>2</v>
      </c>
      <c r="W31" s="81" t="str">
        <f>[1]D!W18</f>
        <v>X</v>
      </c>
      <c r="X31" s="81" t="str">
        <f>[1]D!X18</f>
        <v>X</v>
      </c>
      <c r="Y31" s="80">
        <f>[1]D!Y18</f>
        <v>1</v>
      </c>
      <c r="Z31" s="80">
        <f>[1]D!Z18</f>
        <v>1</v>
      </c>
      <c r="AA31" s="80">
        <f>[1]D!AA18</f>
        <v>1</v>
      </c>
      <c r="AB31" s="80">
        <f>[1]D!AB18</f>
        <v>1</v>
      </c>
      <c r="AC31" s="80">
        <f>[1]D!AC18</f>
        <v>1</v>
      </c>
      <c r="AD31" s="80">
        <f>[1]D!AD18</f>
        <v>1</v>
      </c>
      <c r="AE31" s="76"/>
      <c r="AF31" s="76"/>
      <c r="AG31" s="76"/>
      <c r="AH31" s="16">
        <f t="shared" si="3"/>
        <v>1</v>
      </c>
      <c r="AI31" s="16">
        <f t="shared" si="4"/>
        <v>0</v>
      </c>
    </row>
    <row r="32" spans="1:35" ht="20.100000000000001" customHeight="1">
      <c r="A32" s="18" t="str">
        <f>ÖSSZES!$A$76</f>
        <v>Gellei Zsolt</v>
      </c>
      <c r="B32" s="80">
        <f>[1]D!B19</f>
        <v>1</v>
      </c>
      <c r="C32" s="80">
        <f>[1]D!C19</f>
        <v>1</v>
      </c>
      <c r="D32" s="80">
        <f>[1]D!D19</f>
        <v>1</v>
      </c>
      <c r="E32" s="80">
        <f>[1]D!E19</f>
        <v>1</v>
      </c>
      <c r="F32" s="80">
        <f>[1]D!F19</f>
        <v>1</v>
      </c>
      <c r="G32" s="81" t="str">
        <f>[1]D!G19</f>
        <v>X</v>
      </c>
      <c r="H32" s="81" t="str">
        <f>[1]D!H19</f>
        <v>X</v>
      </c>
      <c r="I32" s="80">
        <f>[1]D!I19</f>
        <v>3</v>
      </c>
      <c r="J32" s="80">
        <f>[1]D!J19</f>
        <v>3</v>
      </c>
      <c r="K32" s="80">
        <f>[1]D!K19</f>
        <v>3</v>
      </c>
      <c r="L32" s="80">
        <f>[1]D!L19</f>
        <v>3</v>
      </c>
      <c r="M32" s="80">
        <f>[1]D!M19</f>
        <v>3</v>
      </c>
      <c r="N32" s="80">
        <f>[1]D!N19</f>
        <v>3</v>
      </c>
      <c r="O32" s="81" t="str">
        <f>[1]D!O19</f>
        <v>X</v>
      </c>
      <c r="P32" s="81" t="str">
        <f>[1]D!P19</f>
        <v>X</v>
      </c>
      <c r="Q32" s="80">
        <f>[1]D!Q19</f>
        <v>2</v>
      </c>
      <c r="R32" s="80" t="s">
        <v>114</v>
      </c>
      <c r="S32" s="80" t="s">
        <v>20</v>
      </c>
      <c r="T32" s="80">
        <f>[1]D!T19</f>
        <v>2</v>
      </c>
      <c r="U32" s="80">
        <f>[1]D!U19</f>
        <v>2</v>
      </c>
      <c r="V32" s="80">
        <f>[1]D!V19</f>
        <v>2</v>
      </c>
      <c r="W32" s="81" t="str">
        <f>[1]D!W19</f>
        <v>X</v>
      </c>
      <c r="X32" s="81" t="str">
        <f>[1]D!X19</f>
        <v>X</v>
      </c>
      <c r="Y32" s="80">
        <f>[1]D!Y19</f>
        <v>1</v>
      </c>
      <c r="Z32" s="80">
        <f>[1]D!Z19</f>
        <v>1</v>
      </c>
      <c r="AA32" s="80">
        <f>[1]D!AA19</f>
        <v>1</v>
      </c>
      <c r="AB32" s="80">
        <f>[1]D!AB19</f>
        <v>1</v>
      </c>
      <c r="AC32" s="80">
        <f>[1]D!AC19</f>
        <v>1</v>
      </c>
      <c r="AD32" s="80">
        <f>[1]D!AD19</f>
        <v>1</v>
      </c>
      <c r="AE32" s="76"/>
      <c r="AF32" s="76"/>
      <c r="AG32" s="76"/>
      <c r="AH32" s="16">
        <f t="shared" si="3"/>
        <v>1</v>
      </c>
      <c r="AI32" s="16">
        <f t="shared" si="4"/>
        <v>1</v>
      </c>
    </row>
    <row r="33" spans="1:35" ht="20.100000000000001" customHeight="1">
      <c r="A33" s="18" t="str">
        <f>ÖSSZES!$A$77</f>
        <v>Kiss Gyula</v>
      </c>
      <c r="B33" s="80">
        <f>[1]D!B20</f>
        <v>1</v>
      </c>
      <c r="C33" s="80">
        <f>[1]D!C20</f>
        <v>1</v>
      </c>
      <c r="D33" s="80">
        <f>[1]D!D20</f>
        <v>1</v>
      </c>
      <c r="E33" s="80">
        <f>[1]D!E20</f>
        <v>1</v>
      </c>
      <c r="F33" s="80">
        <f>[1]D!F20</f>
        <v>1</v>
      </c>
      <c r="G33" s="81" t="str">
        <f>[1]D!G20</f>
        <v>X</v>
      </c>
      <c r="H33" s="81" t="str">
        <f>[1]D!H20</f>
        <v>X</v>
      </c>
      <c r="I33" s="80">
        <f>[1]D!I20</f>
        <v>3</v>
      </c>
      <c r="J33" s="80">
        <f>[1]D!J20</f>
        <v>3</v>
      </c>
      <c r="K33" s="80">
        <f>[1]D!K20</f>
        <v>3</v>
      </c>
      <c r="L33" s="80">
        <f>[1]D!L20</f>
        <v>3</v>
      </c>
      <c r="M33" s="80">
        <f>[1]D!M20</f>
        <v>3</v>
      </c>
      <c r="N33" s="80" t="s">
        <v>114</v>
      </c>
      <c r="O33" s="81" t="str">
        <f>[1]D!O20</f>
        <v>X</v>
      </c>
      <c r="P33" s="81" t="str">
        <f>[1]D!P20</f>
        <v>X</v>
      </c>
      <c r="Q33" s="80" t="s">
        <v>20</v>
      </c>
      <c r="R33" s="80">
        <f>[1]D!R20</f>
        <v>2</v>
      </c>
      <c r="S33" s="80">
        <f>[1]D!S20</f>
        <v>2</v>
      </c>
      <c r="T33" s="80">
        <f>[1]D!T20</f>
        <v>2</v>
      </c>
      <c r="U33" s="80">
        <f>[1]D!U20</f>
        <v>2</v>
      </c>
      <c r="V33" s="80">
        <f>[1]D!V20</f>
        <v>2</v>
      </c>
      <c r="W33" s="81" t="str">
        <f>[1]D!W20</f>
        <v>X</v>
      </c>
      <c r="X33" s="81" t="str">
        <f>[1]D!X20</f>
        <v>X</v>
      </c>
      <c r="Y33" s="80">
        <f>[1]D!Y20</f>
        <v>1</v>
      </c>
      <c r="Z33" s="80">
        <f>[1]D!Z20</f>
        <v>1</v>
      </c>
      <c r="AA33" s="80">
        <f>[1]D!AA20</f>
        <v>1</v>
      </c>
      <c r="AB33" s="80">
        <f>[1]D!AB20</f>
        <v>1</v>
      </c>
      <c r="AC33" s="80">
        <f>[1]D!AC20</f>
        <v>1</v>
      </c>
      <c r="AD33" s="80">
        <f>[1]D!AD20</f>
        <v>1</v>
      </c>
      <c r="AE33" s="76"/>
      <c r="AF33" s="76"/>
      <c r="AG33" s="76"/>
      <c r="AH33" s="16">
        <f t="shared" si="3"/>
        <v>1</v>
      </c>
      <c r="AI33" s="16">
        <f t="shared" si="4"/>
        <v>1</v>
      </c>
    </row>
    <row r="34" spans="1:35" ht="20.100000000000001" customHeight="1">
      <c r="A34" s="18" t="str">
        <f>ÖSSZES!$A$78</f>
        <v>Nagy István</v>
      </c>
      <c r="B34" s="80">
        <f>[1]D!B21</f>
        <v>1</v>
      </c>
      <c r="C34" s="80">
        <f>[1]D!C21</f>
        <v>1</v>
      </c>
      <c r="D34" s="80">
        <f>[1]D!D21</f>
        <v>1</v>
      </c>
      <c r="E34" s="80">
        <f>[1]D!E21</f>
        <v>1</v>
      </c>
      <c r="F34" s="80">
        <f>[1]D!F21</f>
        <v>1</v>
      </c>
      <c r="G34" s="81" t="str">
        <f>[1]D!G21</f>
        <v>X</v>
      </c>
      <c r="H34" s="81" t="str">
        <f>[1]D!H21</f>
        <v>X</v>
      </c>
      <c r="I34" s="80" t="s">
        <v>114</v>
      </c>
      <c r="J34" s="80" t="s">
        <v>114</v>
      </c>
      <c r="K34" s="80">
        <f>[1]D!K21</f>
        <v>3</v>
      </c>
      <c r="L34" s="80">
        <f>[1]D!L21</f>
        <v>3</v>
      </c>
      <c r="M34" s="80">
        <f>[1]D!M21</f>
        <v>3</v>
      </c>
      <c r="N34" s="80">
        <f>[1]D!N21</f>
        <v>3</v>
      </c>
      <c r="O34" s="81" t="str">
        <f>[1]D!O21</f>
        <v>X</v>
      </c>
      <c r="P34" s="81" t="str">
        <f>[1]D!P21</f>
        <v>X</v>
      </c>
      <c r="Q34" s="80" t="s">
        <v>20</v>
      </c>
      <c r="R34" s="80">
        <f>[1]D!R21</f>
        <v>2</v>
      </c>
      <c r="S34" s="80">
        <f>[1]D!S21</f>
        <v>2</v>
      </c>
      <c r="T34" s="80">
        <f>[1]D!T21</f>
        <v>2</v>
      </c>
      <c r="U34" s="80">
        <f>[1]D!U21</f>
        <v>2</v>
      </c>
      <c r="V34" s="80">
        <f>[1]D!V21</f>
        <v>2</v>
      </c>
      <c r="W34" s="81" t="str">
        <f>[1]D!W21</f>
        <v>X</v>
      </c>
      <c r="X34" s="81" t="str">
        <f>[1]D!X21</f>
        <v>X</v>
      </c>
      <c r="Y34" s="80">
        <f>[1]D!Y21</f>
        <v>1</v>
      </c>
      <c r="Z34" s="80">
        <f>[1]D!Z21</f>
        <v>1</v>
      </c>
      <c r="AA34" s="80">
        <f>[1]D!AA21</f>
        <v>1</v>
      </c>
      <c r="AB34" s="80">
        <f>[1]D!AB21</f>
        <v>1</v>
      </c>
      <c r="AC34" s="80">
        <f>[1]D!AC21</f>
        <v>1</v>
      </c>
      <c r="AD34" s="80">
        <f>[1]D!AD21</f>
        <v>1</v>
      </c>
      <c r="AE34" s="76"/>
      <c r="AF34" s="76"/>
      <c r="AG34" s="76"/>
      <c r="AH34" s="16">
        <f t="shared" si="3"/>
        <v>2</v>
      </c>
      <c r="AI34" s="16">
        <f t="shared" si="4"/>
        <v>1</v>
      </c>
    </row>
    <row r="35" spans="1:35" ht="20.100000000000001" hidden="1" customHeight="1">
      <c r="A35" s="18" t="str">
        <f>ÖSSZES!$A$79</f>
        <v>Fényi László</v>
      </c>
      <c r="B35" s="33"/>
      <c r="C35" s="33"/>
      <c r="D35" s="33"/>
      <c r="E35" s="33"/>
      <c r="F35" s="33"/>
      <c r="G35" s="58"/>
      <c r="H35" s="58"/>
      <c r="I35" s="33"/>
      <c r="J35" s="33"/>
      <c r="K35" s="33"/>
      <c r="L35" s="33"/>
      <c r="M35" s="33"/>
      <c r="N35" s="33"/>
      <c r="O35" s="58"/>
      <c r="P35" s="58"/>
      <c r="Q35" s="33"/>
      <c r="R35" s="33"/>
      <c r="S35" s="33"/>
      <c r="T35" s="33"/>
      <c r="U35" s="33"/>
      <c r="V35" s="33"/>
      <c r="W35" s="58"/>
      <c r="X35" s="58"/>
      <c r="Y35" s="33"/>
      <c r="Z35" s="33"/>
      <c r="AA35" s="33"/>
      <c r="AB35" s="33"/>
      <c r="AC35" s="33"/>
      <c r="AD35" s="33"/>
      <c r="AE35" s="1"/>
      <c r="AF35" s="1"/>
      <c r="AH35" s="16">
        <f t="shared" si="3"/>
        <v>0</v>
      </c>
      <c r="AI35" s="16">
        <f t="shared" si="4"/>
        <v>0</v>
      </c>
    </row>
    <row r="36" spans="1:35" ht="20.100000000000001" hidden="1" customHeight="1">
      <c r="A36" s="18" t="str">
        <f>ÖSSZES!$A$80</f>
        <v>Név9</v>
      </c>
      <c r="B36" s="33"/>
      <c r="C36" s="33"/>
      <c r="D36" s="33"/>
      <c r="E36" s="33"/>
      <c r="F36" s="33"/>
      <c r="G36" s="58" t="s">
        <v>2</v>
      </c>
      <c r="H36" s="58" t="s">
        <v>2</v>
      </c>
      <c r="I36" s="33"/>
      <c r="J36" s="33"/>
      <c r="K36" s="33"/>
      <c r="L36" s="33"/>
      <c r="M36" s="33"/>
      <c r="N36" s="33"/>
      <c r="O36" s="58" t="s">
        <v>2</v>
      </c>
      <c r="P36" s="58" t="s">
        <v>2</v>
      </c>
      <c r="Q36" s="33"/>
      <c r="R36" s="33"/>
      <c r="S36" s="33"/>
      <c r="T36" s="33"/>
      <c r="U36" s="33"/>
      <c r="V36" s="33"/>
      <c r="W36" s="58" t="s">
        <v>2</v>
      </c>
      <c r="X36" s="58" t="s">
        <v>2</v>
      </c>
      <c r="Y36" s="33"/>
      <c r="Z36" s="33"/>
      <c r="AA36" s="33"/>
      <c r="AB36" s="33"/>
      <c r="AC36" s="33"/>
      <c r="AD36" s="33"/>
      <c r="AE36" s="1"/>
      <c r="AF36" s="1"/>
      <c r="AH36" s="16">
        <f t="shared" si="3"/>
        <v>0</v>
      </c>
      <c r="AI36" s="16">
        <f t="shared" si="4"/>
        <v>0</v>
      </c>
    </row>
    <row r="37" spans="1:35" ht="20.100000000000001" hidden="1" customHeight="1">
      <c r="A37" s="18" t="str">
        <f>ÖSSZES!$A$81</f>
        <v>Név10</v>
      </c>
      <c r="B37" s="33"/>
      <c r="C37" s="33"/>
      <c r="D37" s="33"/>
      <c r="E37" s="33"/>
      <c r="F37" s="33"/>
      <c r="G37" s="58" t="s">
        <v>2</v>
      </c>
      <c r="H37" s="58" t="s">
        <v>2</v>
      </c>
      <c r="I37" s="33"/>
      <c r="J37" s="33"/>
      <c r="K37" s="33"/>
      <c r="L37" s="33"/>
      <c r="M37" s="33"/>
      <c r="N37" s="33"/>
      <c r="O37" s="58" t="s">
        <v>2</v>
      </c>
      <c r="P37" s="58" t="s">
        <v>2</v>
      </c>
      <c r="Q37" s="33"/>
      <c r="R37" s="33"/>
      <c r="S37" s="33"/>
      <c r="T37" s="33"/>
      <c r="U37" s="33"/>
      <c r="V37" s="33"/>
      <c r="W37" s="58" t="s">
        <v>2</v>
      </c>
      <c r="X37" s="58" t="s">
        <v>2</v>
      </c>
      <c r="Y37" s="33"/>
      <c r="Z37" s="33"/>
      <c r="AA37" s="33"/>
      <c r="AB37" s="33"/>
      <c r="AC37" s="33"/>
      <c r="AD37" s="33"/>
      <c r="AE37" s="1"/>
      <c r="AF37" s="1"/>
      <c r="AH37" s="16">
        <f t="shared" si="3"/>
        <v>0</v>
      </c>
      <c r="AI37" s="16">
        <f t="shared" si="4"/>
        <v>0</v>
      </c>
    </row>
    <row r="38" spans="1:35" ht="20.100000000000001" hidden="1" customHeight="1">
      <c r="A38" s="18" t="str">
        <f>ÖSSZES!$A$82</f>
        <v>Név11</v>
      </c>
      <c r="B38" s="33"/>
      <c r="C38" s="33"/>
      <c r="D38" s="33"/>
      <c r="E38" s="33"/>
      <c r="F38" s="33"/>
      <c r="G38" s="58" t="s">
        <v>2</v>
      </c>
      <c r="H38" s="58" t="s">
        <v>2</v>
      </c>
      <c r="I38" s="33"/>
      <c r="J38" s="33"/>
      <c r="K38" s="33"/>
      <c r="L38" s="33"/>
      <c r="M38" s="33"/>
      <c r="N38" s="33"/>
      <c r="O38" s="58" t="s">
        <v>2</v>
      </c>
      <c r="P38" s="58" t="s">
        <v>2</v>
      </c>
      <c r="Q38" s="33"/>
      <c r="R38" s="33"/>
      <c r="S38" s="33"/>
      <c r="T38" s="33"/>
      <c r="U38" s="33"/>
      <c r="V38" s="33"/>
      <c r="W38" s="58" t="s">
        <v>2</v>
      </c>
      <c r="X38" s="58" t="s">
        <v>2</v>
      </c>
      <c r="Y38" s="33"/>
      <c r="Z38" s="33"/>
      <c r="AA38" s="33"/>
      <c r="AB38" s="33"/>
      <c r="AC38" s="33"/>
      <c r="AD38" s="33"/>
      <c r="AE38" s="1"/>
      <c r="AF38" s="1"/>
      <c r="AH38" s="16">
        <f t="shared" si="3"/>
        <v>0</v>
      </c>
      <c r="AI38" s="16">
        <f t="shared" si="4"/>
        <v>0</v>
      </c>
    </row>
    <row r="39" spans="1:35" ht="20.100000000000001" hidden="1" customHeight="1">
      <c r="A39" s="18" t="str">
        <f>ÖSSZES!$A$83</f>
        <v>Név12</v>
      </c>
      <c r="B39" s="33"/>
      <c r="C39" s="33"/>
      <c r="D39" s="33"/>
      <c r="E39" s="33"/>
      <c r="F39" s="33"/>
      <c r="G39" s="58" t="s">
        <v>2</v>
      </c>
      <c r="H39" s="58" t="s">
        <v>2</v>
      </c>
      <c r="I39" s="33"/>
      <c r="J39" s="33"/>
      <c r="K39" s="33"/>
      <c r="L39" s="33"/>
      <c r="M39" s="33"/>
      <c r="N39" s="33"/>
      <c r="O39" s="58" t="s">
        <v>2</v>
      </c>
      <c r="P39" s="58" t="s">
        <v>2</v>
      </c>
      <c r="Q39" s="33"/>
      <c r="R39" s="33"/>
      <c r="S39" s="33"/>
      <c r="T39" s="33"/>
      <c r="U39" s="33"/>
      <c r="V39" s="33"/>
      <c r="W39" s="58" t="s">
        <v>2</v>
      </c>
      <c r="X39" s="58" t="s">
        <v>2</v>
      </c>
      <c r="Y39" s="33"/>
      <c r="Z39" s="33"/>
      <c r="AA39" s="33"/>
      <c r="AB39" s="33"/>
      <c r="AC39" s="33"/>
      <c r="AD39" s="33"/>
      <c r="AE39" s="1"/>
      <c r="AF39" s="1"/>
      <c r="AH39" s="16">
        <f t="shared" si="3"/>
        <v>0</v>
      </c>
      <c r="AI39" s="16">
        <f t="shared" si="4"/>
        <v>0</v>
      </c>
    </row>
    <row r="40" spans="1:35" ht="20.100000000000001" hidden="1" customHeight="1">
      <c r="A40" s="18" t="str">
        <f>ÖSSZES!$A$84</f>
        <v>Név13</v>
      </c>
      <c r="B40" s="33"/>
      <c r="C40" s="33"/>
      <c r="D40" s="33"/>
      <c r="E40" s="33"/>
      <c r="F40" s="33"/>
      <c r="G40" s="58" t="s">
        <v>2</v>
      </c>
      <c r="H40" s="58" t="s">
        <v>2</v>
      </c>
      <c r="I40" s="33"/>
      <c r="J40" s="33"/>
      <c r="K40" s="33"/>
      <c r="L40" s="33"/>
      <c r="M40" s="33"/>
      <c r="N40" s="33"/>
      <c r="O40" s="58" t="s">
        <v>2</v>
      </c>
      <c r="P40" s="58" t="s">
        <v>2</v>
      </c>
      <c r="Q40" s="33"/>
      <c r="R40" s="33"/>
      <c r="S40" s="33"/>
      <c r="T40" s="33"/>
      <c r="U40" s="33"/>
      <c r="V40" s="33"/>
      <c r="W40" s="58" t="s">
        <v>2</v>
      </c>
      <c r="X40" s="58" t="s">
        <v>2</v>
      </c>
      <c r="Y40" s="33"/>
      <c r="Z40" s="33"/>
      <c r="AA40" s="33"/>
      <c r="AB40" s="33"/>
      <c r="AC40" s="33"/>
      <c r="AD40" s="33"/>
      <c r="AE40" s="1"/>
      <c r="AF40" s="1"/>
      <c r="AH40" s="16">
        <f t="shared" si="3"/>
        <v>0</v>
      </c>
      <c r="AI40" s="16">
        <f t="shared" si="4"/>
        <v>0</v>
      </c>
    </row>
    <row r="41" spans="1:35" ht="20.100000000000001" hidden="1" customHeight="1">
      <c r="A41" s="18" t="str">
        <f>ÖSSZES!$A$85</f>
        <v>Név14</v>
      </c>
      <c r="B41" s="33"/>
      <c r="C41" s="33"/>
      <c r="D41" s="33"/>
      <c r="E41" s="33"/>
      <c r="F41" s="33"/>
      <c r="G41" s="58" t="s">
        <v>2</v>
      </c>
      <c r="H41" s="58" t="s">
        <v>2</v>
      </c>
      <c r="I41" s="33"/>
      <c r="J41" s="33"/>
      <c r="K41" s="33"/>
      <c r="L41" s="33"/>
      <c r="M41" s="33"/>
      <c r="N41" s="33"/>
      <c r="O41" s="58" t="s">
        <v>2</v>
      </c>
      <c r="P41" s="58" t="s">
        <v>2</v>
      </c>
      <c r="Q41" s="33"/>
      <c r="R41" s="33"/>
      <c r="S41" s="33"/>
      <c r="T41" s="33"/>
      <c r="U41" s="33"/>
      <c r="V41" s="33"/>
      <c r="W41" s="58" t="s">
        <v>2</v>
      </c>
      <c r="X41" s="58" t="s">
        <v>2</v>
      </c>
      <c r="Y41" s="33"/>
      <c r="Z41" s="33"/>
      <c r="AA41" s="33"/>
      <c r="AB41" s="33"/>
      <c r="AC41" s="33"/>
      <c r="AD41" s="33"/>
      <c r="AE41" s="1"/>
      <c r="AF41" s="1"/>
      <c r="AH41" s="16">
        <f t="shared" si="3"/>
        <v>0</v>
      </c>
      <c r="AI41" s="16">
        <f t="shared" si="4"/>
        <v>0</v>
      </c>
    </row>
    <row r="42" spans="1:35" ht="20.100000000000001" hidden="1" customHeight="1">
      <c r="A42" s="18" t="str">
        <f>ÖSSZES!$A$86</f>
        <v>Név15</v>
      </c>
      <c r="B42" s="33"/>
      <c r="C42" s="33"/>
      <c r="D42" s="33"/>
      <c r="E42" s="33"/>
      <c r="F42" s="33"/>
      <c r="G42" s="58" t="s">
        <v>2</v>
      </c>
      <c r="H42" s="58" t="s">
        <v>2</v>
      </c>
      <c r="I42" s="33"/>
      <c r="J42" s="33"/>
      <c r="K42" s="33"/>
      <c r="L42" s="33"/>
      <c r="M42" s="33"/>
      <c r="N42" s="33"/>
      <c r="O42" s="58" t="s">
        <v>2</v>
      </c>
      <c r="P42" s="58" t="s">
        <v>2</v>
      </c>
      <c r="Q42" s="33"/>
      <c r="R42" s="33"/>
      <c r="S42" s="33"/>
      <c r="T42" s="33"/>
      <c r="U42" s="33"/>
      <c r="V42" s="33"/>
      <c r="W42" s="58" t="s">
        <v>2</v>
      </c>
      <c r="X42" s="58" t="s">
        <v>2</v>
      </c>
      <c r="Y42" s="33"/>
      <c r="Z42" s="33"/>
      <c r="AA42" s="33"/>
      <c r="AB42" s="33"/>
      <c r="AC42" s="33"/>
      <c r="AD42" s="33"/>
      <c r="AE42" s="1"/>
      <c r="AF42" s="1"/>
      <c r="AH42" s="16">
        <f t="shared" si="3"/>
        <v>0</v>
      </c>
      <c r="AI42" s="16">
        <f t="shared" si="4"/>
        <v>0</v>
      </c>
    </row>
    <row r="43" spans="1:35" ht="20.100000000000001" hidden="1" customHeight="1">
      <c r="A43" s="18" t="str">
        <f>ÖSSZES!$A$87</f>
        <v>Név16</v>
      </c>
      <c r="B43" s="33"/>
      <c r="C43" s="33"/>
      <c r="D43" s="33"/>
      <c r="E43" s="33"/>
      <c r="F43" s="33"/>
      <c r="G43" s="58" t="s">
        <v>2</v>
      </c>
      <c r="H43" s="58" t="s">
        <v>2</v>
      </c>
      <c r="I43" s="33"/>
      <c r="J43" s="33"/>
      <c r="K43" s="33"/>
      <c r="L43" s="33"/>
      <c r="M43" s="33"/>
      <c r="N43" s="33"/>
      <c r="O43" s="58" t="s">
        <v>2</v>
      </c>
      <c r="P43" s="58" t="s">
        <v>2</v>
      </c>
      <c r="Q43" s="33"/>
      <c r="R43" s="33"/>
      <c r="S43" s="33"/>
      <c r="T43" s="33"/>
      <c r="U43" s="33"/>
      <c r="V43" s="33"/>
      <c r="W43" s="58" t="s">
        <v>2</v>
      </c>
      <c r="X43" s="58" t="s">
        <v>2</v>
      </c>
      <c r="Y43" s="33"/>
      <c r="Z43" s="33"/>
      <c r="AA43" s="33"/>
      <c r="AB43" s="33"/>
      <c r="AC43" s="33"/>
      <c r="AD43" s="33"/>
      <c r="AE43" s="1"/>
      <c r="AF43" s="1"/>
      <c r="AH43" s="16">
        <f t="shared" si="3"/>
        <v>0</v>
      </c>
      <c r="AI43" s="16">
        <f t="shared" si="4"/>
        <v>0</v>
      </c>
    </row>
    <row r="44" spans="1:35" ht="20.100000000000001" hidden="1" customHeight="1">
      <c r="A44" s="18" t="str">
        <f>ÖSSZES!$A$88</f>
        <v>Név17</v>
      </c>
      <c r="B44" s="33"/>
      <c r="C44" s="33"/>
      <c r="D44" s="33"/>
      <c r="E44" s="33"/>
      <c r="F44" s="33"/>
      <c r="G44" s="58" t="s">
        <v>2</v>
      </c>
      <c r="H44" s="58" t="s">
        <v>2</v>
      </c>
      <c r="I44" s="33"/>
      <c r="J44" s="33"/>
      <c r="K44" s="33"/>
      <c r="L44" s="33"/>
      <c r="M44" s="33"/>
      <c r="N44" s="33"/>
      <c r="O44" s="58" t="s">
        <v>2</v>
      </c>
      <c r="P44" s="58" t="s">
        <v>2</v>
      </c>
      <c r="Q44" s="33"/>
      <c r="R44" s="33"/>
      <c r="S44" s="33"/>
      <c r="T44" s="33"/>
      <c r="U44" s="33"/>
      <c r="V44" s="33"/>
      <c r="W44" s="58" t="s">
        <v>2</v>
      </c>
      <c r="X44" s="58" t="s">
        <v>2</v>
      </c>
      <c r="Y44" s="33"/>
      <c r="Z44" s="33"/>
      <c r="AA44" s="33"/>
      <c r="AB44" s="33"/>
      <c r="AC44" s="33"/>
      <c r="AD44" s="33"/>
      <c r="AE44" s="1"/>
      <c r="AF44" s="1"/>
      <c r="AH44" s="16">
        <f t="shared" si="3"/>
        <v>0</v>
      </c>
      <c r="AI44" s="16">
        <f t="shared" si="4"/>
        <v>0</v>
      </c>
    </row>
    <row r="45" spans="1:35" ht="20.100000000000001" hidden="1" customHeight="1">
      <c r="A45" s="18" t="str">
        <f>ÖSSZES!$A$89</f>
        <v>Név18</v>
      </c>
      <c r="B45" s="33"/>
      <c r="C45" s="33"/>
      <c r="D45" s="33"/>
      <c r="E45" s="33"/>
      <c r="F45" s="33"/>
      <c r="G45" s="58" t="s">
        <v>2</v>
      </c>
      <c r="H45" s="58" t="s">
        <v>2</v>
      </c>
      <c r="I45" s="33"/>
      <c r="J45" s="33"/>
      <c r="K45" s="33"/>
      <c r="L45" s="33"/>
      <c r="M45" s="33"/>
      <c r="N45" s="33"/>
      <c r="O45" s="58" t="s">
        <v>2</v>
      </c>
      <c r="P45" s="58" t="s">
        <v>2</v>
      </c>
      <c r="Q45" s="33"/>
      <c r="R45" s="33"/>
      <c r="S45" s="33"/>
      <c r="T45" s="33"/>
      <c r="U45" s="33"/>
      <c r="V45" s="33"/>
      <c r="W45" s="58" t="s">
        <v>2</v>
      </c>
      <c r="X45" s="58" t="s">
        <v>2</v>
      </c>
      <c r="Y45" s="33"/>
      <c r="Z45" s="33"/>
      <c r="AA45" s="33"/>
      <c r="AB45" s="33"/>
      <c r="AC45" s="33"/>
      <c r="AD45" s="33"/>
      <c r="AE45" s="1"/>
      <c r="AF45" s="1"/>
      <c r="AH45" s="16">
        <f t="shared" si="3"/>
        <v>0</v>
      </c>
      <c r="AI45" s="16">
        <f t="shared" si="4"/>
        <v>0</v>
      </c>
    </row>
    <row r="46" spans="1:35" ht="20.100000000000001" hidden="1" customHeight="1">
      <c r="A46" s="18" t="str">
        <f>ÖSSZES!$A$90</f>
        <v>Név19</v>
      </c>
      <c r="B46" s="33"/>
      <c r="C46" s="33"/>
      <c r="D46" s="33"/>
      <c r="E46" s="33"/>
      <c r="F46" s="33"/>
      <c r="G46" s="58" t="s">
        <v>2</v>
      </c>
      <c r="H46" s="58" t="s">
        <v>2</v>
      </c>
      <c r="I46" s="33"/>
      <c r="J46" s="33"/>
      <c r="K46" s="33"/>
      <c r="L46" s="33"/>
      <c r="M46" s="33"/>
      <c r="N46" s="33"/>
      <c r="O46" s="58" t="s">
        <v>2</v>
      </c>
      <c r="P46" s="58" t="s">
        <v>2</v>
      </c>
      <c r="Q46" s="33"/>
      <c r="R46" s="33"/>
      <c r="S46" s="33"/>
      <c r="T46" s="33"/>
      <c r="U46" s="33"/>
      <c r="V46" s="33"/>
      <c r="W46" s="58" t="s">
        <v>2</v>
      </c>
      <c r="X46" s="58" t="s">
        <v>2</v>
      </c>
      <c r="Y46" s="33"/>
      <c r="Z46" s="33"/>
      <c r="AA46" s="33"/>
      <c r="AB46" s="33"/>
      <c r="AC46" s="33"/>
      <c r="AD46" s="33"/>
      <c r="AE46" s="1"/>
      <c r="AF46" s="1"/>
      <c r="AH46" s="16">
        <f t="shared" si="3"/>
        <v>0</v>
      </c>
      <c r="AI46" s="16">
        <f t="shared" si="4"/>
        <v>0</v>
      </c>
    </row>
    <row r="47" spans="1:35" ht="20.100000000000001" hidden="1" customHeight="1">
      <c r="A47" s="18" t="str">
        <f>ÖSSZES!$A$91</f>
        <v>Név20</v>
      </c>
      <c r="B47" s="33"/>
      <c r="C47" s="33"/>
      <c r="D47" s="33"/>
      <c r="E47" s="33"/>
      <c r="F47" s="33"/>
      <c r="G47" s="58" t="s">
        <v>2</v>
      </c>
      <c r="H47" s="58" t="s">
        <v>2</v>
      </c>
      <c r="I47" s="33"/>
      <c r="J47" s="33"/>
      <c r="K47" s="33"/>
      <c r="L47" s="33"/>
      <c r="M47" s="33"/>
      <c r="N47" s="33"/>
      <c r="O47" s="58" t="s">
        <v>2</v>
      </c>
      <c r="P47" s="58" t="s">
        <v>2</v>
      </c>
      <c r="Q47" s="33"/>
      <c r="R47" s="33"/>
      <c r="S47" s="33"/>
      <c r="T47" s="33"/>
      <c r="U47" s="33"/>
      <c r="V47" s="33"/>
      <c r="W47" s="58" t="s">
        <v>2</v>
      </c>
      <c r="X47" s="58" t="s">
        <v>2</v>
      </c>
      <c r="Y47" s="33"/>
      <c r="Z47" s="33"/>
      <c r="AA47" s="33"/>
      <c r="AB47" s="33"/>
      <c r="AC47" s="33"/>
      <c r="AD47" s="33"/>
      <c r="AE47" s="1"/>
      <c r="AF47" s="1"/>
      <c r="AH47" s="16">
        <f t="shared" si="3"/>
        <v>0</v>
      </c>
      <c r="AI47" s="16">
        <f t="shared" si="4"/>
        <v>0</v>
      </c>
    </row>
    <row r="48" spans="1:35" ht="20.100000000000001" customHeight="1"/>
    <row r="49" spans="1:35" s="6" customFormat="1" ht="20.100000000000001" customHeight="1">
      <c r="A49" s="91" t="s">
        <v>7</v>
      </c>
      <c r="B49" s="17">
        <v>1</v>
      </c>
      <c r="C49" s="17">
        <v>2</v>
      </c>
      <c r="D49" s="17">
        <v>3</v>
      </c>
      <c r="E49" s="17">
        <v>4</v>
      </c>
      <c r="F49" s="17">
        <v>5</v>
      </c>
      <c r="G49" s="17">
        <v>6</v>
      </c>
      <c r="H49" s="17">
        <v>7</v>
      </c>
      <c r="I49" s="17">
        <v>8</v>
      </c>
      <c r="J49" s="17">
        <v>9</v>
      </c>
      <c r="K49" s="17">
        <v>10</v>
      </c>
      <c r="L49" s="17">
        <v>11</v>
      </c>
      <c r="M49" s="17">
        <v>12</v>
      </c>
      <c r="N49" s="17">
        <v>13</v>
      </c>
      <c r="O49" s="17">
        <v>14</v>
      </c>
      <c r="P49" s="32">
        <v>15</v>
      </c>
      <c r="Q49" s="17">
        <v>16</v>
      </c>
      <c r="R49" s="17">
        <v>17</v>
      </c>
      <c r="S49" s="17">
        <v>18</v>
      </c>
      <c r="T49" s="17">
        <v>19</v>
      </c>
      <c r="U49" s="17">
        <v>20</v>
      </c>
      <c r="V49" s="17">
        <v>21</v>
      </c>
      <c r="W49" s="17">
        <v>22</v>
      </c>
      <c r="X49" s="17">
        <v>23</v>
      </c>
      <c r="Y49" s="17">
        <v>24</v>
      </c>
      <c r="Z49" s="17">
        <v>25</v>
      </c>
      <c r="AA49" s="17">
        <v>26</v>
      </c>
      <c r="AB49" s="17">
        <v>27</v>
      </c>
      <c r="AC49" s="17">
        <v>28</v>
      </c>
      <c r="AD49" s="17">
        <v>29</v>
      </c>
      <c r="AE49" s="17">
        <v>30</v>
      </c>
      <c r="AF49" s="17">
        <v>31</v>
      </c>
      <c r="AH49" s="93" t="s">
        <v>18</v>
      </c>
      <c r="AI49" s="93" t="s">
        <v>19</v>
      </c>
    </row>
    <row r="50" spans="1:35" ht="20.100000000000001" customHeight="1">
      <c r="A50" s="96"/>
      <c r="B50" s="10" t="str">
        <f>'2020'!B20</f>
        <v>V</v>
      </c>
      <c r="C50" s="10" t="str">
        <f>'2020'!C20</f>
        <v>H</v>
      </c>
      <c r="D50" s="10" t="str">
        <f>'2020'!D20</f>
        <v>K</v>
      </c>
      <c r="E50" s="10" t="str">
        <f>'2020'!E20</f>
        <v>Sze</v>
      </c>
      <c r="F50" s="10" t="str">
        <f>'2020'!F20</f>
        <v>Cs</v>
      </c>
      <c r="G50" s="10" t="str">
        <f>'2020'!G20</f>
        <v>P</v>
      </c>
      <c r="H50" s="10" t="str">
        <f>'2020'!H20</f>
        <v>Szo</v>
      </c>
      <c r="I50" s="10" t="str">
        <f>'2020'!I20</f>
        <v>V</v>
      </c>
      <c r="J50" s="10" t="str">
        <f>'2020'!J20</f>
        <v>H</v>
      </c>
      <c r="K50" s="10" t="str">
        <f>'2020'!K20</f>
        <v>K</v>
      </c>
      <c r="L50" s="10" t="str">
        <f>'2020'!L20</f>
        <v>Sze</v>
      </c>
      <c r="M50" s="10" t="str">
        <f>'2020'!M20</f>
        <v>Cs</v>
      </c>
      <c r="N50" s="10" t="str">
        <f>'2020'!N20</f>
        <v>P</v>
      </c>
      <c r="O50" s="10" t="str">
        <f>'2020'!O20</f>
        <v>Szo</v>
      </c>
      <c r="P50" s="10" t="str">
        <f>'2020'!P20</f>
        <v>V</v>
      </c>
      <c r="Q50" s="10" t="str">
        <f>'2020'!Q20</f>
        <v>H</v>
      </c>
      <c r="R50" s="10" t="str">
        <f>'2020'!R20</f>
        <v>K</v>
      </c>
      <c r="S50" s="10" t="str">
        <f>'2020'!S20</f>
        <v>Sze</v>
      </c>
      <c r="T50" s="10" t="str">
        <f>'2020'!T20</f>
        <v>Cs</v>
      </c>
      <c r="U50" s="10" t="str">
        <f>'2020'!U20</f>
        <v>P</v>
      </c>
      <c r="V50" s="10" t="str">
        <f>'2020'!V20</f>
        <v>Szo</v>
      </c>
      <c r="W50" s="10" t="str">
        <f>'2020'!W20</f>
        <v>V</v>
      </c>
      <c r="X50" s="10" t="str">
        <f>'2020'!X20</f>
        <v>H</v>
      </c>
      <c r="Y50" s="10" t="str">
        <f>'2020'!Y20</f>
        <v>K</v>
      </c>
      <c r="Z50" s="10" t="str">
        <f>'2020'!Z20</f>
        <v>Sze</v>
      </c>
      <c r="AA50" s="10" t="str">
        <f>'2020'!AA20</f>
        <v>Cs</v>
      </c>
      <c r="AB50" s="10" t="str">
        <f>'2020'!AB20</f>
        <v>P</v>
      </c>
      <c r="AC50" s="10" t="str">
        <f>'2020'!AC20</f>
        <v>Szo</v>
      </c>
      <c r="AD50" s="10" t="str">
        <f>'2020'!AD20</f>
        <v>V</v>
      </c>
      <c r="AE50" s="10" t="str">
        <f>'2020'!AE20</f>
        <v>H</v>
      </c>
      <c r="AF50" s="10" t="str">
        <f>'2020'!AF20</f>
        <v>K</v>
      </c>
      <c r="AH50" s="94"/>
      <c r="AI50" s="94"/>
    </row>
    <row r="51" spans="1:35" ht="20.100000000000001" customHeight="1">
      <c r="A51" s="96"/>
      <c r="B51" s="10" t="str">
        <f>'2020'!B24</f>
        <v>X</v>
      </c>
      <c r="C51" s="10" t="str">
        <f>'2020'!C24</f>
        <v>X</v>
      </c>
      <c r="D51" s="10">
        <f>'2020'!D24</f>
        <v>3</v>
      </c>
      <c r="E51" s="10">
        <f>'2020'!E24</f>
        <v>3</v>
      </c>
      <c r="F51" s="10">
        <f>'2020'!F24</f>
        <v>3</v>
      </c>
      <c r="G51" s="10">
        <f>'2020'!G24</f>
        <v>3</v>
      </c>
      <c r="H51" s="10">
        <f>'2020'!H24</f>
        <v>3</v>
      </c>
      <c r="I51" s="10">
        <f>'2020'!I24</f>
        <v>3</v>
      </c>
      <c r="J51" s="10" t="str">
        <f>'2020'!J24</f>
        <v>X</v>
      </c>
      <c r="K51" s="10" t="str">
        <f>'2020'!K24</f>
        <v>X</v>
      </c>
      <c r="L51" s="10">
        <f>'2020'!L24</f>
        <v>2</v>
      </c>
      <c r="M51" s="10">
        <f>'2020'!M24</f>
        <v>2</v>
      </c>
      <c r="N51" s="10">
        <f>'2020'!N24</f>
        <v>2</v>
      </c>
      <c r="O51" s="10">
        <f>'2020'!O24</f>
        <v>2</v>
      </c>
      <c r="P51" s="10">
        <f>'2020'!P24</f>
        <v>2</v>
      </c>
      <c r="Q51" s="10">
        <f>'2020'!Q24</f>
        <v>2</v>
      </c>
      <c r="R51" s="10" t="str">
        <f>'2020'!R24</f>
        <v>X</v>
      </c>
      <c r="S51" s="10" t="str">
        <f>'2020'!S24</f>
        <v>X</v>
      </c>
      <c r="T51" s="10">
        <f>'2020'!T24</f>
        <v>1</v>
      </c>
      <c r="U51" s="10">
        <f>'2020'!U24</f>
        <v>1</v>
      </c>
      <c r="V51" s="10">
        <f>'2020'!V24</f>
        <v>1</v>
      </c>
      <c r="W51" s="10">
        <f>'2020'!W24</f>
        <v>1</v>
      </c>
      <c r="X51" s="10">
        <f>'2020'!X24</f>
        <v>1</v>
      </c>
      <c r="Y51" s="10">
        <f>'2020'!Y24</f>
        <v>1</v>
      </c>
      <c r="Z51" s="10" t="str">
        <f>'2020'!Z24</f>
        <v>X</v>
      </c>
      <c r="AA51" s="10" t="str">
        <f>'2020'!AA24</f>
        <v>X</v>
      </c>
      <c r="AB51" s="10">
        <f>'2020'!AB24</f>
        <v>3</v>
      </c>
      <c r="AC51" s="10">
        <f>'2020'!AC24</f>
        <v>3</v>
      </c>
      <c r="AD51" s="10">
        <f>'2020'!AD24</f>
        <v>3</v>
      </c>
      <c r="AE51" s="10">
        <f>'2020'!AE24</f>
        <v>3</v>
      </c>
      <c r="AF51" s="10">
        <f>'2020'!AF24</f>
        <v>3</v>
      </c>
      <c r="AH51" s="94"/>
      <c r="AI51" s="94"/>
    </row>
    <row r="52" spans="1:35" ht="20.100000000000001" customHeight="1">
      <c r="A52" s="18" t="str">
        <f>ÖSSZES!$A$72</f>
        <v>Daku Gábor</v>
      </c>
      <c r="B52" s="58" t="str">
        <f>[1]D!B26</f>
        <v>X</v>
      </c>
      <c r="C52" s="58" t="str">
        <f>[1]D!C26</f>
        <v>X</v>
      </c>
      <c r="D52" s="31">
        <f>[1]D!D26</f>
        <v>3</v>
      </c>
      <c r="E52" s="31">
        <f>[1]D!E26</f>
        <v>3</v>
      </c>
      <c r="F52" s="31">
        <f>[1]D!F26</f>
        <v>3</v>
      </c>
      <c r="G52" s="31">
        <f>[1]D!G26</f>
        <v>3</v>
      </c>
      <c r="H52" s="33">
        <f>[1]D!H26</f>
        <v>3</v>
      </c>
      <c r="I52" s="33">
        <f>[1]D!I26</f>
        <v>3</v>
      </c>
      <c r="J52" s="58" t="str">
        <f>[1]D!J26</f>
        <v>X</v>
      </c>
      <c r="K52" s="58" t="str">
        <f>[1]D!K26</f>
        <v>X</v>
      </c>
      <c r="L52" s="31">
        <f>[1]D!L26</f>
        <v>2</v>
      </c>
      <c r="M52" s="31">
        <f>[1]D!M26</f>
        <v>2</v>
      </c>
      <c r="N52" s="31">
        <f>[1]D!N26</f>
        <v>2</v>
      </c>
      <c r="O52" s="31">
        <f>[1]D!O26</f>
        <v>2</v>
      </c>
      <c r="P52" s="60">
        <f>[1]D!P26</f>
        <v>2</v>
      </c>
      <c r="Q52" s="33">
        <f>[1]D!Q26</f>
        <v>2</v>
      </c>
      <c r="R52" s="58" t="str">
        <f>[1]D!R26</f>
        <v>X</v>
      </c>
      <c r="S52" s="58" t="str">
        <f>[1]D!S26</f>
        <v>X</v>
      </c>
      <c r="T52" s="31" t="str">
        <f>[1]D!T26</f>
        <v>+</v>
      </c>
      <c r="U52" s="31">
        <f>[1]D!U26</f>
        <v>1</v>
      </c>
      <c r="V52" s="31">
        <f>[1]D!V26</f>
        <v>1</v>
      </c>
      <c r="W52" s="31">
        <f>[1]D!W26</f>
        <v>1</v>
      </c>
      <c r="X52" s="33">
        <f>[1]D!X26</f>
        <v>1</v>
      </c>
      <c r="Y52" s="33">
        <f>[1]D!Y26</f>
        <v>1</v>
      </c>
      <c r="Z52" s="58" t="str">
        <f>[1]D!Z26</f>
        <v>X</v>
      </c>
      <c r="AA52" s="58" t="str">
        <f>[1]D!AA26</f>
        <v>X</v>
      </c>
      <c r="AB52" s="31">
        <f>[1]D!AB26</f>
        <v>3</v>
      </c>
      <c r="AC52" s="31">
        <f>[1]D!AC26</f>
        <v>3</v>
      </c>
      <c r="AD52" s="31">
        <f>[1]D!AD26</f>
        <v>3</v>
      </c>
      <c r="AE52" s="31">
        <f>[1]D!AE26</f>
        <v>3</v>
      </c>
      <c r="AF52" s="33">
        <f>[1]D!AF26</f>
        <v>3</v>
      </c>
      <c r="AH52" s="16">
        <f>1*COUNTIF(A52:AF52,"+")</f>
        <v>1</v>
      </c>
      <c r="AI52" s="16">
        <f t="shared" ref="AI52" si="5">1*COUNTIF(B52:AF52,"szf")</f>
        <v>0</v>
      </c>
    </row>
    <row r="53" spans="1:35" ht="20.100000000000001" customHeight="1">
      <c r="A53" s="18" t="str">
        <f>ÖSSZES!$A$73</f>
        <v>Borbély Csaba</v>
      </c>
      <c r="B53" s="58" t="str">
        <f>[1]D!B27</f>
        <v>X</v>
      </c>
      <c r="C53" s="58" t="str">
        <f>[1]D!C27</f>
        <v>X</v>
      </c>
      <c r="D53" s="31">
        <f>[1]D!D27</f>
        <v>3</v>
      </c>
      <c r="E53" s="31">
        <f>[1]D!E27</f>
        <v>3</v>
      </c>
      <c r="F53" s="31">
        <f>[1]D!F27</f>
        <v>3</v>
      </c>
      <c r="G53" s="31">
        <f>[1]D!G27</f>
        <v>3</v>
      </c>
      <c r="H53" s="33">
        <f>[1]D!H27</f>
        <v>3</v>
      </c>
      <c r="I53" s="33">
        <f>[1]D!I27</f>
        <v>3</v>
      </c>
      <c r="J53" s="58" t="str">
        <f>[1]D!J27</f>
        <v>X</v>
      </c>
      <c r="K53" s="58" t="str">
        <f>[1]D!K27</f>
        <v>X</v>
      </c>
      <c r="L53" s="31">
        <f>[1]D!L27</f>
        <v>2</v>
      </c>
      <c r="M53" s="31" t="str">
        <f>[1]D!M27</f>
        <v>+</v>
      </c>
      <c r="N53" s="31">
        <f>[1]D!N27</f>
        <v>2</v>
      </c>
      <c r="O53" s="31">
        <f>[1]D!O27</f>
        <v>2</v>
      </c>
      <c r="P53" s="60">
        <f>[1]D!P27</f>
        <v>2</v>
      </c>
      <c r="Q53" s="33">
        <f>[1]D!Q27</f>
        <v>2</v>
      </c>
      <c r="R53" s="58" t="str">
        <f>[1]D!R27</f>
        <v>X</v>
      </c>
      <c r="S53" s="58" t="str">
        <f>[1]D!S27</f>
        <v>X</v>
      </c>
      <c r="T53" s="31">
        <f>[1]D!T27</f>
        <v>1</v>
      </c>
      <c r="U53" s="31">
        <f>[1]D!U27</f>
        <v>1</v>
      </c>
      <c r="V53" s="31">
        <f>[1]D!V27</f>
        <v>1</v>
      </c>
      <c r="W53" s="31">
        <f>[1]D!W27</f>
        <v>1</v>
      </c>
      <c r="X53" s="33">
        <f>[1]D!X27</f>
        <v>1</v>
      </c>
      <c r="Y53" s="33" t="str">
        <f>[1]D!Y27</f>
        <v>szf</v>
      </c>
      <c r="Z53" s="58" t="str">
        <f>[1]D!Z27</f>
        <v>X</v>
      </c>
      <c r="AA53" s="58" t="str">
        <f>[1]D!AA27</f>
        <v>X</v>
      </c>
      <c r="AB53" s="31">
        <f>[1]D!AB27</f>
        <v>3</v>
      </c>
      <c r="AC53" s="31">
        <f>[1]D!AC27</f>
        <v>3</v>
      </c>
      <c r="AD53" s="31">
        <f>[1]D!AD27</f>
        <v>3</v>
      </c>
      <c r="AE53" s="31">
        <f>[1]D!AE27</f>
        <v>3</v>
      </c>
      <c r="AF53" s="33">
        <f>[1]D!AF27</f>
        <v>3</v>
      </c>
      <c r="AH53" s="16">
        <f t="shared" ref="AH53:AH71" si="6">1*COUNTIF(A53:AF53,"+")</f>
        <v>1</v>
      </c>
      <c r="AI53" s="16">
        <f t="shared" ref="AI53:AI71" si="7">1*COUNTIF(B53:AF53,"szf")</f>
        <v>1</v>
      </c>
    </row>
    <row r="54" spans="1:35" ht="20.100000000000001" customHeight="1">
      <c r="A54" s="18" t="str">
        <f>ÖSSZES!$A$74</f>
        <v>Erdei Bálint</v>
      </c>
      <c r="B54" s="58" t="str">
        <f>[1]D!B28</f>
        <v>X</v>
      </c>
      <c r="C54" s="58" t="str">
        <f>[1]D!C28</f>
        <v>X</v>
      </c>
      <c r="D54" s="31">
        <f>[1]D!D28</f>
        <v>3</v>
      </c>
      <c r="E54" s="31">
        <f>[1]D!E28</f>
        <v>3</v>
      </c>
      <c r="F54" s="31">
        <f>[1]D!F28</f>
        <v>3</v>
      </c>
      <c r="G54" s="31">
        <f>[1]D!G28</f>
        <v>3</v>
      </c>
      <c r="H54" s="33" t="str">
        <f>[1]D!H28</f>
        <v>+</v>
      </c>
      <c r="I54" s="33">
        <f>[1]D!I28</f>
        <v>3</v>
      </c>
      <c r="J54" s="58" t="str">
        <f>[1]D!J28</f>
        <v>X</v>
      </c>
      <c r="K54" s="58" t="str">
        <f>[1]D!K28</f>
        <v>X</v>
      </c>
      <c r="L54" s="31">
        <f>[1]D!L28</f>
        <v>2</v>
      </c>
      <c r="M54" s="31">
        <f>[1]D!M28</f>
        <v>2</v>
      </c>
      <c r="N54" s="31">
        <f>[1]D!N28</f>
        <v>2</v>
      </c>
      <c r="O54" s="31">
        <f>[1]D!O28</f>
        <v>2</v>
      </c>
      <c r="P54" s="60">
        <f>[1]D!P28</f>
        <v>2</v>
      </c>
      <c r="Q54" s="33">
        <f>[1]D!Q28</f>
        <v>2</v>
      </c>
      <c r="R54" s="58" t="str">
        <f>[1]D!R28</f>
        <v>X</v>
      </c>
      <c r="S54" s="58" t="str">
        <f>[1]D!S28</f>
        <v>X</v>
      </c>
      <c r="T54" s="31">
        <f>[1]D!T28</f>
        <v>1</v>
      </c>
      <c r="U54" s="31">
        <f>[1]D!U28</f>
        <v>1</v>
      </c>
      <c r="V54" s="31">
        <f>[1]D!V28</f>
        <v>1</v>
      </c>
      <c r="W54" s="31">
        <f>[1]D!W28</f>
        <v>1</v>
      </c>
      <c r="X54" s="33">
        <f>[1]D!X28</f>
        <v>1</v>
      </c>
      <c r="Y54" s="33">
        <f>[1]D!Y28</f>
        <v>1</v>
      </c>
      <c r="Z54" s="58" t="str">
        <f>[1]D!Z28</f>
        <v>X</v>
      </c>
      <c r="AA54" s="58" t="str">
        <f>[1]D!AA28</f>
        <v>X</v>
      </c>
      <c r="AB54" s="31">
        <f>[1]D!AB28</f>
        <v>3</v>
      </c>
      <c r="AC54" s="31">
        <f>[1]D!AC28</f>
        <v>3</v>
      </c>
      <c r="AD54" s="31">
        <f>[1]D!AD28</f>
        <v>3</v>
      </c>
      <c r="AE54" s="31">
        <f>[1]D!AE28</f>
        <v>3</v>
      </c>
      <c r="AF54" s="33">
        <f>[1]D!AF28</f>
        <v>3</v>
      </c>
      <c r="AH54" s="16">
        <f t="shared" si="6"/>
        <v>1</v>
      </c>
      <c r="AI54" s="16">
        <f t="shared" si="7"/>
        <v>0</v>
      </c>
    </row>
    <row r="55" spans="1:35" ht="20.100000000000001" customHeight="1">
      <c r="A55" s="18" t="str">
        <f>ÖSSZES!$A$75</f>
        <v>Fábián Gábor</v>
      </c>
      <c r="B55" s="58" t="str">
        <f>[1]D!B29</f>
        <v>X</v>
      </c>
      <c r="C55" s="58" t="str">
        <f>[1]D!C29</f>
        <v>X</v>
      </c>
      <c r="D55" s="31">
        <f>[1]D!D29</f>
        <v>3</v>
      </c>
      <c r="E55" s="31">
        <f>[1]D!E29</f>
        <v>3</v>
      </c>
      <c r="F55" s="31">
        <f>[1]D!F29</f>
        <v>3</v>
      </c>
      <c r="G55" s="31">
        <f>[1]D!G29</f>
        <v>3</v>
      </c>
      <c r="H55" s="33">
        <f>[1]D!H29</f>
        <v>3</v>
      </c>
      <c r="I55" s="33">
        <f>[1]D!I29</f>
        <v>3</v>
      </c>
      <c r="J55" s="58" t="str">
        <f>[1]D!J29</f>
        <v>X</v>
      </c>
      <c r="K55" s="58" t="str">
        <f>[1]D!K29</f>
        <v>X</v>
      </c>
      <c r="L55" s="31">
        <f>[1]D!L29</f>
        <v>2</v>
      </c>
      <c r="M55" s="31">
        <f>[1]D!M29</f>
        <v>2</v>
      </c>
      <c r="N55" s="31">
        <f>[1]D!N29</f>
        <v>2</v>
      </c>
      <c r="O55" s="31">
        <f>[1]D!O29</f>
        <v>2</v>
      </c>
      <c r="P55" s="60">
        <f>[1]D!P29</f>
        <v>2</v>
      </c>
      <c r="Q55" s="33">
        <f>[1]D!Q29</f>
        <v>2</v>
      </c>
      <c r="R55" s="58" t="str">
        <f>[1]D!R29</f>
        <v>X</v>
      </c>
      <c r="S55" s="58" t="str">
        <f>[1]D!S29</f>
        <v>X</v>
      </c>
      <c r="T55" s="31">
        <f>[1]D!T29</f>
        <v>1</v>
      </c>
      <c r="U55" s="31">
        <f>[1]D!U29</f>
        <v>1</v>
      </c>
      <c r="V55" s="31">
        <f>[1]D!V29</f>
        <v>1</v>
      </c>
      <c r="W55" s="31">
        <f>[1]D!W29</f>
        <v>1</v>
      </c>
      <c r="X55" s="33">
        <f>[1]D!X29</f>
        <v>1</v>
      </c>
      <c r="Y55" s="33">
        <f>[1]D!Y29</f>
        <v>1</v>
      </c>
      <c r="Z55" s="58" t="str">
        <f>[1]D!Z29</f>
        <v>X</v>
      </c>
      <c r="AA55" s="58" t="str">
        <f>[1]D!AA29</f>
        <v>X</v>
      </c>
      <c r="AB55" s="31">
        <f>[1]D!AB29</f>
        <v>3</v>
      </c>
      <c r="AC55" s="31">
        <f>[1]D!AC29</f>
        <v>3</v>
      </c>
      <c r="AD55" s="31">
        <f>[1]D!AD29</f>
        <v>3</v>
      </c>
      <c r="AE55" s="31">
        <f>[1]D!AE29</f>
        <v>3</v>
      </c>
      <c r="AF55" s="33">
        <f>[1]D!AF29</f>
        <v>3</v>
      </c>
      <c r="AH55" s="16">
        <f t="shared" si="6"/>
        <v>0</v>
      </c>
      <c r="AI55" s="16">
        <f t="shared" si="7"/>
        <v>0</v>
      </c>
    </row>
    <row r="56" spans="1:35" ht="20.100000000000001" customHeight="1">
      <c r="A56" s="18" t="str">
        <f>ÖSSZES!$A$76</f>
        <v>Gellei Zsolt</v>
      </c>
      <c r="B56" s="58" t="str">
        <f>[1]D!B30</f>
        <v>X</v>
      </c>
      <c r="C56" s="58" t="str">
        <f>[1]D!C30</f>
        <v>X</v>
      </c>
      <c r="D56" s="31">
        <f>[1]D!D30</f>
        <v>3</v>
      </c>
      <c r="E56" s="31">
        <f>[1]D!E30</f>
        <v>3</v>
      </c>
      <c r="F56" s="31">
        <f>[1]D!F30</f>
        <v>3</v>
      </c>
      <c r="G56" s="31">
        <f>[1]D!G30</f>
        <v>3</v>
      </c>
      <c r="H56" s="33">
        <f>[1]D!H30</f>
        <v>3</v>
      </c>
      <c r="I56" s="33" t="str">
        <f>[1]D!I30</f>
        <v>+</v>
      </c>
      <c r="J56" s="58" t="str">
        <f>[1]D!J30</f>
        <v>X</v>
      </c>
      <c r="K56" s="58" t="str">
        <f>[1]D!K30</f>
        <v>X</v>
      </c>
      <c r="L56" s="31">
        <f>[1]D!L30</f>
        <v>2</v>
      </c>
      <c r="M56" s="31">
        <f>[1]D!M30</f>
        <v>2</v>
      </c>
      <c r="N56" s="31">
        <f>[1]D!N30</f>
        <v>2</v>
      </c>
      <c r="O56" s="31">
        <f>[1]D!O30</f>
        <v>2</v>
      </c>
      <c r="P56" s="60">
        <f>[1]D!P30</f>
        <v>2</v>
      </c>
      <c r="Q56" s="33">
        <f>[1]D!Q30</f>
        <v>2</v>
      </c>
      <c r="R56" s="58" t="str">
        <f>[1]D!R30</f>
        <v>X</v>
      </c>
      <c r="S56" s="58" t="str">
        <f>[1]D!S30</f>
        <v>X</v>
      </c>
      <c r="T56" s="31">
        <f>[1]D!T30</f>
        <v>1</v>
      </c>
      <c r="U56" s="31">
        <f>[1]D!U30</f>
        <v>1</v>
      </c>
      <c r="V56" s="31">
        <f>[1]D!V30</f>
        <v>1</v>
      </c>
      <c r="W56" s="31">
        <f>[1]D!W30</f>
        <v>1</v>
      </c>
      <c r="X56" s="33">
        <f>[1]D!X30</f>
        <v>1</v>
      </c>
      <c r="Y56" s="33">
        <f>[1]D!Y30</f>
        <v>1</v>
      </c>
      <c r="Z56" s="58" t="str">
        <f>[1]D!Z30</f>
        <v>X</v>
      </c>
      <c r="AA56" s="58" t="str">
        <f>[1]D!AA30</f>
        <v>X</v>
      </c>
      <c r="AB56" s="31">
        <f>[1]D!AB30</f>
        <v>3</v>
      </c>
      <c r="AC56" s="31">
        <f>[1]D!AC30</f>
        <v>3</v>
      </c>
      <c r="AD56" s="31">
        <f>[1]D!AD30</f>
        <v>3</v>
      </c>
      <c r="AE56" s="31">
        <f>[1]D!AE30</f>
        <v>3</v>
      </c>
      <c r="AF56" s="33">
        <f>[1]D!AF30</f>
        <v>0</v>
      </c>
      <c r="AH56" s="16">
        <f t="shared" si="6"/>
        <v>1</v>
      </c>
      <c r="AI56" s="16">
        <f t="shared" si="7"/>
        <v>0</v>
      </c>
    </row>
    <row r="57" spans="1:35" ht="20.100000000000001" customHeight="1">
      <c r="A57" s="18" t="str">
        <f>ÖSSZES!$A$77</f>
        <v>Kiss Gyula</v>
      </c>
      <c r="B57" s="58" t="str">
        <f>[1]D!B31</f>
        <v>X</v>
      </c>
      <c r="C57" s="58" t="str">
        <f>[1]D!C31</f>
        <v>X</v>
      </c>
      <c r="D57" s="31" t="str">
        <f>[1]D!D31</f>
        <v>+</v>
      </c>
      <c r="E57" s="31">
        <f>[1]D!E31</f>
        <v>3</v>
      </c>
      <c r="F57" s="31">
        <f>[1]D!F31</f>
        <v>3</v>
      </c>
      <c r="G57" s="31" t="str">
        <f>[1]D!G31</f>
        <v>szf</v>
      </c>
      <c r="H57" s="33">
        <f>[1]D!H31</f>
        <v>3</v>
      </c>
      <c r="I57" s="33" t="str">
        <f>[1]D!I31</f>
        <v>szf</v>
      </c>
      <c r="J57" s="58" t="str">
        <f>[1]D!J31</f>
        <v>X</v>
      </c>
      <c r="K57" s="58" t="str">
        <f>[1]D!K31</f>
        <v>X</v>
      </c>
      <c r="L57" s="31">
        <f>[1]D!L31</f>
        <v>2</v>
      </c>
      <c r="M57" s="31">
        <f>[1]D!M31</f>
        <v>2</v>
      </c>
      <c r="N57" s="31">
        <f>[1]D!N31</f>
        <v>2</v>
      </c>
      <c r="O57" s="31">
        <f>[1]D!O31</f>
        <v>2</v>
      </c>
      <c r="P57" s="60">
        <f>[1]D!P31</f>
        <v>2</v>
      </c>
      <c r="Q57" s="33">
        <f>[1]D!Q31</f>
        <v>2</v>
      </c>
      <c r="R57" s="58" t="str">
        <f>[1]D!R31</f>
        <v>X</v>
      </c>
      <c r="S57" s="58" t="str">
        <f>[1]D!S31</f>
        <v>X</v>
      </c>
      <c r="T57" s="31">
        <f>[1]D!T31</f>
        <v>1</v>
      </c>
      <c r="U57" s="31">
        <f>[1]D!U31</f>
        <v>1</v>
      </c>
      <c r="V57" s="31">
        <f>[1]D!V31</f>
        <v>1</v>
      </c>
      <c r="W57" s="31">
        <f>[1]D!W31</f>
        <v>1</v>
      </c>
      <c r="X57" s="33">
        <f>[1]D!X31</f>
        <v>1</v>
      </c>
      <c r="Y57" s="33">
        <f>[1]D!Y31</f>
        <v>1</v>
      </c>
      <c r="Z57" s="58" t="str">
        <f>[1]D!Z31</f>
        <v>X</v>
      </c>
      <c r="AA57" s="58" t="str">
        <f>[1]D!AA31</f>
        <v>X</v>
      </c>
      <c r="AB57" s="31">
        <f>[1]D!AB31</f>
        <v>3</v>
      </c>
      <c r="AC57" s="31">
        <f>[1]D!AC31</f>
        <v>3</v>
      </c>
      <c r="AD57" s="31">
        <f>[1]D!AD31</f>
        <v>3</v>
      </c>
      <c r="AE57" s="31">
        <f>[1]D!AE31</f>
        <v>3</v>
      </c>
      <c r="AF57" s="33">
        <f>[1]D!AF31</f>
        <v>3</v>
      </c>
      <c r="AH57" s="16">
        <f t="shared" si="6"/>
        <v>1</v>
      </c>
      <c r="AI57" s="16">
        <f t="shared" si="7"/>
        <v>2</v>
      </c>
    </row>
    <row r="58" spans="1:35" ht="20.100000000000001" customHeight="1">
      <c r="A58" s="18" t="str">
        <f>ÖSSZES!$A$78</f>
        <v>Nagy István</v>
      </c>
      <c r="B58" s="58" t="str">
        <f>[1]D!B32</f>
        <v>X</v>
      </c>
      <c r="C58" s="58" t="str">
        <f>[1]D!C32</f>
        <v>X</v>
      </c>
      <c r="D58" s="31">
        <f>[1]D!D32</f>
        <v>3</v>
      </c>
      <c r="E58" s="31">
        <f>[1]D!E32</f>
        <v>3</v>
      </c>
      <c r="F58" s="31">
        <f>[1]D!F32</f>
        <v>3</v>
      </c>
      <c r="G58" s="31">
        <f>[1]D!G32</f>
        <v>3</v>
      </c>
      <c r="H58" s="33">
        <f>[1]D!H32</f>
        <v>3</v>
      </c>
      <c r="I58" s="33">
        <f>[1]D!I32</f>
        <v>3</v>
      </c>
      <c r="J58" s="58" t="str">
        <f>[1]D!J32</f>
        <v>X</v>
      </c>
      <c r="K58" s="58" t="str">
        <f>[1]D!K32</f>
        <v>X</v>
      </c>
      <c r="L58" s="31">
        <f>[1]D!L32</f>
        <v>2</v>
      </c>
      <c r="M58" s="31">
        <f>[1]D!M32</f>
        <v>2</v>
      </c>
      <c r="N58" s="31">
        <f>[1]D!N32</f>
        <v>2</v>
      </c>
      <c r="O58" s="31">
        <f>[1]D!O32</f>
        <v>2</v>
      </c>
      <c r="P58" s="60">
        <f>[1]D!P32</f>
        <v>2</v>
      </c>
      <c r="Q58" s="33">
        <f>[1]D!Q32</f>
        <v>2</v>
      </c>
      <c r="R58" s="58" t="str">
        <f>[1]D!R32</f>
        <v>X</v>
      </c>
      <c r="S58" s="58" t="str">
        <f>[1]D!S32</f>
        <v>X</v>
      </c>
      <c r="T58" s="31">
        <f>[1]D!T32</f>
        <v>1</v>
      </c>
      <c r="U58" s="31">
        <f>[1]D!U32</f>
        <v>1</v>
      </c>
      <c r="V58" s="31">
        <f>[1]D!V32</f>
        <v>1</v>
      </c>
      <c r="W58" s="31">
        <f>[1]D!W32</f>
        <v>1</v>
      </c>
      <c r="X58" s="33">
        <f>[1]D!X32</f>
        <v>1</v>
      </c>
      <c r="Y58" s="33">
        <f>[1]D!Y32</f>
        <v>1</v>
      </c>
      <c r="Z58" s="58" t="str">
        <f>[1]D!Z32</f>
        <v>X</v>
      </c>
      <c r="AA58" s="58" t="str">
        <f>[1]D!AA32</f>
        <v>X</v>
      </c>
      <c r="AB58" s="31" t="str">
        <f>[1]D!AB32</f>
        <v>+</v>
      </c>
      <c r="AC58" s="31" t="str">
        <f>[1]D!AC32</f>
        <v>+</v>
      </c>
      <c r="AD58" s="31">
        <f>[1]D!AD32</f>
        <v>3</v>
      </c>
      <c r="AE58" s="31">
        <f>[1]D!AE32</f>
        <v>3</v>
      </c>
      <c r="AF58" s="33">
        <f>[1]D!AF32</f>
        <v>3</v>
      </c>
      <c r="AH58" s="16">
        <f t="shared" si="6"/>
        <v>2</v>
      </c>
      <c r="AI58" s="16">
        <f t="shared" si="7"/>
        <v>0</v>
      </c>
    </row>
    <row r="59" spans="1:35" ht="20.100000000000001" hidden="1" customHeight="1">
      <c r="A59" s="18" t="str">
        <f>ÖSSZES!$A$79</f>
        <v>Fényi László</v>
      </c>
      <c r="B59" s="58"/>
      <c r="C59" s="58"/>
      <c r="D59" s="31"/>
      <c r="E59" s="31"/>
      <c r="F59" s="31"/>
      <c r="G59" s="31"/>
      <c r="H59" s="33"/>
      <c r="I59" s="33"/>
      <c r="J59" s="58"/>
      <c r="K59" s="58"/>
      <c r="L59" s="31"/>
      <c r="M59" s="31"/>
      <c r="N59" s="31"/>
      <c r="O59" s="31"/>
      <c r="P59" s="60"/>
      <c r="Q59" s="33"/>
      <c r="R59" s="58"/>
      <c r="S59" s="58"/>
      <c r="T59" s="31"/>
      <c r="U59" s="31"/>
      <c r="V59" s="31"/>
      <c r="W59" s="31"/>
      <c r="X59" s="33"/>
      <c r="Y59" s="33"/>
      <c r="Z59" s="58"/>
      <c r="AA59" s="58"/>
      <c r="AB59" s="31"/>
      <c r="AC59" s="31"/>
      <c r="AD59" s="31"/>
      <c r="AE59" s="31"/>
      <c r="AF59" s="33"/>
      <c r="AH59" s="16">
        <f t="shared" si="6"/>
        <v>0</v>
      </c>
      <c r="AI59" s="16">
        <f t="shared" si="7"/>
        <v>0</v>
      </c>
    </row>
    <row r="60" spans="1:35" ht="20.100000000000001" hidden="1" customHeight="1">
      <c r="A60" s="18" t="str">
        <f>ÖSSZES!$A$80</f>
        <v>Név9</v>
      </c>
      <c r="B60" s="58" t="s">
        <v>2</v>
      </c>
      <c r="C60" s="58" t="s">
        <v>2</v>
      </c>
      <c r="D60" s="31"/>
      <c r="E60" s="31"/>
      <c r="F60" s="31"/>
      <c r="G60" s="31"/>
      <c r="H60" s="33"/>
      <c r="I60" s="33"/>
      <c r="J60" s="58" t="s">
        <v>2</v>
      </c>
      <c r="K60" s="58" t="s">
        <v>2</v>
      </c>
      <c r="L60" s="31"/>
      <c r="M60" s="31"/>
      <c r="N60" s="31"/>
      <c r="O60" s="31"/>
      <c r="P60" s="60"/>
      <c r="Q60" s="33"/>
      <c r="R60" s="58" t="s">
        <v>2</v>
      </c>
      <c r="S60" s="58" t="s">
        <v>2</v>
      </c>
      <c r="T60" s="31"/>
      <c r="U60" s="31"/>
      <c r="V60" s="31"/>
      <c r="W60" s="31"/>
      <c r="X60" s="33"/>
      <c r="Y60" s="33"/>
      <c r="Z60" s="58" t="s">
        <v>2</v>
      </c>
      <c r="AA60" s="58" t="s">
        <v>2</v>
      </c>
      <c r="AB60" s="31"/>
      <c r="AC60" s="31"/>
      <c r="AD60" s="31"/>
      <c r="AE60" s="31"/>
      <c r="AF60" s="33"/>
      <c r="AH60" s="16">
        <f t="shared" si="6"/>
        <v>0</v>
      </c>
      <c r="AI60" s="16">
        <f t="shared" si="7"/>
        <v>0</v>
      </c>
    </row>
    <row r="61" spans="1:35" ht="20.100000000000001" hidden="1" customHeight="1">
      <c r="A61" s="18" t="str">
        <f>ÖSSZES!$A$81</f>
        <v>Név10</v>
      </c>
      <c r="B61" s="58" t="s">
        <v>2</v>
      </c>
      <c r="C61" s="58" t="s">
        <v>2</v>
      </c>
      <c r="D61" s="31"/>
      <c r="E61" s="31"/>
      <c r="F61" s="31"/>
      <c r="G61" s="31"/>
      <c r="H61" s="33"/>
      <c r="I61" s="33"/>
      <c r="J61" s="58" t="s">
        <v>2</v>
      </c>
      <c r="K61" s="58" t="s">
        <v>2</v>
      </c>
      <c r="L61" s="31"/>
      <c r="M61" s="31"/>
      <c r="N61" s="31"/>
      <c r="O61" s="31"/>
      <c r="P61" s="60"/>
      <c r="Q61" s="33"/>
      <c r="R61" s="58" t="s">
        <v>2</v>
      </c>
      <c r="S61" s="58" t="s">
        <v>2</v>
      </c>
      <c r="T61" s="31"/>
      <c r="U61" s="31"/>
      <c r="V61" s="31"/>
      <c r="W61" s="31"/>
      <c r="X61" s="33"/>
      <c r="Y61" s="33"/>
      <c r="Z61" s="58" t="s">
        <v>2</v>
      </c>
      <c r="AA61" s="58" t="s">
        <v>2</v>
      </c>
      <c r="AB61" s="31"/>
      <c r="AC61" s="31"/>
      <c r="AD61" s="31"/>
      <c r="AE61" s="31"/>
      <c r="AF61" s="33"/>
      <c r="AH61" s="16">
        <f t="shared" si="6"/>
        <v>0</v>
      </c>
      <c r="AI61" s="16">
        <f t="shared" si="7"/>
        <v>0</v>
      </c>
    </row>
    <row r="62" spans="1:35" ht="20.100000000000001" hidden="1" customHeight="1">
      <c r="A62" s="18" t="str">
        <f>ÖSSZES!$A$82</f>
        <v>Név11</v>
      </c>
      <c r="B62" s="58" t="s">
        <v>2</v>
      </c>
      <c r="C62" s="58" t="s">
        <v>2</v>
      </c>
      <c r="D62" s="31"/>
      <c r="E62" s="31"/>
      <c r="F62" s="31"/>
      <c r="G62" s="31"/>
      <c r="H62" s="33"/>
      <c r="I62" s="33"/>
      <c r="J62" s="58" t="s">
        <v>2</v>
      </c>
      <c r="K62" s="58" t="s">
        <v>2</v>
      </c>
      <c r="L62" s="31"/>
      <c r="M62" s="31"/>
      <c r="N62" s="31"/>
      <c r="O62" s="31"/>
      <c r="P62" s="60"/>
      <c r="Q62" s="33"/>
      <c r="R62" s="58" t="s">
        <v>2</v>
      </c>
      <c r="S62" s="58" t="s">
        <v>2</v>
      </c>
      <c r="T62" s="31"/>
      <c r="U62" s="31"/>
      <c r="V62" s="31"/>
      <c r="W62" s="31"/>
      <c r="X62" s="33"/>
      <c r="Y62" s="33"/>
      <c r="Z62" s="58" t="s">
        <v>2</v>
      </c>
      <c r="AA62" s="58" t="s">
        <v>2</v>
      </c>
      <c r="AB62" s="31"/>
      <c r="AC62" s="31"/>
      <c r="AD62" s="31"/>
      <c r="AE62" s="31"/>
      <c r="AF62" s="33"/>
      <c r="AH62" s="16">
        <f t="shared" si="6"/>
        <v>0</v>
      </c>
      <c r="AI62" s="16">
        <f t="shared" si="7"/>
        <v>0</v>
      </c>
    </row>
    <row r="63" spans="1:35" ht="20.100000000000001" hidden="1" customHeight="1">
      <c r="A63" s="18" t="str">
        <f>ÖSSZES!$A$83</f>
        <v>Név12</v>
      </c>
      <c r="B63" s="58" t="s">
        <v>2</v>
      </c>
      <c r="C63" s="58" t="s">
        <v>2</v>
      </c>
      <c r="D63" s="31"/>
      <c r="E63" s="31"/>
      <c r="F63" s="31"/>
      <c r="G63" s="31"/>
      <c r="H63" s="33"/>
      <c r="I63" s="33"/>
      <c r="J63" s="58" t="s">
        <v>2</v>
      </c>
      <c r="K63" s="58" t="s">
        <v>2</v>
      </c>
      <c r="L63" s="31"/>
      <c r="M63" s="31"/>
      <c r="N63" s="31"/>
      <c r="O63" s="31"/>
      <c r="P63" s="60"/>
      <c r="Q63" s="33"/>
      <c r="R63" s="58" t="s">
        <v>2</v>
      </c>
      <c r="S63" s="58" t="s">
        <v>2</v>
      </c>
      <c r="T63" s="31"/>
      <c r="U63" s="31"/>
      <c r="V63" s="31"/>
      <c r="W63" s="31"/>
      <c r="X63" s="33"/>
      <c r="Y63" s="33"/>
      <c r="Z63" s="58" t="s">
        <v>2</v>
      </c>
      <c r="AA63" s="58" t="s">
        <v>2</v>
      </c>
      <c r="AB63" s="31"/>
      <c r="AC63" s="31"/>
      <c r="AD63" s="31"/>
      <c r="AE63" s="31"/>
      <c r="AF63" s="33"/>
      <c r="AH63" s="16">
        <f t="shared" si="6"/>
        <v>0</v>
      </c>
      <c r="AI63" s="16">
        <f t="shared" si="7"/>
        <v>0</v>
      </c>
    </row>
    <row r="64" spans="1:35" ht="20.100000000000001" hidden="1" customHeight="1">
      <c r="A64" s="18" t="str">
        <f>ÖSSZES!$A$84</f>
        <v>Név13</v>
      </c>
      <c r="B64" s="58" t="s">
        <v>2</v>
      </c>
      <c r="C64" s="58" t="s">
        <v>2</v>
      </c>
      <c r="D64" s="31"/>
      <c r="E64" s="31"/>
      <c r="F64" s="31"/>
      <c r="G64" s="31"/>
      <c r="H64" s="33"/>
      <c r="I64" s="33"/>
      <c r="J64" s="58" t="s">
        <v>2</v>
      </c>
      <c r="K64" s="58" t="s">
        <v>2</v>
      </c>
      <c r="L64" s="31"/>
      <c r="M64" s="31"/>
      <c r="N64" s="31"/>
      <c r="O64" s="31"/>
      <c r="P64" s="60"/>
      <c r="Q64" s="33"/>
      <c r="R64" s="58" t="s">
        <v>2</v>
      </c>
      <c r="S64" s="58" t="s">
        <v>2</v>
      </c>
      <c r="T64" s="31"/>
      <c r="U64" s="31"/>
      <c r="V64" s="31"/>
      <c r="W64" s="31"/>
      <c r="X64" s="33"/>
      <c r="Y64" s="33"/>
      <c r="Z64" s="58" t="s">
        <v>2</v>
      </c>
      <c r="AA64" s="58" t="s">
        <v>2</v>
      </c>
      <c r="AB64" s="31"/>
      <c r="AC64" s="31"/>
      <c r="AD64" s="31"/>
      <c r="AE64" s="31"/>
      <c r="AF64" s="33"/>
      <c r="AH64" s="16">
        <f t="shared" si="6"/>
        <v>0</v>
      </c>
      <c r="AI64" s="16">
        <f t="shared" si="7"/>
        <v>0</v>
      </c>
    </row>
    <row r="65" spans="1:35" ht="20.100000000000001" hidden="1" customHeight="1">
      <c r="A65" s="18" t="str">
        <f>ÖSSZES!$A$85</f>
        <v>Név14</v>
      </c>
      <c r="B65" s="58" t="s">
        <v>2</v>
      </c>
      <c r="C65" s="58" t="s">
        <v>2</v>
      </c>
      <c r="D65" s="31"/>
      <c r="E65" s="31"/>
      <c r="F65" s="31"/>
      <c r="G65" s="31"/>
      <c r="H65" s="33"/>
      <c r="I65" s="33"/>
      <c r="J65" s="58" t="s">
        <v>2</v>
      </c>
      <c r="K65" s="58" t="s">
        <v>2</v>
      </c>
      <c r="L65" s="31"/>
      <c r="M65" s="31"/>
      <c r="N65" s="31"/>
      <c r="O65" s="31"/>
      <c r="P65" s="60"/>
      <c r="Q65" s="33"/>
      <c r="R65" s="58" t="s">
        <v>2</v>
      </c>
      <c r="S65" s="58" t="s">
        <v>2</v>
      </c>
      <c r="T65" s="31"/>
      <c r="U65" s="31"/>
      <c r="V65" s="31"/>
      <c r="W65" s="31"/>
      <c r="X65" s="33"/>
      <c r="Y65" s="33"/>
      <c r="Z65" s="58" t="s">
        <v>2</v>
      </c>
      <c r="AA65" s="58" t="s">
        <v>2</v>
      </c>
      <c r="AB65" s="31"/>
      <c r="AC65" s="31"/>
      <c r="AD65" s="31"/>
      <c r="AE65" s="31"/>
      <c r="AF65" s="33"/>
      <c r="AH65" s="16">
        <f t="shared" si="6"/>
        <v>0</v>
      </c>
      <c r="AI65" s="16">
        <f t="shared" si="7"/>
        <v>0</v>
      </c>
    </row>
    <row r="66" spans="1:35" ht="20.100000000000001" hidden="1" customHeight="1">
      <c r="A66" s="18" t="str">
        <f>ÖSSZES!$A$86</f>
        <v>Név15</v>
      </c>
      <c r="B66" s="58" t="s">
        <v>2</v>
      </c>
      <c r="C66" s="58" t="s">
        <v>2</v>
      </c>
      <c r="D66" s="31"/>
      <c r="E66" s="31"/>
      <c r="F66" s="31"/>
      <c r="G66" s="31"/>
      <c r="H66" s="33"/>
      <c r="I66" s="33"/>
      <c r="J66" s="58" t="s">
        <v>2</v>
      </c>
      <c r="K66" s="58" t="s">
        <v>2</v>
      </c>
      <c r="L66" s="31"/>
      <c r="M66" s="31"/>
      <c r="N66" s="31"/>
      <c r="O66" s="31"/>
      <c r="P66" s="60"/>
      <c r="Q66" s="33"/>
      <c r="R66" s="58" t="s">
        <v>2</v>
      </c>
      <c r="S66" s="58" t="s">
        <v>2</v>
      </c>
      <c r="T66" s="31"/>
      <c r="U66" s="31"/>
      <c r="V66" s="31"/>
      <c r="W66" s="31"/>
      <c r="X66" s="33"/>
      <c r="Y66" s="33"/>
      <c r="Z66" s="58" t="s">
        <v>2</v>
      </c>
      <c r="AA66" s="58" t="s">
        <v>2</v>
      </c>
      <c r="AB66" s="31"/>
      <c r="AC66" s="31"/>
      <c r="AD66" s="31"/>
      <c r="AE66" s="31"/>
      <c r="AF66" s="33"/>
      <c r="AH66" s="16">
        <f t="shared" si="6"/>
        <v>0</v>
      </c>
      <c r="AI66" s="16">
        <f t="shared" si="7"/>
        <v>0</v>
      </c>
    </row>
    <row r="67" spans="1:35" ht="20.100000000000001" hidden="1" customHeight="1">
      <c r="A67" s="18" t="str">
        <f>ÖSSZES!$A$87</f>
        <v>Név16</v>
      </c>
      <c r="B67" s="58" t="s">
        <v>2</v>
      </c>
      <c r="C67" s="58" t="s">
        <v>2</v>
      </c>
      <c r="D67" s="31"/>
      <c r="E67" s="31"/>
      <c r="F67" s="31"/>
      <c r="G67" s="31"/>
      <c r="H67" s="33"/>
      <c r="I67" s="33"/>
      <c r="J67" s="58" t="s">
        <v>2</v>
      </c>
      <c r="K67" s="58" t="s">
        <v>2</v>
      </c>
      <c r="L67" s="31"/>
      <c r="M67" s="31"/>
      <c r="N67" s="31"/>
      <c r="O67" s="31"/>
      <c r="P67" s="60"/>
      <c r="Q67" s="33"/>
      <c r="R67" s="58" t="s">
        <v>2</v>
      </c>
      <c r="S67" s="58" t="s">
        <v>2</v>
      </c>
      <c r="T67" s="31"/>
      <c r="U67" s="31"/>
      <c r="V67" s="31"/>
      <c r="W67" s="31"/>
      <c r="X67" s="33"/>
      <c r="Y67" s="33"/>
      <c r="Z67" s="58" t="s">
        <v>2</v>
      </c>
      <c r="AA67" s="58" t="s">
        <v>2</v>
      </c>
      <c r="AB67" s="31"/>
      <c r="AC67" s="31"/>
      <c r="AD67" s="31"/>
      <c r="AE67" s="31"/>
      <c r="AF67" s="33"/>
      <c r="AH67" s="16">
        <f t="shared" si="6"/>
        <v>0</v>
      </c>
      <c r="AI67" s="16">
        <f t="shared" si="7"/>
        <v>0</v>
      </c>
    </row>
    <row r="68" spans="1:35" ht="20.100000000000001" hidden="1" customHeight="1">
      <c r="A68" s="18" t="str">
        <f>ÖSSZES!$A$88</f>
        <v>Név17</v>
      </c>
      <c r="B68" s="58" t="s">
        <v>2</v>
      </c>
      <c r="C68" s="58" t="s">
        <v>2</v>
      </c>
      <c r="D68" s="31"/>
      <c r="E68" s="31"/>
      <c r="F68" s="31"/>
      <c r="G68" s="31"/>
      <c r="H68" s="33"/>
      <c r="I68" s="33"/>
      <c r="J68" s="58" t="s">
        <v>2</v>
      </c>
      <c r="K68" s="58" t="s">
        <v>2</v>
      </c>
      <c r="L68" s="31"/>
      <c r="M68" s="31"/>
      <c r="N68" s="31"/>
      <c r="O68" s="31"/>
      <c r="P68" s="60"/>
      <c r="Q68" s="33"/>
      <c r="R68" s="58" t="s">
        <v>2</v>
      </c>
      <c r="S68" s="58" t="s">
        <v>2</v>
      </c>
      <c r="T68" s="31"/>
      <c r="U68" s="31"/>
      <c r="V68" s="31"/>
      <c r="W68" s="31"/>
      <c r="X68" s="33"/>
      <c r="Y68" s="33"/>
      <c r="Z68" s="58" t="s">
        <v>2</v>
      </c>
      <c r="AA68" s="58" t="s">
        <v>2</v>
      </c>
      <c r="AB68" s="31"/>
      <c r="AC68" s="31"/>
      <c r="AD68" s="31"/>
      <c r="AE68" s="31"/>
      <c r="AF68" s="33"/>
      <c r="AH68" s="16">
        <f t="shared" si="6"/>
        <v>0</v>
      </c>
      <c r="AI68" s="16">
        <f t="shared" si="7"/>
        <v>0</v>
      </c>
    </row>
    <row r="69" spans="1:35" ht="20.100000000000001" hidden="1" customHeight="1">
      <c r="A69" s="18" t="str">
        <f>ÖSSZES!$A$89</f>
        <v>Név18</v>
      </c>
      <c r="B69" s="58" t="s">
        <v>2</v>
      </c>
      <c r="C69" s="58" t="s">
        <v>2</v>
      </c>
      <c r="D69" s="31"/>
      <c r="E69" s="31"/>
      <c r="F69" s="31"/>
      <c r="G69" s="31"/>
      <c r="H69" s="33"/>
      <c r="I69" s="33"/>
      <c r="J69" s="58" t="s">
        <v>2</v>
      </c>
      <c r="K69" s="58" t="s">
        <v>2</v>
      </c>
      <c r="L69" s="31"/>
      <c r="M69" s="31"/>
      <c r="N69" s="31"/>
      <c r="O69" s="31"/>
      <c r="P69" s="60"/>
      <c r="Q69" s="33"/>
      <c r="R69" s="58" t="s">
        <v>2</v>
      </c>
      <c r="S69" s="58" t="s">
        <v>2</v>
      </c>
      <c r="T69" s="31"/>
      <c r="U69" s="31"/>
      <c r="V69" s="31"/>
      <c r="W69" s="31"/>
      <c r="X69" s="33"/>
      <c r="Y69" s="33"/>
      <c r="Z69" s="58" t="s">
        <v>2</v>
      </c>
      <c r="AA69" s="58" t="s">
        <v>2</v>
      </c>
      <c r="AB69" s="31"/>
      <c r="AC69" s="31"/>
      <c r="AD69" s="31"/>
      <c r="AE69" s="31"/>
      <c r="AF69" s="33"/>
      <c r="AH69" s="16">
        <f t="shared" si="6"/>
        <v>0</v>
      </c>
      <c r="AI69" s="16">
        <f t="shared" si="7"/>
        <v>0</v>
      </c>
    </row>
    <row r="70" spans="1:35" ht="20.100000000000001" hidden="1" customHeight="1">
      <c r="A70" s="18" t="str">
        <f>ÖSSZES!$A$90</f>
        <v>Név19</v>
      </c>
      <c r="B70" s="58" t="s">
        <v>2</v>
      </c>
      <c r="C70" s="58" t="s">
        <v>2</v>
      </c>
      <c r="D70" s="31"/>
      <c r="E70" s="31"/>
      <c r="F70" s="31"/>
      <c r="G70" s="31"/>
      <c r="H70" s="33"/>
      <c r="I70" s="33"/>
      <c r="J70" s="58" t="s">
        <v>2</v>
      </c>
      <c r="K70" s="58" t="s">
        <v>2</v>
      </c>
      <c r="L70" s="31"/>
      <c r="M70" s="31"/>
      <c r="N70" s="31"/>
      <c r="O70" s="31"/>
      <c r="P70" s="60"/>
      <c r="Q70" s="33"/>
      <c r="R70" s="58" t="s">
        <v>2</v>
      </c>
      <c r="S70" s="58" t="s">
        <v>2</v>
      </c>
      <c r="T70" s="31"/>
      <c r="U70" s="31"/>
      <c r="V70" s="31"/>
      <c r="W70" s="31"/>
      <c r="X70" s="33"/>
      <c r="Y70" s="33"/>
      <c r="Z70" s="58" t="s">
        <v>2</v>
      </c>
      <c r="AA70" s="58" t="s">
        <v>2</v>
      </c>
      <c r="AB70" s="31"/>
      <c r="AC70" s="31"/>
      <c r="AD70" s="31"/>
      <c r="AE70" s="31"/>
      <c r="AF70" s="33"/>
      <c r="AH70" s="16">
        <f t="shared" si="6"/>
        <v>0</v>
      </c>
      <c r="AI70" s="16">
        <f t="shared" si="7"/>
        <v>0</v>
      </c>
    </row>
    <row r="71" spans="1:35" ht="20.100000000000001" hidden="1" customHeight="1">
      <c r="A71" s="18" t="str">
        <f>ÖSSZES!$A$91</f>
        <v>Név20</v>
      </c>
      <c r="B71" s="58" t="s">
        <v>2</v>
      </c>
      <c r="C71" s="58" t="s">
        <v>2</v>
      </c>
      <c r="D71" s="31"/>
      <c r="E71" s="31"/>
      <c r="F71" s="31"/>
      <c r="G71" s="31"/>
      <c r="H71" s="33"/>
      <c r="I71" s="33"/>
      <c r="J71" s="58" t="s">
        <v>2</v>
      </c>
      <c r="K71" s="58" t="s">
        <v>2</v>
      </c>
      <c r="L71" s="31"/>
      <c r="M71" s="31"/>
      <c r="N71" s="31"/>
      <c r="O71" s="31"/>
      <c r="P71" s="60"/>
      <c r="Q71" s="33"/>
      <c r="R71" s="58" t="s">
        <v>2</v>
      </c>
      <c r="S71" s="58" t="s">
        <v>2</v>
      </c>
      <c r="T71" s="31"/>
      <c r="U71" s="31"/>
      <c r="V71" s="31"/>
      <c r="W71" s="31"/>
      <c r="X71" s="33"/>
      <c r="Y71" s="33"/>
      <c r="Z71" s="58" t="s">
        <v>2</v>
      </c>
      <c r="AA71" s="58" t="s">
        <v>2</v>
      </c>
      <c r="AB71" s="31"/>
      <c r="AC71" s="31"/>
      <c r="AD71" s="31"/>
      <c r="AE71" s="31"/>
      <c r="AF71" s="33"/>
      <c r="AH71" s="16">
        <f t="shared" si="6"/>
        <v>0</v>
      </c>
      <c r="AI71" s="16">
        <f t="shared" si="7"/>
        <v>0</v>
      </c>
    </row>
    <row r="72" spans="1:35" ht="20.100000000000001" customHeight="1"/>
    <row r="73" spans="1:35" s="6" customFormat="1" ht="20.100000000000001" customHeight="1">
      <c r="A73" s="88" t="s">
        <v>17</v>
      </c>
      <c r="B73" s="17">
        <v>1</v>
      </c>
      <c r="C73" s="17">
        <v>2</v>
      </c>
      <c r="D73" s="17">
        <v>3</v>
      </c>
      <c r="E73" s="17">
        <v>4</v>
      </c>
      <c r="F73" s="17">
        <v>5</v>
      </c>
      <c r="G73" s="17">
        <v>6</v>
      </c>
      <c r="H73" s="17">
        <v>7</v>
      </c>
      <c r="I73" s="17">
        <v>8</v>
      </c>
      <c r="J73" s="17">
        <v>9</v>
      </c>
      <c r="K73" s="32">
        <v>10</v>
      </c>
      <c r="L73" s="17">
        <v>11</v>
      </c>
      <c r="M73" s="32">
        <v>12</v>
      </c>
      <c r="N73" s="32">
        <v>13</v>
      </c>
      <c r="O73" s="17">
        <v>14</v>
      </c>
      <c r="P73" s="17">
        <v>15</v>
      </c>
      <c r="Q73" s="17">
        <v>16</v>
      </c>
      <c r="R73" s="17">
        <v>17</v>
      </c>
      <c r="S73" s="17">
        <v>18</v>
      </c>
      <c r="T73" s="17">
        <v>19</v>
      </c>
      <c r="U73" s="17">
        <v>20</v>
      </c>
      <c r="V73" s="17">
        <v>21</v>
      </c>
      <c r="W73" s="17">
        <v>22</v>
      </c>
      <c r="X73" s="17">
        <v>23</v>
      </c>
      <c r="Y73" s="17">
        <v>24</v>
      </c>
      <c r="Z73" s="17">
        <v>25</v>
      </c>
      <c r="AA73" s="17">
        <v>26</v>
      </c>
      <c r="AB73" s="17">
        <v>27</v>
      </c>
      <c r="AC73" s="17">
        <v>28</v>
      </c>
      <c r="AD73" s="17">
        <v>29</v>
      </c>
      <c r="AE73" s="17">
        <v>30</v>
      </c>
      <c r="AH73" s="93" t="s">
        <v>18</v>
      </c>
      <c r="AI73" s="93" t="s">
        <v>19</v>
      </c>
    </row>
    <row r="74" spans="1:35" ht="20.100000000000001" customHeight="1">
      <c r="A74" s="95"/>
      <c r="B74" s="10" t="str">
        <f>'2020'!B28</f>
        <v>Sze</v>
      </c>
      <c r="C74" s="10" t="str">
        <f>'2020'!C28</f>
        <v>Cs</v>
      </c>
      <c r="D74" s="10" t="str">
        <f>'2020'!D28</f>
        <v>P</v>
      </c>
      <c r="E74" s="10" t="str">
        <f>'2020'!E28</f>
        <v>Szo</v>
      </c>
      <c r="F74" s="10" t="str">
        <f>'2020'!F28</f>
        <v>V</v>
      </c>
      <c r="G74" s="10" t="str">
        <f>'2020'!G28</f>
        <v>H</v>
      </c>
      <c r="H74" s="10" t="str">
        <f>'2020'!H28</f>
        <v>K</v>
      </c>
      <c r="I74" s="10" t="str">
        <f>'2020'!I28</f>
        <v>Sze</v>
      </c>
      <c r="J74" s="10" t="str">
        <f>'2020'!J28</f>
        <v>Cs</v>
      </c>
      <c r="K74" s="10" t="str">
        <f>'2020'!K28</f>
        <v>P</v>
      </c>
      <c r="L74" s="10" t="str">
        <f>'2020'!L28</f>
        <v>Szo</v>
      </c>
      <c r="M74" s="10" t="str">
        <f>'2020'!M28</f>
        <v>V</v>
      </c>
      <c r="N74" s="10" t="str">
        <f>'2020'!N28</f>
        <v>H</v>
      </c>
      <c r="O74" s="10" t="str">
        <f>'2020'!O28</f>
        <v>K</v>
      </c>
      <c r="P74" s="10" t="str">
        <f>'2020'!P28</f>
        <v>Sze</v>
      </c>
      <c r="Q74" s="10" t="str">
        <f>'2020'!Q28</f>
        <v>Cs</v>
      </c>
      <c r="R74" s="10" t="str">
        <f>'2020'!R28</f>
        <v>P</v>
      </c>
      <c r="S74" s="10" t="str">
        <f>'2020'!S28</f>
        <v>Szo</v>
      </c>
      <c r="T74" s="10" t="str">
        <f>'2020'!T28</f>
        <v>V</v>
      </c>
      <c r="U74" s="10" t="str">
        <f>'2020'!U28</f>
        <v>H</v>
      </c>
      <c r="V74" s="10" t="str">
        <f>'2020'!V28</f>
        <v>K</v>
      </c>
      <c r="W74" s="10" t="str">
        <f>'2020'!W28</f>
        <v>Sze</v>
      </c>
      <c r="X74" s="10" t="str">
        <f>'2020'!X28</f>
        <v>Cs</v>
      </c>
      <c r="Y74" s="10" t="str">
        <f>'2020'!Y28</f>
        <v>P</v>
      </c>
      <c r="Z74" s="10" t="str">
        <f>'2020'!Z28</f>
        <v>Szo</v>
      </c>
      <c r="AA74" s="10" t="str">
        <f>'2020'!AA28</f>
        <v>V</v>
      </c>
      <c r="AB74" s="10" t="str">
        <f>'2020'!AB28</f>
        <v>H</v>
      </c>
      <c r="AC74" s="10" t="str">
        <f>'2020'!AC28</f>
        <v>K</v>
      </c>
      <c r="AD74" s="10" t="str">
        <f>'2020'!AD28</f>
        <v>Sze</v>
      </c>
      <c r="AE74" s="10" t="str">
        <f>'2020'!AE28</f>
        <v>Cs</v>
      </c>
      <c r="AF74" s="1"/>
      <c r="AH74" s="94"/>
      <c r="AI74" s="94"/>
    </row>
    <row r="75" spans="1:35" ht="20.100000000000001" customHeight="1">
      <c r="A75" s="95"/>
      <c r="B75" s="10">
        <f>'2020'!B32</f>
        <v>3</v>
      </c>
      <c r="C75" s="10" t="str">
        <f>'2020'!C32</f>
        <v>X</v>
      </c>
      <c r="D75" s="10" t="str">
        <f>'2020'!D32</f>
        <v>X</v>
      </c>
      <c r="E75" s="10">
        <f>'2020'!E32</f>
        <v>2</v>
      </c>
      <c r="F75" s="10">
        <f>'2020'!F32</f>
        <v>2</v>
      </c>
      <c r="G75" s="10">
        <f>'2020'!G32</f>
        <v>2</v>
      </c>
      <c r="H75" s="10">
        <f>'2020'!H32</f>
        <v>2</v>
      </c>
      <c r="I75" s="10">
        <f>'2020'!I32</f>
        <v>2</v>
      </c>
      <c r="J75" s="10">
        <f>'2020'!J32</f>
        <v>2</v>
      </c>
      <c r="K75" s="10" t="str">
        <f>'2020'!K32</f>
        <v>X</v>
      </c>
      <c r="L75" s="10" t="str">
        <f>'2020'!L32</f>
        <v>X</v>
      </c>
      <c r="M75" s="10">
        <f>'2020'!M32</f>
        <v>1</v>
      </c>
      <c r="N75" s="10">
        <f>'2020'!N32</f>
        <v>1</v>
      </c>
      <c r="O75" s="10">
        <f>'2020'!O32</f>
        <v>1</v>
      </c>
      <c r="P75" s="10">
        <f>'2020'!P32</f>
        <v>1</v>
      </c>
      <c r="Q75" s="10">
        <f>'2020'!Q32</f>
        <v>1</v>
      </c>
      <c r="R75" s="10">
        <f>'2020'!R32</f>
        <v>1</v>
      </c>
      <c r="S75" s="10" t="str">
        <f>'2020'!S32</f>
        <v>X</v>
      </c>
      <c r="T75" s="10" t="str">
        <f>'2020'!T32</f>
        <v>X</v>
      </c>
      <c r="U75" s="10">
        <f>'2020'!U32</f>
        <v>3</v>
      </c>
      <c r="V75" s="10">
        <f>'2020'!V32</f>
        <v>3</v>
      </c>
      <c r="W75" s="10">
        <f>'2020'!W32</f>
        <v>3</v>
      </c>
      <c r="X75" s="10">
        <f>'2020'!X32</f>
        <v>3</v>
      </c>
      <c r="Y75" s="10">
        <f>'2020'!Y32</f>
        <v>3</v>
      </c>
      <c r="Z75" s="10">
        <f>'2020'!Z32</f>
        <v>3</v>
      </c>
      <c r="AA75" s="10" t="str">
        <f>'2020'!AA32</f>
        <v>X</v>
      </c>
      <c r="AB75" s="10" t="str">
        <f>'2020'!AB32</f>
        <v>X</v>
      </c>
      <c r="AC75" s="10">
        <f>'2020'!AC32</f>
        <v>2</v>
      </c>
      <c r="AD75" s="10">
        <f>'2020'!AD32</f>
        <v>2</v>
      </c>
      <c r="AE75" s="10">
        <f>'2020'!AE32</f>
        <v>2</v>
      </c>
      <c r="AF75" s="1"/>
      <c r="AH75" s="94"/>
      <c r="AI75" s="94"/>
    </row>
    <row r="76" spans="1:35" ht="20.100000000000001" customHeight="1">
      <c r="A76" s="18" t="str">
        <f>ÖSSZES!$A$72</f>
        <v>Daku Gábor</v>
      </c>
      <c r="B76" s="33">
        <f>[1]D!B37</f>
        <v>3</v>
      </c>
      <c r="C76" s="58" t="str">
        <f>[1]D!C37</f>
        <v>X</v>
      </c>
      <c r="D76" s="58" t="str">
        <f>[1]D!D37</f>
        <v>X</v>
      </c>
      <c r="E76" s="15">
        <f>[1]D!E37</f>
        <v>2</v>
      </c>
      <c r="F76" s="15">
        <f>[1]D!F37</f>
        <v>2</v>
      </c>
      <c r="G76" s="15">
        <f>[1]D!G37</f>
        <v>2</v>
      </c>
      <c r="H76" s="15">
        <f>[1]D!H37</f>
        <v>2</v>
      </c>
      <c r="I76" s="33" t="str">
        <f>[1]D!I37</f>
        <v>+</v>
      </c>
      <c r="J76" s="33" t="str">
        <f>[1]D!J37</f>
        <v>szf</v>
      </c>
      <c r="K76" s="58" t="str">
        <f>[1]D!K37</f>
        <v>X</v>
      </c>
      <c r="L76" s="58" t="str">
        <f>[1]D!L37</f>
        <v>X</v>
      </c>
      <c r="M76" s="60">
        <f>[1]D!M37</f>
        <v>1</v>
      </c>
      <c r="N76" s="60">
        <f>[1]D!N37</f>
        <v>1</v>
      </c>
      <c r="O76" s="15">
        <f>[1]D!O37</f>
        <v>1</v>
      </c>
      <c r="P76" s="15">
        <f>[1]D!P37</f>
        <v>1</v>
      </c>
      <c r="Q76" s="33">
        <f>[1]D!Q37</f>
        <v>1</v>
      </c>
      <c r="R76" s="33">
        <f>[1]D!R37</f>
        <v>1</v>
      </c>
      <c r="S76" s="58" t="str">
        <f>[1]D!S37</f>
        <v>X</v>
      </c>
      <c r="T76" s="58" t="str">
        <f>[1]D!T37</f>
        <v>X</v>
      </c>
      <c r="U76" s="15">
        <f>[1]D!U37</f>
        <v>3</v>
      </c>
      <c r="V76" s="15">
        <f>[1]D!V37</f>
        <v>3</v>
      </c>
      <c r="W76" s="15">
        <f>[1]D!W37</f>
        <v>3</v>
      </c>
      <c r="X76" s="15">
        <f>[1]D!X37</f>
        <v>3</v>
      </c>
      <c r="Y76" s="33">
        <f>[1]D!Y37</f>
        <v>3</v>
      </c>
      <c r="Z76" s="33">
        <f>[1]D!Z37</f>
        <v>3</v>
      </c>
      <c r="AA76" s="58" t="str">
        <f>[1]D!AA37</f>
        <v>X</v>
      </c>
      <c r="AB76" s="58" t="str">
        <f>[1]D!AB37</f>
        <v>X</v>
      </c>
      <c r="AC76" s="15">
        <f>[1]D!AC37</f>
        <v>2</v>
      </c>
      <c r="AD76" s="15">
        <f>[1]D!AD37</f>
        <v>2</v>
      </c>
      <c r="AE76" s="33">
        <f>[1]D!AE37</f>
        <v>2</v>
      </c>
      <c r="AF76" s="1"/>
      <c r="AH76" s="16">
        <f>1*COUNTIF(A76:AF76,"+")</f>
        <v>1</v>
      </c>
      <c r="AI76" s="16">
        <f t="shared" ref="AI76" si="8">1*COUNTIF(B76:AF76,"szf")</f>
        <v>1</v>
      </c>
    </row>
    <row r="77" spans="1:35" ht="20.100000000000001" customHeight="1">
      <c r="A77" s="18" t="str">
        <f>ÖSSZES!$A$73</f>
        <v>Borbély Csaba</v>
      </c>
      <c r="B77" s="33">
        <f>[1]D!B38</f>
        <v>3</v>
      </c>
      <c r="C77" s="58" t="str">
        <f>[1]D!C38</f>
        <v>X</v>
      </c>
      <c r="D77" s="58" t="str">
        <f>[1]D!D38</f>
        <v>X</v>
      </c>
      <c r="E77" s="15">
        <f>[1]D!E38</f>
        <v>2</v>
      </c>
      <c r="F77" s="15">
        <f>[1]D!F38</f>
        <v>2</v>
      </c>
      <c r="G77" s="15">
        <f>[1]D!G38</f>
        <v>2</v>
      </c>
      <c r="H77" s="15">
        <f>[1]D!H38</f>
        <v>2</v>
      </c>
      <c r="I77" s="33">
        <f>[1]D!I38</f>
        <v>2</v>
      </c>
      <c r="J77" s="33">
        <f>[1]D!J38</f>
        <v>2</v>
      </c>
      <c r="K77" s="58" t="str">
        <f>[1]D!K38</f>
        <v>X</v>
      </c>
      <c r="L77" s="58" t="str">
        <f>[1]D!L38</f>
        <v>X</v>
      </c>
      <c r="M77" s="60">
        <f>[1]D!M38</f>
        <v>1</v>
      </c>
      <c r="N77" s="60">
        <f>[1]D!N38</f>
        <v>1</v>
      </c>
      <c r="O77" s="15">
        <f>[1]D!O38</f>
        <v>1</v>
      </c>
      <c r="P77" s="15">
        <f>[1]D!P38</f>
        <v>1</v>
      </c>
      <c r="Q77" s="33">
        <f>[1]D!Q38</f>
        <v>1</v>
      </c>
      <c r="R77" s="33">
        <f>[1]D!R38</f>
        <v>1</v>
      </c>
      <c r="S77" s="58" t="str">
        <f>[1]D!S38</f>
        <v>X</v>
      </c>
      <c r="T77" s="58" t="str">
        <f>[1]D!T38</f>
        <v>X</v>
      </c>
      <c r="U77" s="15">
        <f>[1]D!U38</f>
        <v>3</v>
      </c>
      <c r="V77" s="15">
        <f>[1]D!V38</f>
        <v>3</v>
      </c>
      <c r="W77" s="15">
        <f>[1]D!W38</f>
        <v>3</v>
      </c>
      <c r="X77" s="15">
        <f>[1]D!X38</f>
        <v>3</v>
      </c>
      <c r="Y77" s="33">
        <f>[1]D!Y38</f>
        <v>3</v>
      </c>
      <c r="Z77" s="33" t="str">
        <f>[1]D!Z38</f>
        <v>+</v>
      </c>
      <c r="AA77" s="58" t="str">
        <f>[1]D!AA38</f>
        <v>X</v>
      </c>
      <c r="AB77" s="58" t="str">
        <f>[1]D!AB38</f>
        <v>X</v>
      </c>
      <c r="AC77" s="15">
        <f>[1]D!AC38</f>
        <v>2</v>
      </c>
      <c r="AD77" s="15">
        <f>[1]D!AD38</f>
        <v>2</v>
      </c>
      <c r="AE77" s="33">
        <f>[1]D!AE38</f>
        <v>2</v>
      </c>
      <c r="AF77" s="1"/>
      <c r="AH77" s="16">
        <f t="shared" ref="AH77:AH95" si="9">1*COUNTIF(A77:AF77,"+")</f>
        <v>1</v>
      </c>
      <c r="AI77" s="16">
        <f t="shared" ref="AI77:AI95" si="10">1*COUNTIF(B77:AF77,"szf")</f>
        <v>0</v>
      </c>
    </row>
    <row r="78" spans="1:35" ht="20.100000000000001" customHeight="1">
      <c r="A78" s="18" t="str">
        <f>ÖSSZES!$A$74</f>
        <v>Erdei Bálint</v>
      </c>
      <c r="B78" s="33">
        <f>[1]D!B39</f>
        <v>3</v>
      </c>
      <c r="C78" s="58" t="str">
        <f>[1]D!C39</f>
        <v>X</v>
      </c>
      <c r="D78" s="58" t="str">
        <f>[1]D!D39</f>
        <v>X</v>
      </c>
      <c r="E78" s="15">
        <f>[1]D!E39</f>
        <v>2</v>
      </c>
      <c r="F78" s="15">
        <f>[1]D!F39</f>
        <v>2</v>
      </c>
      <c r="G78" s="15">
        <f>[1]D!G39</f>
        <v>2</v>
      </c>
      <c r="H78" s="15">
        <f>[1]D!H39</f>
        <v>2</v>
      </c>
      <c r="I78" s="33">
        <f>[1]D!I39</f>
        <v>2</v>
      </c>
      <c r="J78" s="33">
        <f>[1]D!J39</f>
        <v>2</v>
      </c>
      <c r="K78" s="58" t="str">
        <f>[1]D!K39</f>
        <v>X</v>
      </c>
      <c r="L78" s="58" t="str">
        <f>[1]D!L39</f>
        <v>X</v>
      </c>
      <c r="M78" s="60">
        <f>[1]D!M39</f>
        <v>1</v>
      </c>
      <c r="N78" s="60">
        <f>[1]D!N39</f>
        <v>1</v>
      </c>
      <c r="O78" s="15">
        <f>[1]D!O39</f>
        <v>1</v>
      </c>
      <c r="P78" s="15">
        <f>[1]D!P39</f>
        <v>1</v>
      </c>
      <c r="Q78" s="33">
        <f>[1]D!Q39</f>
        <v>1</v>
      </c>
      <c r="R78" s="33">
        <f>[1]D!R39</f>
        <v>1</v>
      </c>
      <c r="S78" s="58" t="str">
        <f>[1]D!S39</f>
        <v>X</v>
      </c>
      <c r="T78" s="58" t="str">
        <f>[1]D!T39</f>
        <v>X</v>
      </c>
      <c r="U78" s="15">
        <f>[1]D!U39</f>
        <v>3</v>
      </c>
      <c r="V78" s="15">
        <f>[1]D!V39</f>
        <v>3</v>
      </c>
      <c r="W78" s="15">
        <f>[1]D!W39</f>
        <v>3</v>
      </c>
      <c r="X78" s="15">
        <f>[1]D!X39</f>
        <v>3</v>
      </c>
      <c r="Y78" s="33" t="str">
        <f>[1]D!Y39</f>
        <v>+</v>
      </c>
      <c r="Z78" s="33" t="str">
        <f>[1]D!Z39</f>
        <v>szf</v>
      </c>
      <c r="AA78" s="58" t="str">
        <f>[1]D!AA39</f>
        <v>X</v>
      </c>
      <c r="AB78" s="58" t="str">
        <f>[1]D!AB39</f>
        <v>X</v>
      </c>
      <c r="AC78" s="15">
        <f>[1]D!AC39</f>
        <v>2</v>
      </c>
      <c r="AD78" s="15">
        <f>[1]D!AD39</f>
        <v>2</v>
      </c>
      <c r="AE78" s="33">
        <f>[1]D!AE39</f>
        <v>2</v>
      </c>
      <c r="AF78" s="1"/>
      <c r="AH78" s="16">
        <f t="shared" si="9"/>
        <v>1</v>
      </c>
      <c r="AI78" s="16">
        <f t="shared" si="10"/>
        <v>1</v>
      </c>
    </row>
    <row r="79" spans="1:35" ht="20.100000000000001" customHeight="1">
      <c r="A79" s="18" t="str">
        <f>ÖSSZES!$A$75</f>
        <v>Fábián Gábor</v>
      </c>
      <c r="B79" s="33">
        <f>[1]D!B40</f>
        <v>3</v>
      </c>
      <c r="C79" s="58" t="str">
        <f>[1]D!C40</f>
        <v>X</v>
      </c>
      <c r="D79" s="58" t="str">
        <f>[1]D!D40</f>
        <v>X</v>
      </c>
      <c r="E79" s="15">
        <f>[1]D!E40</f>
        <v>2</v>
      </c>
      <c r="F79" s="15">
        <f>[1]D!F40</f>
        <v>2</v>
      </c>
      <c r="G79" s="15">
        <f>[1]D!G40</f>
        <v>2</v>
      </c>
      <c r="H79" s="15">
        <f>[1]D!H40</f>
        <v>2</v>
      </c>
      <c r="I79" s="33">
        <f>[1]D!I40</f>
        <v>2</v>
      </c>
      <c r="J79" s="33">
        <f>[1]D!J40</f>
        <v>2</v>
      </c>
      <c r="K79" s="58" t="str">
        <f>[1]D!K40</f>
        <v>X</v>
      </c>
      <c r="L79" s="58" t="str">
        <f>[1]D!L40</f>
        <v>X</v>
      </c>
      <c r="M79" s="60">
        <f>[1]D!M40</f>
        <v>1</v>
      </c>
      <c r="N79" s="60">
        <f>[1]D!N40</f>
        <v>1</v>
      </c>
      <c r="O79" s="15">
        <f>[1]D!O40</f>
        <v>1</v>
      </c>
      <c r="P79" s="15">
        <f>[1]D!P40</f>
        <v>1</v>
      </c>
      <c r="Q79" s="33">
        <f>[1]D!Q40</f>
        <v>1</v>
      </c>
      <c r="R79" s="33">
        <f>[1]D!R40</f>
        <v>1</v>
      </c>
      <c r="S79" s="58" t="str">
        <f>[1]D!S40</f>
        <v>X</v>
      </c>
      <c r="T79" s="58" t="str">
        <f>[1]D!T40</f>
        <v>X</v>
      </c>
      <c r="U79" s="15">
        <f>[1]D!U40</f>
        <v>3</v>
      </c>
      <c r="V79" s="15">
        <f>[1]D!V40</f>
        <v>3</v>
      </c>
      <c r="W79" s="15">
        <f>[1]D!W40</f>
        <v>3</v>
      </c>
      <c r="X79" s="15">
        <f>[1]D!X40</f>
        <v>3</v>
      </c>
      <c r="Y79" s="33">
        <f>[1]D!Y40</f>
        <v>3</v>
      </c>
      <c r="Z79" s="33" t="str">
        <f>[1]D!Z40</f>
        <v>+</v>
      </c>
      <c r="AA79" s="58" t="str">
        <f>[1]D!AA40</f>
        <v>X</v>
      </c>
      <c r="AB79" s="58" t="str">
        <f>[1]D!AB40</f>
        <v>X</v>
      </c>
      <c r="AC79" s="15">
        <f>[1]D!AC40</f>
        <v>2</v>
      </c>
      <c r="AD79" s="15">
        <f>[1]D!AD40</f>
        <v>2</v>
      </c>
      <c r="AE79" s="33">
        <f>[1]D!AE40</f>
        <v>2</v>
      </c>
      <c r="AF79" s="1"/>
      <c r="AH79" s="16">
        <f t="shared" si="9"/>
        <v>1</v>
      </c>
      <c r="AI79" s="16">
        <f t="shared" si="10"/>
        <v>0</v>
      </c>
    </row>
    <row r="80" spans="1:35" ht="20.100000000000001" customHeight="1">
      <c r="A80" s="18" t="str">
        <f>ÖSSZES!$A$76</f>
        <v>Gellei Zsolt</v>
      </c>
      <c r="B80" s="33">
        <f>[1]D!B41</f>
        <v>3</v>
      </c>
      <c r="C80" s="58" t="str">
        <f>[1]D!C41</f>
        <v>X</v>
      </c>
      <c r="D80" s="58" t="str">
        <f>[1]D!D41</f>
        <v>X</v>
      </c>
      <c r="E80" s="15">
        <f>[1]D!E41</f>
        <v>2</v>
      </c>
      <c r="F80" s="15">
        <f>[1]D!F41</f>
        <v>2</v>
      </c>
      <c r="G80" s="15">
        <f>[1]D!G41</f>
        <v>2</v>
      </c>
      <c r="H80" s="15">
        <f>[1]D!H41</f>
        <v>2</v>
      </c>
      <c r="I80" s="33">
        <f>[1]D!I41</f>
        <v>2</v>
      </c>
      <c r="J80" s="33">
        <f>[1]D!J41</f>
        <v>2</v>
      </c>
      <c r="K80" s="58" t="str">
        <f>[1]D!K41</f>
        <v>X</v>
      </c>
      <c r="L80" s="58" t="str">
        <f>[1]D!L41</f>
        <v>X</v>
      </c>
      <c r="M80" s="60">
        <f>[1]D!M41</f>
        <v>1</v>
      </c>
      <c r="N80" s="60">
        <f>[1]D!N41</f>
        <v>1</v>
      </c>
      <c r="O80" s="15">
        <f>[1]D!O41</f>
        <v>1</v>
      </c>
      <c r="P80" s="15">
        <f>[1]D!P41</f>
        <v>1</v>
      </c>
      <c r="Q80" s="33">
        <f>[1]D!Q41</f>
        <v>1</v>
      </c>
      <c r="R80" s="33">
        <f>[1]D!R41</f>
        <v>1</v>
      </c>
      <c r="S80" s="58" t="str">
        <f>[1]D!S41</f>
        <v>X</v>
      </c>
      <c r="T80" s="58" t="str">
        <f>[1]D!T41</f>
        <v>X</v>
      </c>
      <c r="U80" s="15">
        <f>[1]D!U41</f>
        <v>3</v>
      </c>
      <c r="V80" s="15">
        <f>[1]D!V41</f>
        <v>3</v>
      </c>
      <c r="W80" s="15">
        <f>[1]D!W41</f>
        <v>3</v>
      </c>
      <c r="X80" s="15" t="str">
        <f>[1]D!X41</f>
        <v>+</v>
      </c>
      <c r="Y80" s="33">
        <f>[1]D!Y41</f>
        <v>3</v>
      </c>
      <c r="Z80" s="33">
        <f>[1]D!Z41</f>
        <v>3</v>
      </c>
      <c r="AA80" s="58" t="str">
        <f>[1]D!AA41</f>
        <v>X</v>
      </c>
      <c r="AB80" s="58" t="str">
        <f>[1]D!AB41</f>
        <v>X</v>
      </c>
      <c r="AC80" s="15">
        <f>[1]D!AC41</f>
        <v>2</v>
      </c>
      <c r="AD80" s="15">
        <f>[1]D!AD41</f>
        <v>2</v>
      </c>
      <c r="AE80" s="33">
        <f>[1]D!AE41</f>
        <v>2</v>
      </c>
      <c r="AF80" s="1"/>
      <c r="AH80" s="16">
        <f t="shared" si="9"/>
        <v>1</v>
      </c>
      <c r="AI80" s="16">
        <f t="shared" si="10"/>
        <v>0</v>
      </c>
    </row>
    <row r="81" spans="1:35" ht="20.100000000000001" customHeight="1">
      <c r="A81" s="18" t="str">
        <f>ÖSSZES!$A$77</f>
        <v>Kiss Gyula</v>
      </c>
      <c r="B81" s="33">
        <f>[1]D!B42</f>
        <v>3</v>
      </c>
      <c r="C81" s="58" t="str">
        <f>[1]D!C42</f>
        <v>X</v>
      </c>
      <c r="D81" s="58" t="str">
        <f>[1]D!D42</f>
        <v>X</v>
      </c>
      <c r="E81" s="15">
        <f>[1]D!E42</f>
        <v>2</v>
      </c>
      <c r="F81" s="15" t="str">
        <f>[1]D!F42</f>
        <v>+</v>
      </c>
      <c r="G81" s="15">
        <f>[1]D!G42</f>
        <v>2</v>
      </c>
      <c r="H81" s="15">
        <f>[1]D!H42</f>
        <v>2</v>
      </c>
      <c r="I81" s="33">
        <f>[1]D!I42</f>
        <v>2</v>
      </c>
      <c r="J81" s="33">
        <f>[1]D!J42</f>
        <v>2</v>
      </c>
      <c r="K81" s="58" t="str">
        <f>[1]D!K42</f>
        <v>X</v>
      </c>
      <c r="L81" s="58" t="str">
        <f>[1]D!L42</f>
        <v>X</v>
      </c>
      <c r="M81" s="60">
        <f>[1]D!M42</f>
        <v>1</v>
      </c>
      <c r="N81" s="60">
        <f>[1]D!N42</f>
        <v>1</v>
      </c>
      <c r="O81" s="15">
        <f>[1]D!O42</f>
        <v>1</v>
      </c>
      <c r="P81" s="15">
        <f>[1]D!P42</f>
        <v>1</v>
      </c>
      <c r="Q81" s="33">
        <f>[1]D!Q42</f>
        <v>1</v>
      </c>
      <c r="R81" s="33">
        <f>[1]D!R42</f>
        <v>1</v>
      </c>
      <c r="S81" s="58" t="str">
        <f>[1]D!S42</f>
        <v>X</v>
      </c>
      <c r="T81" s="58" t="str">
        <f>[1]D!T42</f>
        <v>X</v>
      </c>
      <c r="U81" s="15">
        <f>[1]D!U42</f>
        <v>3</v>
      </c>
      <c r="V81" s="15">
        <f>[1]D!V42</f>
        <v>3</v>
      </c>
      <c r="W81" s="15">
        <f>[1]D!W42</f>
        <v>3</v>
      </c>
      <c r="X81" s="15">
        <f>[1]D!X42</f>
        <v>3</v>
      </c>
      <c r="Y81" s="33">
        <f>[1]D!Y42</f>
        <v>3</v>
      </c>
      <c r="Z81" s="33">
        <f>[1]D!Z42</f>
        <v>3</v>
      </c>
      <c r="AA81" s="58" t="str">
        <f>[1]D!AA42</f>
        <v>X</v>
      </c>
      <c r="AB81" s="58" t="str">
        <f>[1]D!AB42</f>
        <v>X</v>
      </c>
      <c r="AC81" s="15" t="str">
        <f>[1]D!AC42</f>
        <v>szf</v>
      </c>
      <c r="AD81" s="15" t="str">
        <f>[1]D!AD42</f>
        <v>szf</v>
      </c>
      <c r="AE81" s="33">
        <f>[1]D!AE42</f>
        <v>2</v>
      </c>
      <c r="AF81" s="1"/>
      <c r="AH81" s="16">
        <f t="shared" si="9"/>
        <v>1</v>
      </c>
      <c r="AI81" s="16">
        <f t="shared" si="10"/>
        <v>2</v>
      </c>
    </row>
    <row r="82" spans="1:35" ht="20.100000000000001" customHeight="1">
      <c r="A82" s="18" t="str">
        <f>ÖSSZES!$A$78</f>
        <v>Nagy István</v>
      </c>
      <c r="B82" s="33">
        <f>[1]D!B43</f>
        <v>3</v>
      </c>
      <c r="C82" s="58" t="str">
        <f>[1]D!C43</f>
        <v>X</v>
      </c>
      <c r="D82" s="58" t="str">
        <f>[1]D!D43</f>
        <v>X</v>
      </c>
      <c r="E82" s="15">
        <f>[1]D!E43</f>
        <v>2</v>
      </c>
      <c r="F82" s="15">
        <f>[1]D!F43</f>
        <v>2</v>
      </c>
      <c r="G82" s="15">
        <f>[1]D!G43</f>
        <v>2</v>
      </c>
      <c r="H82" s="15">
        <f>[1]D!H43</f>
        <v>2</v>
      </c>
      <c r="I82" s="33">
        <f>[1]D!I43</f>
        <v>2</v>
      </c>
      <c r="J82" s="33" t="str">
        <f>[1]D!J43</f>
        <v>+</v>
      </c>
      <c r="K82" s="58" t="str">
        <f>[1]D!K43</f>
        <v>X</v>
      </c>
      <c r="L82" s="58" t="str">
        <f>[1]D!L43</f>
        <v>X</v>
      </c>
      <c r="M82" s="60">
        <f>[1]D!M43</f>
        <v>1</v>
      </c>
      <c r="N82" s="60">
        <f>[1]D!N43</f>
        <v>1</v>
      </c>
      <c r="O82" s="15">
        <f>[1]D!O43</f>
        <v>1</v>
      </c>
      <c r="P82" s="15">
        <f>[1]D!P43</f>
        <v>1</v>
      </c>
      <c r="Q82" s="33">
        <f>[1]D!Q43</f>
        <v>1</v>
      </c>
      <c r="R82" s="33">
        <f>[1]D!R43</f>
        <v>1</v>
      </c>
      <c r="S82" s="58" t="str">
        <f>[1]D!S43</f>
        <v>X</v>
      </c>
      <c r="T82" s="58" t="str">
        <f>[1]D!T43</f>
        <v>X</v>
      </c>
      <c r="U82" s="15">
        <f>[1]D!U43</f>
        <v>3</v>
      </c>
      <c r="V82" s="15">
        <f>[1]D!V43</f>
        <v>3</v>
      </c>
      <c r="W82" s="15">
        <f>[1]D!W43</f>
        <v>3</v>
      </c>
      <c r="X82" s="15">
        <f>[1]D!X43</f>
        <v>3</v>
      </c>
      <c r="Y82" s="33">
        <f>[1]D!Y43</f>
        <v>3</v>
      </c>
      <c r="Z82" s="33">
        <f>[1]D!Z43</f>
        <v>3</v>
      </c>
      <c r="AA82" s="58" t="str">
        <f>[1]D!AA43</f>
        <v>X</v>
      </c>
      <c r="AB82" s="58" t="str">
        <f>[1]D!AB43</f>
        <v>X</v>
      </c>
      <c r="AC82" s="15">
        <f>[1]D!AC43</f>
        <v>2</v>
      </c>
      <c r="AD82" s="15">
        <f>[1]D!AD43</f>
        <v>2</v>
      </c>
      <c r="AE82" s="33">
        <f>[1]D!AE43</f>
        <v>2</v>
      </c>
      <c r="AF82" s="1"/>
      <c r="AH82" s="16">
        <f t="shared" si="9"/>
        <v>1</v>
      </c>
      <c r="AI82" s="16">
        <f t="shared" si="10"/>
        <v>0</v>
      </c>
    </row>
    <row r="83" spans="1:35" ht="20.100000000000001" hidden="1" customHeight="1">
      <c r="A83" s="18" t="str">
        <f>ÖSSZES!$A$79</f>
        <v>Fényi László</v>
      </c>
      <c r="B83" s="33"/>
      <c r="C83" s="58"/>
      <c r="D83" s="58"/>
      <c r="E83" s="15"/>
      <c r="F83" s="15"/>
      <c r="G83" s="15"/>
      <c r="H83" s="15"/>
      <c r="I83" s="33"/>
      <c r="J83" s="33"/>
      <c r="K83" s="58"/>
      <c r="L83" s="58"/>
      <c r="M83" s="60"/>
      <c r="N83" s="60"/>
      <c r="O83" s="15"/>
      <c r="P83" s="15"/>
      <c r="Q83" s="33"/>
      <c r="R83" s="33"/>
      <c r="S83" s="58"/>
      <c r="T83" s="58"/>
      <c r="U83" s="15"/>
      <c r="V83" s="15"/>
      <c r="W83" s="15"/>
      <c r="X83" s="15"/>
      <c r="Y83" s="33"/>
      <c r="Z83" s="33"/>
      <c r="AA83" s="58"/>
      <c r="AB83" s="58"/>
      <c r="AC83" s="15"/>
      <c r="AD83" s="15"/>
      <c r="AE83" s="33"/>
      <c r="AF83" s="1"/>
      <c r="AH83" s="16">
        <f t="shared" si="9"/>
        <v>0</v>
      </c>
      <c r="AI83" s="16">
        <f t="shared" si="10"/>
        <v>0</v>
      </c>
    </row>
    <row r="84" spans="1:35" ht="20.100000000000001" hidden="1" customHeight="1">
      <c r="A84" s="18" t="str">
        <f>ÖSSZES!$A$80</f>
        <v>Név9</v>
      </c>
      <c r="B84" s="33"/>
      <c r="C84" s="58" t="s">
        <v>2</v>
      </c>
      <c r="D84" s="58" t="s">
        <v>2</v>
      </c>
      <c r="E84" s="15"/>
      <c r="F84" s="15"/>
      <c r="G84" s="15"/>
      <c r="H84" s="15"/>
      <c r="I84" s="33"/>
      <c r="J84" s="33"/>
      <c r="K84" s="58" t="s">
        <v>2</v>
      </c>
      <c r="L84" s="58" t="s">
        <v>2</v>
      </c>
      <c r="M84" s="60"/>
      <c r="N84" s="60"/>
      <c r="O84" s="15"/>
      <c r="P84" s="15"/>
      <c r="Q84" s="33"/>
      <c r="R84" s="33"/>
      <c r="S84" s="58" t="s">
        <v>2</v>
      </c>
      <c r="T84" s="58" t="s">
        <v>2</v>
      </c>
      <c r="U84" s="15"/>
      <c r="V84" s="15"/>
      <c r="W84" s="15"/>
      <c r="X84" s="15"/>
      <c r="Y84" s="33"/>
      <c r="Z84" s="33"/>
      <c r="AA84" s="58" t="s">
        <v>2</v>
      </c>
      <c r="AB84" s="58" t="s">
        <v>2</v>
      </c>
      <c r="AC84" s="15"/>
      <c r="AD84" s="15"/>
      <c r="AE84" s="33"/>
      <c r="AF84" s="1"/>
      <c r="AH84" s="16">
        <f t="shared" si="9"/>
        <v>0</v>
      </c>
      <c r="AI84" s="16">
        <f t="shared" si="10"/>
        <v>0</v>
      </c>
    </row>
    <row r="85" spans="1:35" ht="20.100000000000001" hidden="1" customHeight="1">
      <c r="A85" s="18" t="str">
        <f>ÖSSZES!$A$81</f>
        <v>Név10</v>
      </c>
      <c r="B85" s="33"/>
      <c r="C85" s="58" t="s">
        <v>2</v>
      </c>
      <c r="D85" s="58" t="s">
        <v>2</v>
      </c>
      <c r="E85" s="15"/>
      <c r="F85" s="15"/>
      <c r="G85" s="15"/>
      <c r="H85" s="15"/>
      <c r="I85" s="33"/>
      <c r="J85" s="33"/>
      <c r="K85" s="58" t="s">
        <v>2</v>
      </c>
      <c r="L85" s="58" t="s">
        <v>2</v>
      </c>
      <c r="M85" s="60"/>
      <c r="N85" s="60"/>
      <c r="O85" s="15"/>
      <c r="P85" s="15"/>
      <c r="Q85" s="33"/>
      <c r="R85" s="33"/>
      <c r="S85" s="58" t="s">
        <v>2</v>
      </c>
      <c r="T85" s="58" t="s">
        <v>2</v>
      </c>
      <c r="U85" s="15"/>
      <c r="V85" s="15"/>
      <c r="W85" s="15"/>
      <c r="X85" s="15"/>
      <c r="Y85" s="33"/>
      <c r="Z85" s="33"/>
      <c r="AA85" s="58" t="s">
        <v>2</v>
      </c>
      <c r="AB85" s="58" t="s">
        <v>2</v>
      </c>
      <c r="AC85" s="15"/>
      <c r="AD85" s="15"/>
      <c r="AE85" s="33"/>
      <c r="AF85" s="1"/>
      <c r="AH85" s="16">
        <f t="shared" si="9"/>
        <v>0</v>
      </c>
      <c r="AI85" s="16">
        <f t="shared" si="10"/>
        <v>0</v>
      </c>
    </row>
    <row r="86" spans="1:35" ht="20.100000000000001" hidden="1" customHeight="1">
      <c r="A86" s="18" t="str">
        <f>ÖSSZES!$A$82</f>
        <v>Név11</v>
      </c>
      <c r="B86" s="33"/>
      <c r="C86" s="58" t="s">
        <v>2</v>
      </c>
      <c r="D86" s="58" t="s">
        <v>2</v>
      </c>
      <c r="E86" s="15"/>
      <c r="F86" s="15"/>
      <c r="G86" s="15"/>
      <c r="H86" s="15"/>
      <c r="I86" s="33"/>
      <c r="J86" s="33"/>
      <c r="K86" s="58" t="s">
        <v>2</v>
      </c>
      <c r="L86" s="58" t="s">
        <v>2</v>
      </c>
      <c r="M86" s="60"/>
      <c r="N86" s="60"/>
      <c r="O86" s="15"/>
      <c r="P86" s="15"/>
      <c r="Q86" s="33"/>
      <c r="R86" s="33"/>
      <c r="S86" s="58" t="s">
        <v>2</v>
      </c>
      <c r="T86" s="58" t="s">
        <v>2</v>
      </c>
      <c r="U86" s="15"/>
      <c r="V86" s="15"/>
      <c r="W86" s="15"/>
      <c r="X86" s="15"/>
      <c r="Y86" s="33"/>
      <c r="Z86" s="33"/>
      <c r="AA86" s="58" t="s">
        <v>2</v>
      </c>
      <c r="AB86" s="58" t="s">
        <v>2</v>
      </c>
      <c r="AC86" s="15"/>
      <c r="AD86" s="15"/>
      <c r="AE86" s="33"/>
      <c r="AF86" s="1"/>
      <c r="AH86" s="16">
        <f t="shared" si="9"/>
        <v>0</v>
      </c>
      <c r="AI86" s="16">
        <f t="shared" si="10"/>
        <v>0</v>
      </c>
    </row>
    <row r="87" spans="1:35" ht="20.100000000000001" hidden="1" customHeight="1">
      <c r="A87" s="18" t="str">
        <f>ÖSSZES!$A$83</f>
        <v>Név12</v>
      </c>
      <c r="B87" s="33"/>
      <c r="C87" s="58" t="s">
        <v>2</v>
      </c>
      <c r="D87" s="58" t="s">
        <v>2</v>
      </c>
      <c r="E87" s="15"/>
      <c r="F87" s="15"/>
      <c r="G87" s="15"/>
      <c r="H87" s="15"/>
      <c r="I87" s="33"/>
      <c r="J87" s="33"/>
      <c r="K87" s="58" t="s">
        <v>2</v>
      </c>
      <c r="L87" s="58" t="s">
        <v>2</v>
      </c>
      <c r="M87" s="60"/>
      <c r="N87" s="60"/>
      <c r="O87" s="15"/>
      <c r="P87" s="15"/>
      <c r="Q87" s="33"/>
      <c r="R87" s="33"/>
      <c r="S87" s="58" t="s">
        <v>2</v>
      </c>
      <c r="T87" s="58" t="s">
        <v>2</v>
      </c>
      <c r="U87" s="15"/>
      <c r="V87" s="15"/>
      <c r="W87" s="15"/>
      <c r="X87" s="15"/>
      <c r="Y87" s="33"/>
      <c r="Z87" s="33"/>
      <c r="AA87" s="58" t="s">
        <v>2</v>
      </c>
      <c r="AB87" s="58" t="s">
        <v>2</v>
      </c>
      <c r="AC87" s="15"/>
      <c r="AD87" s="15"/>
      <c r="AE87" s="33"/>
      <c r="AF87" s="1"/>
      <c r="AH87" s="16">
        <f t="shared" si="9"/>
        <v>0</v>
      </c>
      <c r="AI87" s="16">
        <f t="shared" si="10"/>
        <v>0</v>
      </c>
    </row>
    <row r="88" spans="1:35" ht="20.100000000000001" hidden="1" customHeight="1">
      <c r="A88" s="18" t="str">
        <f>ÖSSZES!$A$84</f>
        <v>Név13</v>
      </c>
      <c r="B88" s="33"/>
      <c r="C88" s="58" t="s">
        <v>2</v>
      </c>
      <c r="D88" s="58" t="s">
        <v>2</v>
      </c>
      <c r="E88" s="15"/>
      <c r="F88" s="15"/>
      <c r="G88" s="15"/>
      <c r="H88" s="15"/>
      <c r="I88" s="33"/>
      <c r="J88" s="33"/>
      <c r="K88" s="58" t="s">
        <v>2</v>
      </c>
      <c r="L88" s="58" t="s">
        <v>2</v>
      </c>
      <c r="M88" s="60"/>
      <c r="N88" s="60"/>
      <c r="O88" s="15"/>
      <c r="P88" s="15"/>
      <c r="Q88" s="33"/>
      <c r="R88" s="33"/>
      <c r="S88" s="58" t="s">
        <v>2</v>
      </c>
      <c r="T88" s="58" t="s">
        <v>2</v>
      </c>
      <c r="U88" s="15"/>
      <c r="V88" s="15"/>
      <c r="W88" s="15"/>
      <c r="X88" s="15"/>
      <c r="Y88" s="33"/>
      <c r="Z88" s="33"/>
      <c r="AA88" s="58" t="s">
        <v>2</v>
      </c>
      <c r="AB88" s="58" t="s">
        <v>2</v>
      </c>
      <c r="AC88" s="15"/>
      <c r="AD88" s="15"/>
      <c r="AE88" s="33"/>
      <c r="AF88" s="1"/>
      <c r="AH88" s="16">
        <f t="shared" si="9"/>
        <v>0</v>
      </c>
      <c r="AI88" s="16">
        <f t="shared" si="10"/>
        <v>0</v>
      </c>
    </row>
    <row r="89" spans="1:35" ht="20.100000000000001" hidden="1" customHeight="1">
      <c r="A89" s="18" t="str">
        <f>ÖSSZES!$A$85</f>
        <v>Név14</v>
      </c>
      <c r="B89" s="33"/>
      <c r="C89" s="58" t="s">
        <v>2</v>
      </c>
      <c r="D89" s="58" t="s">
        <v>2</v>
      </c>
      <c r="E89" s="15"/>
      <c r="F89" s="15"/>
      <c r="G89" s="15"/>
      <c r="H89" s="15"/>
      <c r="I89" s="33"/>
      <c r="J89" s="33"/>
      <c r="K89" s="58" t="s">
        <v>2</v>
      </c>
      <c r="L89" s="58" t="s">
        <v>2</v>
      </c>
      <c r="M89" s="60"/>
      <c r="N89" s="60"/>
      <c r="O89" s="15"/>
      <c r="P89" s="15"/>
      <c r="Q89" s="33"/>
      <c r="R89" s="33"/>
      <c r="S89" s="58" t="s">
        <v>2</v>
      </c>
      <c r="T89" s="58" t="s">
        <v>2</v>
      </c>
      <c r="U89" s="15"/>
      <c r="V89" s="15"/>
      <c r="W89" s="15"/>
      <c r="X89" s="15"/>
      <c r="Y89" s="33"/>
      <c r="Z89" s="33"/>
      <c r="AA89" s="58" t="s">
        <v>2</v>
      </c>
      <c r="AB89" s="58" t="s">
        <v>2</v>
      </c>
      <c r="AC89" s="15"/>
      <c r="AD89" s="15"/>
      <c r="AE89" s="33"/>
      <c r="AF89" s="1"/>
      <c r="AH89" s="16">
        <f t="shared" si="9"/>
        <v>0</v>
      </c>
      <c r="AI89" s="16">
        <f t="shared" si="10"/>
        <v>0</v>
      </c>
    </row>
    <row r="90" spans="1:35" ht="20.100000000000001" hidden="1" customHeight="1">
      <c r="A90" s="18" t="str">
        <f>ÖSSZES!$A$86</f>
        <v>Név15</v>
      </c>
      <c r="B90" s="33"/>
      <c r="C90" s="58" t="s">
        <v>2</v>
      </c>
      <c r="D90" s="58" t="s">
        <v>2</v>
      </c>
      <c r="E90" s="15"/>
      <c r="F90" s="15"/>
      <c r="G90" s="15"/>
      <c r="H90" s="15"/>
      <c r="I90" s="33"/>
      <c r="J90" s="33"/>
      <c r="K90" s="58" t="s">
        <v>2</v>
      </c>
      <c r="L90" s="58" t="s">
        <v>2</v>
      </c>
      <c r="M90" s="60"/>
      <c r="N90" s="60"/>
      <c r="O90" s="15"/>
      <c r="P90" s="15"/>
      <c r="Q90" s="33"/>
      <c r="R90" s="33"/>
      <c r="S90" s="58" t="s">
        <v>2</v>
      </c>
      <c r="T90" s="58" t="s">
        <v>2</v>
      </c>
      <c r="U90" s="15"/>
      <c r="V90" s="15"/>
      <c r="W90" s="15"/>
      <c r="X90" s="15"/>
      <c r="Y90" s="33"/>
      <c r="Z90" s="33"/>
      <c r="AA90" s="58" t="s">
        <v>2</v>
      </c>
      <c r="AB90" s="58" t="s">
        <v>2</v>
      </c>
      <c r="AC90" s="15"/>
      <c r="AD90" s="15"/>
      <c r="AE90" s="33"/>
      <c r="AF90" s="1"/>
      <c r="AH90" s="16">
        <f t="shared" si="9"/>
        <v>0</v>
      </c>
      <c r="AI90" s="16">
        <f t="shared" si="10"/>
        <v>0</v>
      </c>
    </row>
    <row r="91" spans="1:35" ht="20.100000000000001" hidden="1" customHeight="1">
      <c r="A91" s="18" t="str">
        <f>ÖSSZES!$A$87</f>
        <v>Név16</v>
      </c>
      <c r="B91" s="33"/>
      <c r="C91" s="58" t="s">
        <v>2</v>
      </c>
      <c r="D91" s="58" t="s">
        <v>2</v>
      </c>
      <c r="E91" s="15"/>
      <c r="F91" s="15"/>
      <c r="G91" s="15"/>
      <c r="H91" s="15"/>
      <c r="I91" s="33"/>
      <c r="J91" s="33"/>
      <c r="K91" s="58" t="s">
        <v>2</v>
      </c>
      <c r="L91" s="58" t="s">
        <v>2</v>
      </c>
      <c r="M91" s="60"/>
      <c r="N91" s="60"/>
      <c r="O91" s="15"/>
      <c r="P91" s="15"/>
      <c r="Q91" s="33"/>
      <c r="R91" s="33"/>
      <c r="S91" s="58" t="s">
        <v>2</v>
      </c>
      <c r="T91" s="58" t="s">
        <v>2</v>
      </c>
      <c r="U91" s="15"/>
      <c r="V91" s="15"/>
      <c r="W91" s="15"/>
      <c r="X91" s="15"/>
      <c r="Y91" s="33"/>
      <c r="Z91" s="33"/>
      <c r="AA91" s="58" t="s">
        <v>2</v>
      </c>
      <c r="AB91" s="58" t="s">
        <v>2</v>
      </c>
      <c r="AC91" s="15"/>
      <c r="AD91" s="15"/>
      <c r="AE91" s="33"/>
      <c r="AF91" s="1"/>
      <c r="AH91" s="16">
        <f t="shared" si="9"/>
        <v>0</v>
      </c>
      <c r="AI91" s="16">
        <f t="shared" si="10"/>
        <v>0</v>
      </c>
    </row>
    <row r="92" spans="1:35" ht="20.100000000000001" hidden="1" customHeight="1">
      <c r="A92" s="18" t="str">
        <f>ÖSSZES!$A$88</f>
        <v>Név17</v>
      </c>
      <c r="B92" s="33"/>
      <c r="C92" s="58" t="s">
        <v>2</v>
      </c>
      <c r="D92" s="58" t="s">
        <v>2</v>
      </c>
      <c r="E92" s="15"/>
      <c r="F92" s="15"/>
      <c r="G92" s="15"/>
      <c r="H92" s="15"/>
      <c r="I92" s="33"/>
      <c r="J92" s="33"/>
      <c r="K92" s="58" t="s">
        <v>2</v>
      </c>
      <c r="L92" s="58" t="s">
        <v>2</v>
      </c>
      <c r="M92" s="60"/>
      <c r="N92" s="60"/>
      <c r="O92" s="15"/>
      <c r="P92" s="15"/>
      <c r="Q92" s="33"/>
      <c r="R92" s="33"/>
      <c r="S92" s="58" t="s">
        <v>2</v>
      </c>
      <c r="T92" s="58" t="s">
        <v>2</v>
      </c>
      <c r="U92" s="15"/>
      <c r="V92" s="15"/>
      <c r="W92" s="15"/>
      <c r="X92" s="15"/>
      <c r="Y92" s="33"/>
      <c r="Z92" s="33"/>
      <c r="AA92" s="58" t="s">
        <v>2</v>
      </c>
      <c r="AB92" s="58" t="s">
        <v>2</v>
      </c>
      <c r="AC92" s="15"/>
      <c r="AD92" s="15"/>
      <c r="AE92" s="33"/>
      <c r="AF92" s="1"/>
      <c r="AH92" s="16">
        <f t="shared" si="9"/>
        <v>0</v>
      </c>
      <c r="AI92" s="16">
        <f t="shared" si="10"/>
        <v>0</v>
      </c>
    </row>
    <row r="93" spans="1:35" ht="20.100000000000001" hidden="1" customHeight="1">
      <c r="A93" s="18" t="str">
        <f>ÖSSZES!$A$89</f>
        <v>Név18</v>
      </c>
      <c r="B93" s="33"/>
      <c r="C93" s="58" t="s">
        <v>2</v>
      </c>
      <c r="D93" s="58" t="s">
        <v>2</v>
      </c>
      <c r="E93" s="15"/>
      <c r="F93" s="15"/>
      <c r="G93" s="15"/>
      <c r="H93" s="15"/>
      <c r="I93" s="33"/>
      <c r="J93" s="33"/>
      <c r="K93" s="58" t="s">
        <v>2</v>
      </c>
      <c r="L93" s="58" t="s">
        <v>2</v>
      </c>
      <c r="M93" s="60"/>
      <c r="N93" s="60"/>
      <c r="O93" s="15"/>
      <c r="P93" s="15"/>
      <c r="Q93" s="33"/>
      <c r="R93" s="33"/>
      <c r="S93" s="58" t="s">
        <v>2</v>
      </c>
      <c r="T93" s="58" t="s">
        <v>2</v>
      </c>
      <c r="U93" s="15"/>
      <c r="V93" s="15"/>
      <c r="W93" s="15"/>
      <c r="X93" s="15"/>
      <c r="Y93" s="33"/>
      <c r="Z93" s="33"/>
      <c r="AA93" s="58" t="s">
        <v>2</v>
      </c>
      <c r="AB93" s="58" t="s">
        <v>2</v>
      </c>
      <c r="AC93" s="15"/>
      <c r="AD93" s="15"/>
      <c r="AE93" s="33"/>
      <c r="AF93" s="1"/>
      <c r="AH93" s="16">
        <f t="shared" si="9"/>
        <v>0</v>
      </c>
      <c r="AI93" s="16">
        <f t="shared" si="10"/>
        <v>0</v>
      </c>
    </row>
    <row r="94" spans="1:35" ht="20.100000000000001" hidden="1" customHeight="1">
      <c r="A94" s="18" t="str">
        <f>ÖSSZES!$A$90</f>
        <v>Név19</v>
      </c>
      <c r="B94" s="33"/>
      <c r="C94" s="58" t="s">
        <v>2</v>
      </c>
      <c r="D94" s="58" t="s">
        <v>2</v>
      </c>
      <c r="E94" s="15"/>
      <c r="F94" s="15"/>
      <c r="G94" s="15"/>
      <c r="H94" s="15"/>
      <c r="I94" s="33"/>
      <c r="J94" s="33"/>
      <c r="K94" s="58" t="s">
        <v>2</v>
      </c>
      <c r="L94" s="58" t="s">
        <v>2</v>
      </c>
      <c r="M94" s="60"/>
      <c r="N94" s="60"/>
      <c r="O94" s="15"/>
      <c r="P94" s="15"/>
      <c r="Q94" s="33"/>
      <c r="R94" s="33"/>
      <c r="S94" s="58" t="s">
        <v>2</v>
      </c>
      <c r="T94" s="58" t="s">
        <v>2</v>
      </c>
      <c r="U94" s="15"/>
      <c r="V94" s="15"/>
      <c r="W94" s="15"/>
      <c r="X94" s="15"/>
      <c r="Y94" s="33"/>
      <c r="Z94" s="33"/>
      <c r="AA94" s="58" t="s">
        <v>2</v>
      </c>
      <c r="AB94" s="58" t="s">
        <v>2</v>
      </c>
      <c r="AC94" s="15"/>
      <c r="AD94" s="15"/>
      <c r="AE94" s="33"/>
      <c r="AF94" s="1"/>
      <c r="AH94" s="16">
        <f t="shared" si="9"/>
        <v>0</v>
      </c>
      <c r="AI94" s="16">
        <f t="shared" si="10"/>
        <v>0</v>
      </c>
    </row>
    <row r="95" spans="1:35" ht="20.100000000000001" hidden="1" customHeight="1">
      <c r="A95" s="18" t="str">
        <f>ÖSSZES!$A$91</f>
        <v>Név20</v>
      </c>
      <c r="B95" s="33"/>
      <c r="C95" s="58" t="s">
        <v>2</v>
      </c>
      <c r="D95" s="58" t="s">
        <v>2</v>
      </c>
      <c r="E95" s="15"/>
      <c r="F95" s="15"/>
      <c r="G95" s="15"/>
      <c r="H95" s="15"/>
      <c r="I95" s="33"/>
      <c r="J95" s="33"/>
      <c r="K95" s="58" t="s">
        <v>2</v>
      </c>
      <c r="L95" s="58" t="s">
        <v>2</v>
      </c>
      <c r="M95" s="60"/>
      <c r="N95" s="60"/>
      <c r="O95" s="15"/>
      <c r="P95" s="15"/>
      <c r="Q95" s="33"/>
      <c r="R95" s="33"/>
      <c r="S95" s="58" t="s">
        <v>2</v>
      </c>
      <c r="T95" s="58" t="s">
        <v>2</v>
      </c>
      <c r="U95" s="15"/>
      <c r="V95" s="15"/>
      <c r="W95" s="15"/>
      <c r="X95" s="15"/>
      <c r="Y95" s="33"/>
      <c r="Z95" s="33"/>
      <c r="AA95" s="58" t="s">
        <v>2</v>
      </c>
      <c r="AB95" s="58" t="s">
        <v>2</v>
      </c>
      <c r="AC95" s="15"/>
      <c r="AD95" s="15"/>
      <c r="AE95" s="33"/>
      <c r="AF95" s="1"/>
      <c r="AH95" s="16">
        <f t="shared" si="9"/>
        <v>0</v>
      </c>
      <c r="AI95" s="16">
        <f t="shared" si="10"/>
        <v>0</v>
      </c>
    </row>
    <row r="96" spans="1:35" ht="20.100000000000001" customHeight="1"/>
    <row r="97" spans="1:35" s="6" customFormat="1" ht="20.100000000000001" customHeight="1">
      <c r="A97" s="91" t="s">
        <v>9</v>
      </c>
      <c r="B97" s="19">
        <v>1</v>
      </c>
      <c r="C97" s="17">
        <v>2</v>
      </c>
      <c r="D97" s="17">
        <v>3</v>
      </c>
      <c r="E97" s="17">
        <v>4</v>
      </c>
      <c r="F97" s="17">
        <v>5</v>
      </c>
      <c r="G97" s="17">
        <v>6</v>
      </c>
      <c r="H97" s="17">
        <v>7</v>
      </c>
      <c r="I97" s="17">
        <v>8</v>
      </c>
      <c r="J97" s="17">
        <v>9</v>
      </c>
      <c r="K97" s="17">
        <v>10</v>
      </c>
      <c r="L97" s="17">
        <v>11</v>
      </c>
      <c r="M97" s="17">
        <v>12</v>
      </c>
      <c r="N97" s="17">
        <v>13</v>
      </c>
      <c r="O97" s="17">
        <v>14</v>
      </c>
      <c r="P97" s="17">
        <v>15</v>
      </c>
      <c r="Q97" s="17">
        <v>16</v>
      </c>
      <c r="R97" s="17">
        <v>17</v>
      </c>
      <c r="S97" s="17">
        <v>18</v>
      </c>
      <c r="T97" s="17">
        <v>19</v>
      </c>
      <c r="U97" s="17">
        <v>20</v>
      </c>
      <c r="V97" s="17">
        <v>21</v>
      </c>
      <c r="W97" s="17">
        <v>22</v>
      </c>
      <c r="X97" s="17">
        <v>23</v>
      </c>
      <c r="Y97" s="17">
        <v>24</v>
      </c>
      <c r="Z97" s="17">
        <v>25</v>
      </c>
      <c r="AA97" s="17">
        <v>26</v>
      </c>
      <c r="AB97" s="17">
        <v>27</v>
      </c>
      <c r="AC97" s="17">
        <v>28</v>
      </c>
      <c r="AD97" s="17">
        <v>29</v>
      </c>
      <c r="AE97" s="17">
        <v>30</v>
      </c>
      <c r="AF97" s="32">
        <v>31</v>
      </c>
      <c r="AH97" s="93" t="s">
        <v>18</v>
      </c>
      <c r="AI97" s="93" t="s">
        <v>19</v>
      </c>
    </row>
    <row r="98" spans="1:35" ht="20.100000000000001" customHeight="1">
      <c r="A98" s="96"/>
      <c r="B98" s="11" t="str">
        <f>'2020'!B36</f>
        <v>P</v>
      </c>
      <c r="C98" s="11" t="str">
        <f>'2020'!C36</f>
        <v>Szo</v>
      </c>
      <c r="D98" s="11" t="str">
        <f>'2020'!D36</f>
        <v>V</v>
      </c>
      <c r="E98" s="11" t="str">
        <f>'2020'!E36</f>
        <v>H</v>
      </c>
      <c r="F98" s="11" t="str">
        <f>'2020'!F36</f>
        <v>K</v>
      </c>
      <c r="G98" s="11" t="str">
        <f>'2020'!G36</f>
        <v>Sze</v>
      </c>
      <c r="H98" s="11" t="str">
        <f>'2020'!H36</f>
        <v>Cs</v>
      </c>
      <c r="I98" s="11" t="str">
        <f>'2020'!I36</f>
        <v>P</v>
      </c>
      <c r="J98" s="11" t="str">
        <f>'2020'!J36</f>
        <v>Szo</v>
      </c>
      <c r="K98" s="11" t="str">
        <f>'2020'!K36</f>
        <v>V</v>
      </c>
      <c r="L98" s="11" t="str">
        <f>'2020'!L36</f>
        <v>H</v>
      </c>
      <c r="M98" s="11" t="str">
        <f>'2020'!M36</f>
        <v>K</v>
      </c>
      <c r="N98" s="11" t="str">
        <f>'2020'!N36</f>
        <v>Sze</v>
      </c>
      <c r="O98" s="11" t="str">
        <f>'2020'!O36</f>
        <v>Cs</v>
      </c>
      <c r="P98" s="11" t="str">
        <f>'2020'!P36</f>
        <v>P</v>
      </c>
      <c r="Q98" s="11" t="str">
        <f>'2020'!Q36</f>
        <v>Szo</v>
      </c>
      <c r="R98" s="11" t="str">
        <f>'2020'!R36</f>
        <v>V</v>
      </c>
      <c r="S98" s="11" t="str">
        <f>'2020'!S36</f>
        <v>H</v>
      </c>
      <c r="T98" s="11" t="str">
        <f>'2020'!T36</f>
        <v>K</v>
      </c>
      <c r="U98" s="11" t="str">
        <f>'2020'!U36</f>
        <v>Sze</v>
      </c>
      <c r="V98" s="11" t="str">
        <f>'2020'!V36</f>
        <v>Cs</v>
      </c>
      <c r="W98" s="11" t="str">
        <f>'2020'!W36</f>
        <v>P</v>
      </c>
      <c r="X98" s="11" t="str">
        <f>'2020'!X36</f>
        <v>Szo</v>
      </c>
      <c r="Y98" s="11" t="str">
        <f>'2020'!Y36</f>
        <v>V</v>
      </c>
      <c r="Z98" s="11" t="str">
        <f>'2020'!Z36</f>
        <v>H</v>
      </c>
      <c r="AA98" s="11" t="str">
        <f>'2020'!AA36</f>
        <v>K</v>
      </c>
      <c r="AB98" s="11" t="str">
        <f>'2020'!AB36</f>
        <v>Sze</v>
      </c>
      <c r="AC98" s="11" t="str">
        <f>'2020'!AC36</f>
        <v>Cs</v>
      </c>
      <c r="AD98" s="11" t="str">
        <f>'2020'!AD36</f>
        <v>P</v>
      </c>
      <c r="AE98" s="11" t="str">
        <f>'2020'!AE36</f>
        <v>Szo</v>
      </c>
      <c r="AF98" s="11" t="str">
        <f>'2020'!AF36</f>
        <v>V</v>
      </c>
      <c r="AH98" s="94"/>
      <c r="AI98" s="94"/>
    </row>
    <row r="99" spans="1:35" ht="20.100000000000001" customHeight="1">
      <c r="A99" s="96"/>
      <c r="B99" s="10">
        <f>'2020'!B40</f>
        <v>2</v>
      </c>
      <c r="C99" s="10">
        <f>'2020'!C40</f>
        <v>2</v>
      </c>
      <c r="D99" s="10">
        <f>'2020'!D40</f>
        <v>2</v>
      </c>
      <c r="E99" s="10" t="str">
        <f>'2020'!E40</f>
        <v>X</v>
      </c>
      <c r="F99" s="10" t="str">
        <f>'2020'!F40</f>
        <v>X</v>
      </c>
      <c r="G99" s="10">
        <f>'2020'!G40</f>
        <v>1</v>
      </c>
      <c r="H99" s="10">
        <f>'2020'!H40</f>
        <v>1</v>
      </c>
      <c r="I99" s="10">
        <f>'2020'!I40</f>
        <v>1</v>
      </c>
      <c r="J99" s="10">
        <f>'2020'!J40</f>
        <v>1</v>
      </c>
      <c r="K99" s="10">
        <f>'2020'!K40</f>
        <v>1</v>
      </c>
      <c r="L99" s="10">
        <f>'2020'!L40</f>
        <v>1</v>
      </c>
      <c r="M99" s="10" t="str">
        <f>'2020'!M40</f>
        <v>X</v>
      </c>
      <c r="N99" s="10" t="str">
        <f>'2020'!N40</f>
        <v>X</v>
      </c>
      <c r="O99" s="10">
        <f>'2020'!O40</f>
        <v>3</v>
      </c>
      <c r="P99" s="10">
        <f>'2020'!P40</f>
        <v>3</v>
      </c>
      <c r="Q99" s="10">
        <f>'2020'!Q40</f>
        <v>3</v>
      </c>
      <c r="R99" s="10">
        <f>'2020'!R40</f>
        <v>3</v>
      </c>
      <c r="S99" s="10">
        <f>'2020'!S40</f>
        <v>3</v>
      </c>
      <c r="T99" s="10">
        <f>'2020'!T40</f>
        <v>3</v>
      </c>
      <c r="U99" s="10" t="str">
        <f>'2020'!U40</f>
        <v>X</v>
      </c>
      <c r="V99" s="10" t="str">
        <f>'2020'!V40</f>
        <v>X</v>
      </c>
      <c r="W99" s="10">
        <f>'2020'!W40</f>
        <v>2</v>
      </c>
      <c r="X99" s="10">
        <f>'2020'!X40</f>
        <v>2</v>
      </c>
      <c r="Y99" s="10">
        <f>'2020'!Y40</f>
        <v>2</v>
      </c>
      <c r="Z99" s="10">
        <f>'2020'!Z40</f>
        <v>2</v>
      </c>
      <c r="AA99" s="10">
        <f>'2020'!AA40</f>
        <v>2</v>
      </c>
      <c r="AB99" s="10">
        <f>'2020'!AB40</f>
        <v>2</v>
      </c>
      <c r="AC99" s="10" t="str">
        <f>'2020'!AC40</f>
        <v>X</v>
      </c>
      <c r="AD99" s="10" t="str">
        <f>'2020'!AD40</f>
        <v>X</v>
      </c>
      <c r="AE99" s="10">
        <f>'2020'!AE40</f>
        <v>1</v>
      </c>
      <c r="AF99" s="10">
        <f>'2020'!AF40</f>
        <v>1</v>
      </c>
      <c r="AH99" s="94"/>
      <c r="AI99" s="94"/>
    </row>
    <row r="100" spans="1:35" ht="20.100000000000001" customHeight="1">
      <c r="A100" s="18" t="str">
        <f>ÖSSZES!$A$72</f>
        <v>Daku Gábor</v>
      </c>
      <c r="B100" s="60">
        <f>[1]D!B48</f>
        <v>2</v>
      </c>
      <c r="C100" s="33">
        <f>[1]D!C48</f>
        <v>2</v>
      </c>
      <c r="D100" s="33">
        <f>[1]D!D48</f>
        <v>2</v>
      </c>
      <c r="E100" s="58" t="str">
        <f>[1]D!E48</f>
        <v>X</v>
      </c>
      <c r="F100" s="58" t="str">
        <f>[1]D!F48</f>
        <v>X</v>
      </c>
      <c r="G100" s="14">
        <f>[1]D!G48</f>
        <v>1</v>
      </c>
      <c r="H100" s="14">
        <f>[1]D!H48</f>
        <v>1</v>
      </c>
      <c r="I100" s="14">
        <f>[1]D!I48</f>
        <v>1</v>
      </c>
      <c r="J100" s="14">
        <f>[1]D!J48</f>
        <v>1</v>
      </c>
      <c r="K100" s="33">
        <f>[1]D!K48</f>
        <v>1</v>
      </c>
      <c r="L100" s="33">
        <f>[1]D!L48</f>
        <v>1</v>
      </c>
      <c r="M100" s="58" t="str">
        <f>[1]D!M48</f>
        <v>X</v>
      </c>
      <c r="N100" s="58" t="str">
        <f>[1]D!N48</f>
        <v>X</v>
      </c>
      <c r="O100" s="14">
        <f>[1]D!O48</f>
        <v>3</v>
      </c>
      <c r="P100" s="14">
        <f>[1]D!P48</f>
        <v>3</v>
      </c>
      <c r="Q100" s="14">
        <f>[1]D!Q48</f>
        <v>3</v>
      </c>
      <c r="R100" s="14">
        <f>[1]D!R48</f>
        <v>3</v>
      </c>
      <c r="S100" s="33">
        <f>[1]D!S48</f>
        <v>3</v>
      </c>
      <c r="T100" s="33">
        <f>[1]D!T48</f>
        <v>3</v>
      </c>
      <c r="U100" s="58" t="str">
        <f>[1]D!U48</f>
        <v>X</v>
      </c>
      <c r="V100" s="58" t="str">
        <f>[1]D!V48</f>
        <v>X</v>
      </c>
      <c r="W100" s="14">
        <f>[1]D!W48</f>
        <v>2</v>
      </c>
      <c r="X100" s="14">
        <f>[1]D!X48</f>
        <v>2</v>
      </c>
      <c r="Y100" s="14">
        <f>[1]D!Y48</f>
        <v>2</v>
      </c>
      <c r="Z100" s="14">
        <f>[1]D!Z48</f>
        <v>2</v>
      </c>
      <c r="AA100" s="33">
        <f>[1]D!AA48</f>
        <v>2</v>
      </c>
      <c r="AB100" s="33">
        <f>[1]D!AB48</f>
        <v>2</v>
      </c>
      <c r="AC100" s="58" t="str">
        <f>[1]D!AC48</f>
        <v>X</v>
      </c>
      <c r="AD100" s="58" t="str">
        <f>[1]D!AD48</f>
        <v>X</v>
      </c>
      <c r="AE100" s="14">
        <f>[1]D!AE48</f>
        <v>1</v>
      </c>
      <c r="AF100" s="60">
        <f>[1]D!AF48</f>
        <v>1</v>
      </c>
      <c r="AH100" s="16">
        <f>1*COUNTIF(A100:AF100,"+")</f>
        <v>0</v>
      </c>
      <c r="AI100" s="16">
        <f t="shared" ref="AI100" si="11">1*COUNTIF(B100:AF100,"szf")</f>
        <v>0</v>
      </c>
    </row>
    <row r="101" spans="1:35" ht="20.100000000000001" customHeight="1">
      <c r="A101" s="18" t="str">
        <f>ÖSSZES!$A$73</f>
        <v>Borbély Csaba</v>
      </c>
      <c r="B101" s="60">
        <f>[1]D!B49</f>
        <v>2</v>
      </c>
      <c r="C101" s="33">
        <f>[1]D!C49</f>
        <v>2</v>
      </c>
      <c r="D101" s="33">
        <f>[1]D!D49</f>
        <v>2</v>
      </c>
      <c r="E101" s="58" t="str">
        <f>[1]D!E49</f>
        <v>X</v>
      </c>
      <c r="F101" s="58" t="str">
        <f>[1]D!F49</f>
        <v>X</v>
      </c>
      <c r="G101" s="14">
        <f>[1]D!G49</f>
        <v>1</v>
      </c>
      <c r="H101" s="14">
        <f>[1]D!H49</f>
        <v>1</v>
      </c>
      <c r="I101" s="14">
        <f>[1]D!I49</f>
        <v>1</v>
      </c>
      <c r="J101" s="14">
        <f>[1]D!J49</f>
        <v>1</v>
      </c>
      <c r="K101" s="33">
        <f>[1]D!K49</f>
        <v>1</v>
      </c>
      <c r="L101" s="33">
        <f>[1]D!L49</f>
        <v>1</v>
      </c>
      <c r="M101" s="58" t="str">
        <f>[1]D!M49</f>
        <v>X</v>
      </c>
      <c r="N101" s="58" t="str">
        <f>[1]D!N49</f>
        <v>X</v>
      </c>
      <c r="O101" s="14">
        <f>[1]D!O49</f>
        <v>3</v>
      </c>
      <c r="P101" s="14">
        <f>[1]D!P49</f>
        <v>3</v>
      </c>
      <c r="Q101" s="14">
        <f>[1]D!Q49</f>
        <v>3</v>
      </c>
      <c r="R101" s="14">
        <f>[1]D!R49</f>
        <v>3</v>
      </c>
      <c r="S101" s="33">
        <f>[1]D!S49</f>
        <v>3</v>
      </c>
      <c r="T101" s="33">
        <f>[1]D!T49</f>
        <v>3</v>
      </c>
      <c r="U101" s="58" t="str">
        <f>[1]D!U49</f>
        <v>X</v>
      </c>
      <c r="V101" s="58" t="str">
        <f>[1]D!V49</f>
        <v>X</v>
      </c>
      <c r="W101" s="14">
        <f>[1]D!W49</f>
        <v>2</v>
      </c>
      <c r="X101" s="14">
        <f>[1]D!X49</f>
        <v>2</v>
      </c>
      <c r="Y101" s="14">
        <f>[1]D!Y49</f>
        <v>2</v>
      </c>
      <c r="Z101" s="14">
        <f>[1]D!Z49</f>
        <v>2</v>
      </c>
      <c r="AA101" s="33">
        <f>[1]D!AA49</f>
        <v>2</v>
      </c>
      <c r="AB101" s="33">
        <f>[1]D!AB49</f>
        <v>2</v>
      </c>
      <c r="AC101" s="58" t="str">
        <f>[1]D!AC49</f>
        <v>X</v>
      </c>
      <c r="AD101" s="58" t="str">
        <f>[1]D!AD49</f>
        <v>X</v>
      </c>
      <c r="AE101" s="14">
        <f>[1]D!AE49</f>
        <v>1</v>
      </c>
      <c r="AF101" s="60">
        <f>[1]D!AF49</f>
        <v>1</v>
      </c>
      <c r="AH101" s="16">
        <f t="shared" ref="AH101:AH119" si="12">1*COUNTIF(A101:AF101,"+")</f>
        <v>0</v>
      </c>
      <c r="AI101" s="16">
        <f t="shared" ref="AI101:AI119" si="13">1*COUNTIF(B101:AF101,"szf")</f>
        <v>0</v>
      </c>
    </row>
    <row r="102" spans="1:35" ht="20.100000000000001" customHeight="1">
      <c r="A102" s="18" t="str">
        <f>ÖSSZES!$A$74</f>
        <v>Erdei Bálint</v>
      </c>
      <c r="B102" s="60">
        <f>[1]D!B50</f>
        <v>2</v>
      </c>
      <c r="C102" s="33">
        <f>[1]D!C50</f>
        <v>2</v>
      </c>
      <c r="D102" s="33">
        <f>[1]D!D50</f>
        <v>2</v>
      </c>
      <c r="E102" s="58" t="str">
        <f>[1]D!E50</f>
        <v>X</v>
      </c>
      <c r="F102" s="58" t="str">
        <f>[1]D!F50</f>
        <v>X</v>
      </c>
      <c r="G102" s="14">
        <f>[1]D!G50</f>
        <v>1</v>
      </c>
      <c r="H102" s="14">
        <f>[1]D!H50</f>
        <v>1</v>
      </c>
      <c r="I102" s="14">
        <f>[1]D!I50</f>
        <v>1</v>
      </c>
      <c r="J102" s="14">
        <f>[1]D!J50</f>
        <v>1</v>
      </c>
      <c r="K102" s="33">
        <f>[1]D!K50</f>
        <v>1</v>
      </c>
      <c r="L102" s="33">
        <f>[1]D!L50</f>
        <v>1</v>
      </c>
      <c r="M102" s="58" t="str">
        <f>[1]D!M50</f>
        <v>X</v>
      </c>
      <c r="N102" s="58" t="str">
        <f>[1]D!N50</f>
        <v>X</v>
      </c>
      <c r="O102" s="14">
        <f>[1]D!O50</f>
        <v>3</v>
      </c>
      <c r="P102" s="14">
        <f>[1]D!P50</f>
        <v>3</v>
      </c>
      <c r="Q102" s="14">
        <f>[1]D!Q50</f>
        <v>3</v>
      </c>
      <c r="R102" s="14">
        <f>[1]D!R50</f>
        <v>3</v>
      </c>
      <c r="S102" s="33">
        <f>[1]D!S50</f>
        <v>3</v>
      </c>
      <c r="T102" s="33">
        <f>[1]D!T50</f>
        <v>3</v>
      </c>
      <c r="U102" s="58" t="str">
        <f>[1]D!U50</f>
        <v>X</v>
      </c>
      <c r="V102" s="58" t="str">
        <f>[1]D!V50</f>
        <v>X</v>
      </c>
      <c r="W102" s="14">
        <f>[1]D!W50</f>
        <v>2</v>
      </c>
      <c r="X102" s="14">
        <f>[1]D!X50</f>
        <v>2</v>
      </c>
      <c r="Y102" s="14">
        <f>[1]D!Y50</f>
        <v>2</v>
      </c>
      <c r="Z102" s="14">
        <f>[1]D!Z50</f>
        <v>2</v>
      </c>
      <c r="AA102" s="33">
        <f>[1]D!AA50</f>
        <v>2</v>
      </c>
      <c r="AB102" s="33">
        <f>[1]D!AB50</f>
        <v>2</v>
      </c>
      <c r="AC102" s="58" t="str">
        <f>[1]D!AC50</f>
        <v>X</v>
      </c>
      <c r="AD102" s="58" t="str">
        <f>[1]D!AD50</f>
        <v>X</v>
      </c>
      <c r="AE102" s="14">
        <f>[1]D!AE50</f>
        <v>1</v>
      </c>
      <c r="AF102" s="60">
        <f>[1]D!AF50</f>
        <v>1</v>
      </c>
      <c r="AH102" s="16">
        <f t="shared" si="12"/>
        <v>0</v>
      </c>
      <c r="AI102" s="16">
        <f t="shared" si="13"/>
        <v>0</v>
      </c>
    </row>
    <row r="103" spans="1:35" ht="20.100000000000001" customHeight="1">
      <c r="A103" s="18" t="str">
        <f>ÖSSZES!$A$75</f>
        <v>Fábián Gábor</v>
      </c>
      <c r="B103" s="60">
        <f>[1]D!B51</f>
        <v>2</v>
      </c>
      <c r="C103" s="33">
        <f>[1]D!C51</f>
        <v>2</v>
      </c>
      <c r="D103" s="33">
        <f>[1]D!D51</f>
        <v>2</v>
      </c>
      <c r="E103" s="58" t="str">
        <f>[1]D!E51</f>
        <v>X</v>
      </c>
      <c r="F103" s="58" t="str">
        <f>[1]D!F51</f>
        <v>X</v>
      </c>
      <c r="G103" s="14">
        <f>[1]D!G51</f>
        <v>1</v>
      </c>
      <c r="H103" s="14">
        <f>[1]D!H51</f>
        <v>1</v>
      </c>
      <c r="I103" s="14">
        <f>[1]D!I51</f>
        <v>1</v>
      </c>
      <c r="J103" s="14">
        <f>[1]D!J51</f>
        <v>1</v>
      </c>
      <c r="K103" s="33">
        <f>[1]D!K51</f>
        <v>1</v>
      </c>
      <c r="L103" s="33">
        <f>[1]D!L51</f>
        <v>1</v>
      </c>
      <c r="M103" s="58" t="str">
        <f>[1]D!M51</f>
        <v>X</v>
      </c>
      <c r="N103" s="58" t="str">
        <f>[1]D!N51</f>
        <v>X</v>
      </c>
      <c r="O103" s="14">
        <f>[1]D!O51</f>
        <v>3</v>
      </c>
      <c r="P103" s="14">
        <f>[1]D!P51</f>
        <v>3</v>
      </c>
      <c r="Q103" s="14">
        <f>[1]D!Q51</f>
        <v>3</v>
      </c>
      <c r="R103" s="14">
        <f>[1]D!R51</f>
        <v>3</v>
      </c>
      <c r="S103" s="33">
        <f>[1]D!S51</f>
        <v>3</v>
      </c>
      <c r="T103" s="33">
        <f>[1]D!T51</f>
        <v>3</v>
      </c>
      <c r="U103" s="58" t="str">
        <f>[1]D!U51</f>
        <v>X</v>
      </c>
      <c r="V103" s="58" t="str">
        <f>[1]D!V51</f>
        <v>X</v>
      </c>
      <c r="W103" s="14">
        <f>[1]D!W51</f>
        <v>2</v>
      </c>
      <c r="X103" s="14">
        <f>[1]D!X51</f>
        <v>2</v>
      </c>
      <c r="Y103" s="14">
        <f>[1]D!Y51</f>
        <v>2</v>
      </c>
      <c r="Z103" s="14">
        <f>[1]D!Z51</f>
        <v>2</v>
      </c>
      <c r="AA103" s="33">
        <f>[1]D!AA51</f>
        <v>2</v>
      </c>
      <c r="AB103" s="33">
        <f>[1]D!AB51</f>
        <v>2</v>
      </c>
      <c r="AC103" s="58" t="str">
        <f>[1]D!AC51</f>
        <v>X</v>
      </c>
      <c r="AD103" s="58" t="str">
        <f>[1]D!AD51</f>
        <v>X</v>
      </c>
      <c r="AE103" s="14">
        <f>[1]D!AE51</f>
        <v>1</v>
      </c>
      <c r="AF103" s="60">
        <f>[1]D!AF51</f>
        <v>1</v>
      </c>
      <c r="AH103" s="16">
        <f t="shared" si="12"/>
        <v>0</v>
      </c>
      <c r="AI103" s="16">
        <f t="shared" si="13"/>
        <v>0</v>
      </c>
    </row>
    <row r="104" spans="1:35" ht="20.100000000000001" customHeight="1">
      <c r="A104" s="18" t="str">
        <f>ÖSSZES!$A$76</f>
        <v>Gellei Zsolt</v>
      </c>
      <c r="B104" s="60">
        <f>[1]D!B52</f>
        <v>2</v>
      </c>
      <c r="C104" s="33">
        <f>[1]D!C52</f>
        <v>2</v>
      </c>
      <c r="D104" s="33">
        <f>[1]D!D52</f>
        <v>2</v>
      </c>
      <c r="E104" s="58" t="str">
        <f>[1]D!E52</f>
        <v>X</v>
      </c>
      <c r="F104" s="58" t="str">
        <f>[1]D!F52</f>
        <v>X</v>
      </c>
      <c r="G104" s="14">
        <f>[1]D!G52</f>
        <v>1</v>
      </c>
      <c r="H104" s="14">
        <f>[1]D!H52</f>
        <v>1</v>
      </c>
      <c r="I104" s="14">
        <f>[1]D!I52</f>
        <v>1</v>
      </c>
      <c r="J104" s="14">
        <f>[1]D!J52</f>
        <v>1</v>
      </c>
      <c r="K104" s="33">
        <f>[1]D!K52</f>
        <v>1</v>
      </c>
      <c r="L104" s="33">
        <f>[1]D!L52</f>
        <v>1</v>
      </c>
      <c r="M104" s="58" t="str">
        <f>[1]D!M52</f>
        <v>X</v>
      </c>
      <c r="N104" s="58" t="str">
        <f>[1]D!N52</f>
        <v>X</v>
      </c>
      <c r="O104" s="14">
        <f>[1]D!O52</f>
        <v>3</v>
      </c>
      <c r="P104" s="14">
        <f>[1]D!P52</f>
        <v>3</v>
      </c>
      <c r="Q104" s="14">
        <f>[1]D!Q52</f>
        <v>3</v>
      </c>
      <c r="R104" s="14">
        <f>[1]D!R52</f>
        <v>3</v>
      </c>
      <c r="S104" s="33">
        <f>[1]D!S52</f>
        <v>3</v>
      </c>
      <c r="T104" s="33">
        <f>[1]D!T52</f>
        <v>3</v>
      </c>
      <c r="U104" s="58" t="str">
        <f>[1]D!U52</f>
        <v>X</v>
      </c>
      <c r="V104" s="58" t="str">
        <f>[1]D!V52</f>
        <v>X</v>
      </c>
      <c r="W104" s="14">
        <f>[1]D!W52</f>
        <v>2</v>
      </c>
      <c r="X104" s="14">
        <f>[1]D!X52</f>
        <v>2</v>
      </c>
      <c r="Y104" s="14">
        <f>[1]D!Y52</f>
        <v>2</v>
      </c>
      <c r="Z104" s="14">
        <f>[1]D!Z52</f>
        <v>2</v>
      </c>
      <c r="AA104" s="33">
        <f>[1]D!AA52</f>
        <v>2</v>
      </c>
      <c r="AB104" s="33">
        <f>[1]D!AB52</f>
        <v>2</v>
      </c>
      <c r="AC104" s="58" t="str">
        <f>[1]D!AC52</f>
        <v>X</v>
      </c>
      <c r="AD104" s="58" t="str">
        <f>[1]D!AD52</f>
        <v>X</v>
      </c>
      <c r="AE104" s="14">
        <f>[1]D!AE52</f>
        <v>1</v>
      </c>
      <c r="AF104" s="60">
        <f>[1]D!AF52</f>
        <v>1</v>
      </c>
      <c r="AH104" s="16">
        <f t="shared" si="12"/>
        <v>0</v>
      </c>
      <c r="AI104" s="16">
        <f t="shared" si="13"/>
        <v>0</v>
      </c>
    </row>
    <row r="105" spans="1:35" ht="20.100000000000001" customHeight="1">
      <c r="A105" s="18" t="str">
        <f>ÖSSZES!$A$77</f>
        <v>Kiss Gyula</v>
      </c>
      <c r="B105" s="60">
        <f>[1]D!B53</f>
        <v>2</v>
      </c>
      <c r="C105" s="33">
        <f>[1]D!C53</f>
        <v>2</v>
      </c>
      <c r="D105" s="33">
        <f>[1]D!D53</f>
        <v>2</v>
      </c>
      <c r="E105" s="58" t="str">
        <f>[1]D!E53</f>
        <v>X</v>
      </c>
      <c r="F105" s="58" t="str">
        <f>[1]D!F53</f>
        <v>X</v>
      </c>
      <c r="G105" s="14">
        <f>[1]D!G53</f>
        <v>1</v>
      </c>
      <c r="H105" s="14">
        <f>[1]D!H53</f>
        <v>1</v>
      </c>
      <c r="I105" s="14">
        <f>[1]D!I53</f>
        <v>1</v>
      </c>
      <c r="J105" s="14">
        <f>[1]D!J53</f>
        <v>1</v>
      </c>
      <c r="K105" s="33">
        <f>[1]D!K53</f>
        <v>1</v>
      </c>
      <c r="L105" s="33">
        <f>[1]D!L53</f>
        <v>1</v>
      </c>
      <c r="M105" s="58" t="str">
        <f>[1]D!M53</f>
        <v>X</v>
      </c>
      <c r="N105" s="58" t="str">
        <f>[1]D!N53</f>
        <v>X</v>
      </c>
      <c r="O105" s="14">
        <f>[1]D!O53</f>
        <v>3</v>
      </c>
      <c r="P105" s="14">
        <f>[1]D!P53</f>
        <v>3</v>
      </c>
      <c r="Q105" s="14">
        <f>[1]D!Q53</f>
        <v>3</v>
      </c>
      <c r="R105" s="14">
        <f>[1]D!R53</f>
        <v>3</v>
      </c>
      <c r="S105" s="33">
        <f>[1]D!S53</f>
        <v>3</v>
      </c>
      <c r="T105" s="33">
        <f>[1]D!T53</f>
        <v>3</v>
      </c>
      <c r="U105" s="58" t="str">
        <f>[1]D!U53</f>
        <v>X</v>
      </c>
      <c r="V105" s="58" t="str">
        <f>[1]D!V53</f>
        <v>X</v>
      </c>
      <c r="W105" s="14">
        <f>[1]D!W53</f>
        <v>2</v>
      </c>
      <c r="X105" s="14">
        <f>[1]D!X53</f>
        <v>2</v>
      </c>
      <c r="Y105" s="14">
        <f>[1]D!Y53</f>
        <v>2</v>
      </c>
      <c r="Z105" s="14">
        <f>[1]D!Z53</f>
        <v>2</v>
      </c>
      <c r="AA105" s="33">
        <f>[1]D!AA53</f>
        <v>2</v>
      </c>
      <c r="AB105" s="33">
        <f>[1]D!AB53</f>
        <v>2</v>
      </c>
      <c r="AC105" s="58" t="str">
        <f>[1]D!AC53</f>
        <v>X</v>
      </c>
      <c r="AD105" s="58" t="str">
        <f>[1]D!AD53</f>
        <v>X</v>
      </c>
      <c r="AE105" s="14">
        <f>[1]D!AE53</f>
        <v>1</v>
      </c>
      <c r="AF105" s="60">
        <f>[1]D!AF53</f>
        <v>1</v>
      </c>
      <c r="AH105" s="16">
        <f t="shared" si="12"/>
        <v>0</v>
      </c>
      <c r="AI105" s="16">
        <f t="shared" si="13"/>
        <v>0</v>
      </c>
    </row>
    <row r="106" spans="1:35" ht="20.100000000000001" customHeight="1">
      <c r="A106" s="18" t="str">
        <f>ÖSSZES!$A$78</f>
        <v>Nagy István</v>
      </c>
      <c r="B106" s="60">
        <f>[1]D!B54</f>
        <v>2</v>
      </c>
      <c r="C106" s="33" t="str">
        <f>[1]D!C54</f>
        <v>+</v>
      </c>
      <c r="D106" s="33" t="str">
        <f>[1]D!D54</f>
        <v>szf</v>
      </c>
      <c r="E106" s="58" t="str">
        <f>[1]D!E54</f>
        <v>X</v>
      </c>
      <c r="F106" s="58" t="str">
        <f>[1]D!F54</f>
        <v>X</v>
      </c>
      <c r="G106" s="14">
        <f>[1]D!G54</f>
        <v>1</v>
      </c>
      <c r="H106" s="14">
        <f>[1]D!H54</f>
        <v>1</v>
      </c>
      <c r="I106" s="14">
        <f>[1]D!I54</f>
        <v>1</v>
      </c>
      <c r="J106" s="14">
        <f>[1]D!J54</f>
        <v>1</v>
      </c>
      <c r="K106" s="33">
        <f>[1]D!K54</f>
        <v>1</v>
      </c>
      <c r="L106" s="33">
        <f>[1]D!L54</f>
        <v>1</v>
      </c>
      <c r="M106" s="58" t="str">
        <f>[1]D!M54</f>
        <v>X</v>
      </c>
      <c r="N106" s="58" t="str">
        <f>[1]D!N54</f>
        <v>X</v>
      </c>
      <c r="O106" s="14">
        <f>[1]D!O54</f>
        <v>3</v>
      </c>
      <c r="P106" s="14">
        <f>[1]D!P54</f>
        <v>3</v>
      </c>
      <c r="Q106" s="14">
        <f>[1]D!Q54</f>
        <v>3</v>
      </c>
      <c r="R106" s="14">
        <f>[1]D!R54</f>
        <v>3</v>
      </c>
      <c r="S106" s="33">
        <f>[1]D!S54</f>
        <v>3</v>
      </c>
      <c r="T106" s="33">
        <f>[1]D!T54</f>
        <v>3</v>
      </c>
      <c r="U106" s="58" t="str">
        <f>[1]D!U54</f>
        <v>X</v>
      </c>
      <c r="V106" s="58" t="str">
        <f>[1]D!V54</f>
        <v>X</v>
      </c>
      <c r="W106" s="14">
        <f>[1]D!W54</f>
        <v>2</v>
      </c>
      <c r="X106" s="14">
        <f>[1]D!X54</f>
        <v>2</v>
      </c>
      <c r="Y106" s="14">
        <f>[1]D!Y54</f>
        <v>2</v>
      </c>
      <c r="Z106" s="14">
        <f>[1]D!Z54</f>
        <v>2</v>
      </c>
      <c r="AA106" s="33">
        <f>[1]D!AA54</f>
        <v>2</v>
      </c>
      <c r="AB106" s="33">
        <f>[1]D!AB54</f>
        <v>2</v>
      </c>
      <c r="AC106" s="58" t="str">
        <f>[1]D!AC54</f>
        <v>X</v>
      </c>
      <c r="AD106" s="58" t="str">
        <f>[1]D!AD54</f>
        <v>X</v>
      </c>
      <c r="AE106" s="14">
        <f>[1]D!AE54</f>
        <v>1</v>
      </c>
      <c r="AF106" s="60">
        <f>[1]D!AF54</f>
        <v>1</v>
      </c>
      <c r="AH106" s="16">
        <f t="shared" si="12"/>
        <v>1</v>
      </c>
      <c r="AI106" s="16">
        <f t="shared" si="13"/>
        <v>1</v>
      </c>
    </row>
    <row r="107" spans="1:35" ht="20.100000000000001" hidden="1" customHeight="1">
      <c r="A107" s="18" t="str">
        <f>ÖSSZES!$A$79</f>
        <v>Fényi László</v>
      </c>
      <c r="B107" s="60"/>
      <c r="C107" s="33"/>
      <c r="D107" s="33"/>
      <c r="E107" s="58"/>
      <c r="F107" s="58"/>
      <c r="G107" s="14"/>
      <c r="H107" s="14"/>
      <c r="I107" s="14"/>
      <c r="J107" s="14"/>
      <c r="K107" s="33"/>
      <c r="L107" s="33"/>
      <c r="M107" s="58"/>
      <c r="N107" s="58"/>
      <c r="O107" s="14"/>
      <c r="P107" s="14"/>
      <c r="Q107" s="14"/>
      <c r="R107" s="14"/>
      <c r="S107" s="33"/>
      <c r="T107" s="33"/>
      <c r="U107" s="58"/>
      <c r="V107" s="58"/>
      <c r="W107" s="14"/>
      <c r="X107" s="14"/>
      <c r="Y107" s="14"/>
      <c r="Z107" s="14"/>
      <c r="AA107" s="33"/>
      <c r="AB107" s="33"/>
      <c r="AC107" s="58"/>
      <c r="AD107" s="58"/>
      <c r="AE107" s="14"/>
      <c r="AF107" s="60"/>
      <c r="AH107" s="16">
        <f t="shared" si="12"/>
        <v>0</v>
      </c>
      <c r="AI107" s="16">
        <f t="shared" si="13"/>
        <v>0</v>
      </c>
    </row>
    <row r="108" spans="1:35" ht="20.100000000000001" hidden="1" customHeight="1">
      <c r="A108" s="18" t="str">
        <f>ÖSSZES!$A$80</f>
        <v>Név9</v>
      </c>
      <c r="B108" s="60"/>
      <c r="C108" s="33"/>
      <c r="D108" s="33"/>
      <c r="E108" s="58" t="s">
        <v>2</v>
      </c>
      <c r="F108" s="58" t="s">
        <v>2</v>
      </c>
      <c r="G108" s="14"/>
      <c r="H108" s="14"/>
      <c r="I108" s="14"/>
      <c r="J108" s="14"/>
      <c r="K108" s="33"/>
      <c r="L108" s="33"/>
      <c r="M108" s="58" t="s">
        <v>2</v>
      </c>
      <c r="N108" s="58" t="s">
        <v>2</v>
      </c>
      <c r="O108" s="14"/>
      <c r="P108" s="14"/>
      <c r="Q108" s="14"/>
      <c r="R108" s="14"/>
      <c r="S108" s="33"/>
      <c r="T108" s="33"/>
      <c r="U108" s="58" t="s">
        <v>2</v>
      </c>
      <c r="V108" s="58" t="s">
        <v>2</v>
      </c>
      <c r="W108" s="14"/>
      <c r="X108" s="14"/>
      <c r="Y108" s="14"/>
      <c r="Z108" s="14"/>
      <c r="AA108" s="33"/>
      <c r="AB108" s="33"/>
      <c r="AC108" s="58" t="s">
        <v>2</v>
      </c>
      <c r="AD108" s="58" t="s">
        <v>2</v>
      </c>
      <c r="AE108" s="14"/>
      <c r="AF108" s="60"/>
      <c r="AH108" s="16">
        <f t="shared" si="12"/>
        <v>0</v>
      </c>
      <c r="AI108" s="16">
        <f t="shared" si="13"/>
        <v>0</v>
      </c>
    </row>
    <row r="109" spans="1:35" ht="20.100000000000001" hidden="1" customHeight="1">
      <c r="A109" s="18" t="str">
        <f>ÖSSZES!$A$81</f>
        <v>Név10</v>
      </c>
      <c r="B109" s="60"/>
      <c r="C109" s="33"/>
      <c r="D109" s="33"/>
      <c r="E109" s="58" t="s">
        <v>2</v>
      </c>
      <c r="F109" s="58" t="s">
        <v>2</v>
      </c>
      <c r="G109" s="14"/>
      <c r="H109" s="14"/>
      <c r="I109" s="14"/>
      <c r="J109" s="14"/>
      <c r="K109" s="33"/>
      <c r="L109" s="33"/>
      <c r="M109" s="58" t="s">
        <v>2</v>
      </c>
      <c r="N109" s="58" t="s">
        <v>2</v>
      </c>
      <c r="O109" s="14"/>
      <c r="P109" s="14"/>
      <c r="Q109" s="14"/>
      <c r="R109" s="14"/>
      <c r="S109" s="33"/>
      <c r="T109" s="33"/>
      <c r="U109" s="58" t="s">
        <v>2</v>
      </c>
      <c r="V109" s="58" t="s">
        <v>2</v>
      </c>
      <c r="W109" s="14"/>
      <c r="X109" s="14"/>
      <c r="Y109" s="14"/>
      <c r="Z109" s="14"/>
      <c r="AA109" s="33"/>
      <c r="AB109" s="33"/>
      <c r="AC109" s="58" t="s">
        <v>2</v>
      </c>
      <c r="AD109" s="58" t="s">
        <v>2</v>
      </c>
      <c r="AE109" s="14"/>
      <c r="AF109" s="60"/>
      <c r="AH109" s="16">
        <f t="shared" si="12"/>
        <v>0</v>
      </c>
      <c r="AI109" s="16">
        <f t="shared" si="13"/>
        <v>0</v>
      </c>
    </row>
    <row r="110" spans="1:35" ht="20.100000000000001" hidden="1" customHeight="1">
      <c r="A110" s="18" t="str">
        <f>ÖSSZES!$A$82</f>
        <v>Név11</v>
      </c>
      <c r="B110" s="60"/>
      <c r="C110" s="33"/>
      <c r="D110" s="33"/>
      <c r="E110" s="58" t="s">
        <v>2</v>
      </c>
      <c r="F110" s="58" t="s">
        <v>2</v>
      </c>
      <c r="G110" s="14"/>
      <c r="H110" s="14"/>
      <c r="I110" s="14"/>
      <c r="J110" s="14"/>
      <c r="K110" s="33"/>
      <c r="L110" s="33"/>
      <c r="M110" s="58" t="s">
        <v>2</v>
      </c>
      <c r="N110" s="58" t="s">
        <v>2</v>
      </c>
      <c r="O110" s="14"/>
      <c r="P110" s="14"/>
      <c r="Q110" s="14"/>
      <c r="R110" s="14"/>
      <c r="S110" s="33"/>
      <c r="T110" s="33"/>
      <c r="U110" s="58" t="s">
        <v>2</v>
      </c>
      <c r="V110" s="58" t="s">
        <v>2</v>
      </c>
      <c r="W110" s="14"/>
      <c r="X110" s="14"/>
      <c r="Y110" s="14"/>
      <c r="Z110" s="14"/>
      <c r="AA110" s="33"/>
      <c r="AB110" s="33"/>
      <c r="AC110" s="58" t="s">
        <v>2</v>
      </c>
      <c r="AD110" s="58" t="s">
        <v>2</v>
      </c>
      <c r="AE110" s="14"/>
      <c r="AF110" s="60"/>
      <c r="AH110" s="16">
        <f t="shared" si="12"/>
        <v>0</v>
      </c>
      <c r="AI110" s="16">
        <f t="shared" si="13"/>
        <v>0</v>
      </c>
    </row>
    <row r="111" spans="1:35" ht="20.100000000000001" hidden="1" customHeight="1">
      <c r="A111" s="18" t="str">
        <f>ÖSSZES!$A$83</f>
        <v>Név12</v>
      </c>
      <c r="B111" s="60"/>
      <c r="C111" s="33"/>
      <c r="D111" s="33"/>
      <c r="E111" s="58" t="s">
        <v>2</v>
      </c>
      <c r="F111" s="58" t="s">
        <v>2</v>
      </c>
      <c r="G111" s="14"/>
      <c r="H111" s="14"/>
      <c r="I111" s="14"/>
      <c r="J111" s="14"/>
      <c r="K111" s="33"/>
      <c r="L111" s="33"/>
      <c r="M111" s="58" t="s">
        <v>2</v>
      </c>
      <c r="N111" s="58" t="s">
        <v>2</v>
      </c>
      <c r="O111" s="14"/>
      <c r="P111" s="14"/>
      <c r="Q111" s="14"/>
      <c r="R111" s="14"/>
      <c r="S111" s="33"/>
      <c r="T111" s="33"/>
      <c r="U111" s="58" t="s">
        <v>2</v>
      </c>
      <c r="V111" s="58" t="s">
        <v>2</v>
      </c>
      <c r="W111" s="14"/>
      <c r="X111" s="14"/>
      <c r="Y111" s="14"/>
      <c r="Z111" s="14"/>
      <c r="AA111" s="33"/>
      <c r="AB111" s="33"/>
      <c r="AC111" s="58" t="s">
        <v>2</v>
      </c>
      <c r="AD111" s="58" t="s">
        <v>2</v>
      </c>
      <c r="AE111" s="14"/>
      <c r="AF111" s="60"/>
      <c r="AH111" s="16">
        <f t="shared" si="12"/>
        <v>0</v>
      </c>
      <c r="AI111" s="16">
        <f t="shared" si="13"/>
        <v>0</v>
      </c>
    </row>
    <row r="112" spans="1:35" ht="20.100000000000001" hidden="1" customHeight="1">
      <c r="A112" s="18" t="str">
        <f>ÖSSZES!$A$84</f>
        <v>Név13</v>
      </c>
      <c r="B112" s="60"/>
      <c r="C112" s="33"/>
      <c r="D112" s="33"/>
      <c r="E112" s="58" t="s">
        <v>2</v>
      </c>
      <c r="F112" s="58" t="s">
        <v>2</v>
      </c>
      <c r="G112" s="14"/>
      <c r="H112" s="14"/>
      <c r="I112" s="14"/>
      <c r="J112" s="14"/>
      <c r="K112" s="33"/>
      <c r="L112" s="33"/>
      <c r="M112" s="58" t="s">
        <v>2</v>
      </c>
      <c r="N112" s="58" t="s">
        <v>2</v>
      </c>
      <c r="O112" s="14"/>
      <c r="P112" s="14"/>
      <c r="Q112" s="14"/>
      <c r="R112" s="14"/>
      <c r="S112" s="33"/>
      <c r="T112" s="33"/>
      <c r="U112" s="58" t="s">
        <v>2</v>
      </c>
      <c r="V112" s="58" t="s">
        <v>2</v>
      </c>
      <c r="W112" s="14"/>
      <c r="X112" s="14"/>
      <c r="Y112" s="14"/>
      <c r="Z112" s="14"/>
      <c r="AA112" s="33"/>
      <c r="AB112" s="33"/>
      <c r="AC112" s="58" t="s">
        <v>2</v>
      </c>
      <c r="AD112" s="58" t="s">
        <v>2</v>
      </c>
      <c r="AE112" s="14"/>
      <c r="AF112" s="60"/>
      <c r="AH112" s="16">
        <f t="shared" si="12"/>
        <v>0</v>
      </c>
      <c r="AI112" s="16">
        <f t="shared" si="13"/>
        <v>0</v>
      </c>
    </row>
    <row r="113" spans="1:35" ht="20.100000000000001" hidden="1" customHeight="1">
      <c r="A113" s="18" t="str">
        <f>ÖSSZES!$A$85</f>
        <v>Név14</v>
      </c>
      <c r="B113" s="60"/>
      <c r="C113" s="33"/>
      <c r="D113" s="33"/>
      <c r="E113" s="58" t="s">
        <v>2</v>
      </c>
      <c r="F113" s="58" t="s">
        <v>2</v>
      </c>
      <c r="G113" s="14"/>
      <c r="H113" s="14"/>
      <c r="I113" s="14"/>
      <c r="J113" s="14"/>
      <c r="K113" s="33"/>
      <c r="L113" s="33"/>
      <c r="M113" s="58" t="s">
        <v>2</v>
      </c>
      <c r="N113" s="58" t="s">
        <v>2</v>
      </c>
      <c r="O113" s="14"/>
      <c r="P113" s="14"/>
      <c r="Q113" s="14"/>
      <c r="R113" s="14"/>
      <c r="S113" s="33"/>
      <c r="T113" s="33"/>
      <c r="U113" s="58" t="s">
        <v>2</v>
      </c>
      <c r="V113" s="58" t="s">
        <v>2</v>
      </c>
      <c r="W113" s="14"/>
      <c r="X113" s="14"/>
      <c r="Y113" s="14"/>
      <c r="Z113" s="14"/>
      <c r="AA113" s="33"/>
      <c r="AB113" s="33"/>
      <c r="AC113" s="58" t="s">
        <v>2</v>
      </c>
      <c r="AD113" s="58" t="s">
        <v>2</v>
      </c>
      <c r="AE113" s="14"/>
      <c r="AF113" s="60"/>
      <c r="AH113" s="16">
        <f t="shared" si="12"/>
        <v>0</v>
      </c>
      <c r="AI113" s="16">
        <f t="shared" si="13"/>
        <v>0</v>
      </c>
    </row>
    <row r="114" spans="1:35" ht="20.100000000000001" hidden="1" customHeight="1">
      <c r="A114" s="18" t="str">
        <f>ÖSSZES!$A$86</f>
        <v>Név15</v>
      </c>
      <c r="B114" s="60"/>
      <c r="C114" s="33"/>
      <c r="D114" s="33"/>
      <c r="E114" s="58" t="s">
        <v>2</v>
      </c>
      <c r="F114" s="58" t="s">
        <v>2</v>
      </c>
      <c r="G114" s="14"/>
      <c r="H114" s="14"/>
      <c r="I114" s="14"/>
      <c r="J114" s="14"/>
      <c r="K114" s="33"/>
      <c r="L114" s="33"/>
      <c r="M114" s="58" t="s">
        <v>2</v>
      </c>
      <c r="N114" s="58" t="s">
        <v>2</v>
      </c>
      <c r="O114" s="14"/>
      <c r="P114" s="14"/>
      <c r="Q114" s="14"/>
      <c r="R114" s="14"/>
      <c r="S114" s="33"/>
      <c r="T114" s="33"/>
      <c r="U114" s="58" t="s">
        <v>2</v>
      </c>
      <c r="V114" s="58" t="s">
        <v>2</v>
      </c>
      <c r="W114" s="14"/>
      <c r="X114" s="14"/>
      <c r="Y114" s="14"/>
      <c r="Z114" s="14"/>
      <c r="AA114" s="33"/>
      <c r="AB114" s="33"/>
      <c r="AC114" s="58" t="s">
        <v>2</v>
      </c>
      <c r="AD114" s="58" t="s">
        <v>2</v>
      </c>
      <c r="AE114" s="14"/>
      <c r="AF114" s="60"/>
      <c r="AH114" s="16">
        <f t="shared" si="12"/>
        <v>0</v>
      </c>
      <c r="AI114" s="16">
        <f t="shared" si="13"/>
        <v>0</v>
      </c>
    </row>
    <row r="115" spans="1:35" ht="20.100000000000001" hidden="1" customHeight="1">
      <c r="A115" s="18" t="str">
        <f>ÖSSZES!$A$87</f>
        <v>Név16</v>
      </c>
      <c r="B115" s="60"/>
      <c r="C115" s="33"/>
      <c r="D115" s="33"/>
      <c r="E115" s="58" t="s">
        <v>2</v>
      </c>
      <c r="F115" s="58" t="s">
        <v>2</v>
      </c>
      <c r="G115" s="14"/>
      <c r="H115" s="14"/>
      <c r="I115" s="14"/>
      <c r="J115" s="14"/>
      <c r="K115" s="33"/>
      <c r="L115" s="33"/>
      <c r="M115" s="58" t="s">
        <v>2</v>
      </c>
      <c r="N115" s="58" t="s">
        <v>2</v>
      </c>
      <c r="O115" s="14"/>
      <c r="P115" s="14"/>
      <c r="Q115" s="14"/>
      <c r="R115" s="14"/>
      <c r="S115" s="33"/>
      <c r="T115" s="33"/>
      <c r="U115" s="58" t="s">
        <v>2</v>
      </c>
      <c r="V115" s="58" t="s">
        <v>2</v>
      </c>
      <c r="W115" s="14"/>
      <c r="X115" s="14"/>
      <c r="Y115" s="14"/>
      <c r="Z115" s="14"/>
      <c r="AA115" s="33"/>
      <c r="AB115" s="33"/>
      <c r="AC115" s="58" t="s">
        <v>2</v>
      </c>
      <c r="AD115" s="58" t="s">
        <v>2</v>
      </c>
      <c r="AE115" s="14"/>
      <c r="AF115" s="60"/>
      <c r="AH115" s="16">
        <f t="shared" si="12"/>
        <v>0</v>
      </c>
      <c r="AI115" s="16">
        <f t="shared" si="13"/>
        <v>0</v>
      </c>
    </row>
    <row r="116" spans="1:35" ht="20.100000000000001" hidden="1" customHeight="1">
      <c r="A116" s="18" t="str">
        <f>ÖSSZES!$A$88</f>
        <v>Név17</v>
      </c>
      <c r="B116" s="60"/>
      <c r="C116" s="33"/>
      <c r="D116" s="33"/>
      <c r="E116" s="58" t="s">
        <v>2</v>
      </c>
      <c r="F116" s="58" t="s">
        <v>2</v>
      </c>
      <c r="G116" s="14"/>
      <c r="H116" s="14"/>
      <c r="I116" s="14"/>
      <c r="J116" s="14"/>
      <c r="K116" s="33"/>
      <c r="L116" s="33"/>
      <c r="M116" s="58" t="s">
        <v>2</v>
      </c>
      <c r="N116" s="58" t="s">
        <v>2</v>
      </c>
      <c r="O116" s="14"/>
      <c r="P116" s="14"/>
      <c r="Q116" s="14"/>
      <c r="R116" s="14"/>
      <c r="S116" s="33"/>
      <c r="T116" s="33"/>
      <c r="U116" s="58" t="s">
        <v>2</v>
      </c>
      <c r="V116" s="58" t="s">
        <v>2</v>
      </c>
      <c r="W116" s="14"/>
      <c r="X116" s="14"/>
      <c r="Y116" s="14"/>
      <c r="Z116" s="14"/>
      <c r="AA116" s="33"/>
      <c r="AB116" s="33"/>
      <c r="AC116" s="58" t="s">
        <v>2</v>
      </c>
      <c r="AD116" s="58" t="s">
        <v>2</v>
      </c>
      <c r="AE116" s="14"/>
      <c r="AF116" s="60"/>
      <c r="AH116" s="16">
        <f t="shared" si="12"/>
        <v>0</v>
      </c>
      <c r="AI116" s="16">
        <f t="shared" si="13"/>
        <v>0</v>
      </c>
    </row>
    <row r="117" spans="1:35" ht="20.100000000000001" hidden="1" customHeight="1">
      <c r="A117" s="18" t="str">
        <f>ÖSSZES!$A$89</f>
        <v>Név18</v>
      </c>
      <c r="B117" s="60"/>
      <c r="C117" s="33"/>
      <c r="D117" s="33"/>
      <c r="E117" s="58" t="s">
        <v>2</v>
      </c>
      <c r="F117" s="58" t="s">
        <v>2</v>
      </c>
      <c r="G117" s="14"/>
      <c r="H117" s="14"/>
      <c r="I117" s="14"/>
      <c r="J117" s="14"/>
      <c r="K117" s="33"/>
      <c r="L117" s="33"/>
      <c r="M117" s="58" t="s">
        <v>2</v>
      </c>
      <c r="N117" s="58" t="s">
        <v>2</v>
      </c>
      <c r="O117" s="14"/>
      <c r="P117" s="14"/>
      <c r="Q117" s="14"/>
      <c r="R117" s="14"/>
      <c r="S117" s="33"/>
      <c r="T117" s="33"/>
      <c r="U117" s="58" t="s">
        <v>2</v>
      </c>
      <c r="V117" s="58" t="s">
        <v>2</v>
      </c>
      <c r="W117" s="14"/>
      <c r="X117" s="14"/>
      <c r="Y117" s="14"/>
      <c r="Z117" s="14"/>
      <c r="AA117" s="33"/>
      <c r="AB117" s="33"/>
      <c r="AC117" s="58" t="s">
        <v>2</v>
      </c>
      <c r="AD117" s="58" t="s">
        <v>2</v>
      </c>
      <c r="AE117" s="14"/>
      <c r="AF117" s="60"/>
      <c r="AH117" s="16">
        <f t="shared" si="12"/>
        <v>0</v>
      </c>
      <c r="AI117" s="16">
        <f t="shared" si="13"/>
        <v>0</v>
      </c>
    </row>
    <row r="118" spans="1:35" ht="20.100000000000001" hidden="1" customHeight="1">
      <c r="A118" s="18" t="str">
        <f>ÖSSZES!$A$90</f>
        <v>Név19</v>
      </c>
      <c r="B118" s="60"/>
      <c r="C118" s="33"/>
      <c r="D118" s="33"/>
      <c r="E118" s="58" t="s">
        <v>2</v>
      </c>
      <c r="F118" s="58" t="s">
        <v>2</v>
      </c>
      <c r="G118" s="14"/>
      <c r="H118" s="14"/>
      <c r="I118" s="14"/>
      <c r="J118" s="14"/>
      <c r="K118" s="33"/>
      <c r="L118" s="33"/>
      <c r="M118" s="58" t="s">
        <v>2</v>
      </c>
      <c r="N118" s="58" t="s">
        <v>2</v>
      </c>
      <c r="O118" s="14"/>
      <c r="P118" s="14"/>
      <c r="Q118" s="14"/>
      <c r="R118" s="14"/>
      <c r="S118" s="33"/>
      <c r="T118" s="33"/>
      <c r="U118" s="58" t="s">
        <v>2</v>
      </c>
      <c r="V118" s="58" t="s">
        <v>2</v>
      </c>
      <c r="W118" s="14"/>
      <c r="X118" s="14"/>
      <c r="Y118" s="14"/>
      <c r="Z118" s="14"/>
      <c r="AA118" s="33"/>
      <c r="AB118" s="33"/>
      <c r="AC118" s="58" t="s">
        <v>2</v>
      </c>
      <c r="AD118" s="58" t="s">
        <v>2</v>
      </c>
      <c r="AE118" s="14"/>
      <c r="AF118" s="60"/>
      <c r="AH118" s="16">
        <f t="shared" si="12"/>
        <v>0</v>
      </c>
      <c r="AI118" s="16">
        <f t="shared" si="13"/>
        <v>0</v>
      </c>
    </row>
    <row r="119" spans="1:35" ht="20.100000000000001" hidden="1" customHeight="1">
      <c r="A119" s="18" t="str">
        <f>ÖSSZES!$A$91</f>
        <v>Név20</v>
      </c>
      <c r="B119" s="60"/>
      <c r="C119" s="33"/>
      <c r="D119" s="33"/>
      <c r="E119" s="58" t="s">
        <v>2</v>
      </c>
      <c r="F119" s="58" t="s">
        <v>2</v>
      </c>
      <c r="G119" s="14"/>
      <c r="H119" s="14"/>
      <c r="I119" s="14"/>
      <c r="J119" s="14"/>
      <c r="K119" s="33"/>
      <c r="L119" s="33"/>
      <c r="M119" s="58" t="s">
        <v>2</v>
      </c>
      <c r="N119" s="58" t="s">
        <v>2</v>
      </c>
      <c r="O119" s="14"/>
      <c r="P119" s="14"/>
      <c r="Q119" s="14"/>
      <c r="R119" s="14"/>
      <c r="S119" s="33"/>
      <c r="T119" s="33"/>
      <c r="U119" s="58" t="s">
        <v>2</v>
      </c>
      <c r="V119" s="58" t="s">
        <v>2</v>
      </c>
      <c r="W119" s="14"/>
      <c r="X119" s="14"/>
      <c r="Y119" s="14"/>
      <c r="Z119" s="14"/>
      <c r="AA119" s="33"/>
      <c r="AB119" s="33"/>
      <c r="AC119" s="58" t="s">
        <v>2</v>
      </c>
      <c r="AD119" s="58" t="s">
        <v>2</v>
      </c>
      <c r="AE119" s="14"/>
      <c r="AF119" s="60"/>
      <c r="AH119" s="16">
        <f t="shared" si="12"/>
        <v>0</v>
      </c>
      <c r="AI119" s="16">
        <f t="shared" si="13"/>
        <v>0</v>
      </c>
    </row>
    <row r="120" spans="1:35" ht="20.100000000000001" customHeight="1"/>
    <row r="121" spans="1:35" s="6" customFormat="1" ht="20.100000000000001" customHeight="1">
      <c r="A121" s="91" t="s">
        <v>10</v>
      </c>
      <c r="B121" s="32">
        <v>1</v>
      </c>
      <c r="C121" s="17">
        <v>2</v>
      </c>
      <c r="D121" s="17">
        <v>3</v>
      </c>
      <c r="E121" s="17">
        <v>4</v>
      </c>
      <c r="F121" s="17">
        <v>5</v>
      </c>
      <c r="G121" s="17">
        <v>6</v>
      </c>
      <c r="H121" s="17">
        <v>7</v>
      </c>
      <c r="I121" s="17">
        <v>8</v>
      </c>
      <c r="J121" s="17">
        <v>9</v>
      </c>
      <c r="K121" s="17">
        <v>10</v>
      </c>
      <c r="L121" s="17">
        <v>11</v>
      </c>
      <c r="M121" s="17">
        <v>12</v>
      </c>
      <c r="N121" s="17">
        <v>13</v>
      </c>
      <c r="O121" s="17">
        <v>14</v>
      </c>
      <c r="P121" s="17">
        <v>15</v>
      </c>
      <c r="Q121" s="17">
        <v>16</v>
      </c>
      <c r="R121" s="17">
        <v>17</v>
      </c>
      <c r="S121" s="17">
        <v>18</v>
      </c>
      <c r="T121" s="17">
        <v>19</v>
      </c>
      <c r="U121" s="17">
        <v>20</v>
      </c>
      <c r="V121" s="17">
        <v>21</v>
      </c>
      <c r="W121" s="17">
        <v>22</v>
      </c>
      <c r="X121" s="17">
        <v>23</v>
      </c>
      <c r="Y121" s="17">
        <v>24</v>
      </c>
      <c r="Z121" s="17">
        <v>25</v>
      </c>
      <c r="AA121" s="17">
        <v>26</v>
      </c>
      <c r="AB121" s="17">
        <v>27</v>
      </c>
      <c r="AC121" s="17">
        <v>28</v>
      </c>
      <c r="AD121" s="17">
        <v>29</v>
      </c>
      <c r="AE121" s="17">
        <v>30</v>
      </c>
      <c r="AH121" s="93" t="s">
        <v>18</v>
      </c>
      <c r="AI121" s="93" t="s">
        <v>19</v>
      </c>
    </row>
    <row r="122" spans="1:35" ht="20.100000000000001" customHeight="1">
      <c r="A122" s="96"/>
      <c r="B122" s="10" t="str">
        <f>'2020'!B44</f>
        <v>H</v>
      </c>
      <c r="C122" s="10" t="str">
        <f>'2020'!C44</f>
        <v>K</v>
      </c>
      <c r="D122" s="10" t="str">
        <f>'2020'!D44</f>
        <v>Sze</v>
      </c>
      <c r="E122" s="10" t="str">
        <f>'2020'!E44</f>
        <v>Cs</v>
      </c>
      <c r="F122" s="10" t="str">
        <f>'2020'!F44</f>
        <v>P</v>
      </c>
      <c r="G122" s="10" t="str">
        <f>'2020'!G44</f>
        <v>Szo</v>
      </c>
      <c r="H122" s="10" t="str">
        <f>'2020'!H44</f>
        <v>V</v>
      </c>
      <c r="I122" s="10" t="str">
        <f>'2020'!I44</f>
        <v>H</v>
      </c>
      <c r="J122" s="10" t="str">
        <f>'2020'!J44</f>
        <v>K</v>
      </c>
      <c r="K122" s="10" t="str">
        <f>'2020'!K44</f>
        <v>Sze</v>
      </c>
      <c r="L122" s="10" t="str">
        <f>'2020'!L44</f>
        <v>Cs</v>
      </c>
      <c r="M122" s="10" t="str">
        <f>'2020'!M44</f>
        <v>P</v>
      </c>
      <c r="N122" s="10" t="str">
        <f>'2020'!N44</f>
        <v>Szo</v>
      </c>
      <c r="O122" s="10" t="str">
        <f>'2020'!O44</f>
        <v>V</v>
      </c>
      <c r="P122" s="10" t="str">
        <f>'2020'!P44</f>
        <v>H</v>
      </c>
      <c r="Q122" s="10" t="str">
        <f>'2020'!Q44</f>
        <v>K</v>
      </c>
      <c r="R122" s="10" t="str">
        <f>'2020'!R44</f>
        <v>Sze</v>
      </c>
      <c r="S122" s="10" t="str">
        <f>'2020'!S44</f>
        <v>Cs</v>
      </c>
      <c r="T122" s="10" t="str">
        <f>'2020'!T44</f>
        <v>P</v>
      </c>
      <c r="U122" s="10" t="str">
        <f>'2020'!U44</f>
        <v>Szo</v>
      </c>
      <c r="V122" s="10" t="str">
        <f>'2020'!V44</f>
        <v>V</v>
      </c>
      <c r="W122" s="10" t="str">
        <f>'2020'!W44</f>
        <v>H</v>
      </c>
      <c r="X122" s="10" t="str">
        <f>'2020'!X44</f>
        <v>K</v>
      </c>
      <c r="Y122" s="10" t="str">
        <f>'2020'!Y44</f>
        <v>Sze</v>
      </c>
      <c r="Z122" s="10" t="str">
        <f>'2020'!Z44</f>
        <v>Cs</v>
      </c>
      <c r="AA122" s="10" t="str">
        <f>'2020'!AA44</f>
        <v>P</v>
      </c>
      <c r="AB122" s="10" t="str">
        <f>'2020'!AB44</f>
        <v>Szo</v>
      </c>
      <c r="AC122" s="10" t="str">
        <f>'2020'!AC44</f>
        <v>V</v>
      </c>
      <c r="AD122" s="10" t="str">
        <f>'2020'!AD44</f>
        <v>H</v>
      </c>
      <c r="AE122" s="10" t="str">
        <f>'2020'!AE44</f>
        <v>K</v>
      </c>
      <c r="AF122" s="1"/>
      <c r="AH122" s="94"/>
      <c r="AI122" s="94"/>
    </row>
    <row r="123" spans="1:35" ht="20.100000000000001" customHeight="1">
      <c r="A123" s="96"/>
      <c r="B123" s="10">
        <f>'2020'!B48</f>
        <v>1</v>
      </c>
      <c r="C123" s="10">
        <f>'2020'!C48</f>
        <v>1</v>
      </c>
      <c r="D123" s="10">
        <f>'2020'!D48</f>
        <v>1</v>
      </c>
      <c r="E123" s="10">
        <f>'2020'!E48</f>
        <v>1</v>
      </c>
      <c r="F123" s="10" t="str">
        <f>'2020'!F48</f>
        <v>X</v>
      </c>
      <c r="G123" s="10" t="str">
        <f>'2020'!G48</f>
        <v>X</v>
      </c>
      <c r="H123" s="10">
        <f>'2020'!H48</f>
        <v>3</v>
      </c>
      <c r="I123" s="10">
        <f>'2020'!I48</f>
        <v>3</v>
      </c>
      <c r="J123" s="10">
        <f>'2020'!J48</f>
        <v>3</v>
      </c>
      <c r="K123" s="10">
        <f>'2020'!K48</f>
        <v>3</v>
      </c>
      <c r="L123" s="10">
        <f>'2020'!L48</f>
        <v>3</v>
      </c>
      <c r="M123" s="10">
        <f>'2020'!M48</f>
        <v>3</v>
      </c>
      <c r="N123" s="10" t="str">
        <f>'2020'!N48</f>
        <v>X</v>
      </c>
      <c r="O123" s="10" t="str">
        <f>'2020'!O48</f>
        <v>X</v>
      </c>
      <c r="P123" s="10">
        <f>'2020'!P48</f>
        <v>2</v>
      </c>
      <c r="Q123" s="10">
        <f>'2020'!Q48</f>
        <v>2</v>
      </c>
      <c r="R123" s="10">
        <f>'2020'!R48</f>
        <v>2</v>
      </c>
      <c r="S123" s="10">
        <f>'2020'!S48</f>
        <v>2</v>
      </c>
      <c r="T123" s="10">
        <f>'2020'!T48</f>
        <v>2</v>
      </c>
      <c r="U123" s="10">
        <f>'2020'!U48</f>
        <v>2</v>
      </c>
      <c r="V123" s="10" t="str">
        <f>'2020'!V48</f>
        <v>X</v>
      </c>
      <c r="W123" s="10" t="str">
        <f>'2020'!W48</f>
        <v>X</v>
      </c>
      <c r="X123" s="10">
        <f>'2020'!X48</f>
        <v>1</v>
      </c>
      <c r="Y123" s="10">
        <f>'2020'!Y48</f>
        <v>1</v>
      </c>
      <c r="Z123" s="10">
        <f>'2020'!Z48</f>
        <v>1</v>
      </c>
      <c r="AA123" s="10">
        <f>'2020'!AA48</f>
        <v>1</v>
      </c>
      <c r="AB123" s="10">
        <f>'2020'!AB48</f>
        <v>1</v>
      </c>
      <c r="AC123" s="10">
        <f>'2020'!AC48</f>
        <v>1</v>
      </c>
      <c r="AD123" s="10" t="str">
        <f>'2020'!AD48</f>
        <v>X</v>
      </c>
      <c r="AE123" s="10" t="str">
        <f>'2020'!AE48</f>
        <v>X</v>
      </c>
      <c r="AF123" s="1"/>
      <c r="AH123" s="94"/>
      <c r="AI123" s="94"/>
    </row>
    <row r="124" spans="1:35" ht="20.100000000000001" customHeight="1">
      <c r="A124" s="18" t="str">
        <f>ÖSSZES!$A$72</f>
        <v>Daku Gábor</v>
      </c>
      <c r="B124" s="60">
        <f>[1]D!B59</f>
        <v>1</v>
      </c>
      <c r="C124" s="33">
        <f>[1]D!C59</f>
        <v>1</v>
      </c>
      <c r="D124" s="33">
        <f>[1]D!D59</f>
        <v>1</v>
      </c>
      <c r="E124" s="33">
        <f>[1]D!E59</f>
        <v>1</v>
      </c>
      <c r="F124" s="58" t="str">
        <f>[1]D!F59</f>
        <v>X</v>
      </c>
      <c r="G124" s="58" t="str">
        <f>[1]D!G59</f>
        <v>X</v>
      </c>
      <c r="H124" s="33">
        <f>[1]D!H59</f>
        <v>3</v>
      </c>
      <c r="I124" s="33">
        <f>[1]D!I59</f>
        <v>3</v>
      </c>
      <c r="J124" s="33">
        <f>[1]D!J59</f>
        <v>3</v>
      </c>
      <c r="K124" s="33">
        <f>[1]D!K59</f>
        <v>3</v>
      </c>
      <c r="L124" s="33">
        <f>[1]D!L59</f>
        <v>3</v>
      </c>
      <c r="M124" s="33">
        <f>[1]D!M59</f>
        <v>3</v>
      </c>
      <c r="N124" s="58" t="str">
        <f>[1]D!N59</f>
        <v>X</v>
      </c>
      <c r="O124" s="58" t="str">
        <f>[1]D!O59</f>
        <v>X</v>
      </c>
      <c r="P124" s="33">
        <f>[1]D!P59</f>
        <v>2</v>
      </c>
      <c r="Q124" s="33">
        <f>[1]D!Q59</f>
        <v>2</v>
      </c>
      <c r="R124" s="33">
        <f>[1]D!R59</f>
        <v>2</v>
      </c>
      <c r="S124" s="33">
        <f>[1]D!S59</f>
        <v>2</v>
      </c>
      <c r="T124" s="33">
        <f>[1]D!T59</f>
        <v>2</v>
      </c>
      <c r="U124" s="33">
        <f>[1]D!U59</f>
        <v>2</v>
      </c>
      <c r="V124" s="58" t="str">
        <f>[1]D!V59</f>
        <v>X</v>
      </c>
      <c r="W124" s="58" t="str">
        <f>[1]D!W59</f>
        <v>X</v>
      </c>
      <c r="X124" s="33">
        <f>[1]D!X59</f>
        <v>1</v>
      </c>
      <c r="Y124" s="33">
        <f>[1]D!Y59</f>
        <v>1</v>
      </c>
      <c r="Z124" s="33">
        <f>[1]D!Z59</f>
        <v>1</v>
      </c>
      <c r="AA124" s="33">
        <f>[1]D!AA59</f>
        <v>1</v>
      </c>
      <c r="AB124" s="33">
        <f>[1]D!AB59</f>
        <v>1</v>
      </c>
      <c r="AC124" s="33">
        <f>[1]D!AC59</f>
        <v>1</v>
      </c>
      <c r="AD124" s="58" t="str">
        <f>[1]D!AD59</f>
        <v>X</v>
      </c>
      <c r="AE124" s="58" t="str">
        <f>[1]D!AE59</f>
        <v>X</v>
      </c>
      <c r="AF124" s="1"/>
      <c r="AH124" s="16">
        <f>1*COUNTIF(A124:AF124,"+")</f>
        <v>0</v>
      </c>
      <c r="AI124" s="16">
        <f t="shared" ref="AI124" si="14">1*COUNTIF(B124:AF124,"szf")</f>
        <v>0</v>
      </c>
    </row>
    <row r="125" spans="1:35" ht="20.100000000000001" customHeight="1">
      <c r="A125" s="18" t="str">
        <f>ÖSSZES!$A$73</f>
        <v>Borbély Csaba</v>
      </c>
      <c r="B125" s="60">
        <f>[1]D!B60</f>
        <v>1</v>
      </c>
      <c r="C125" s="33">
        <f>[1]D!C60</f>
        <v>1</v>
      </c>
      <c r="D125" s="33">
        <f>[1]D!D60</f>
        <v>1</v>
      </c>
      <c r="E125" s="33">
        <f>[1]D!E60</f>
        <v>1</v>
      </c>
      <c r="F125" s="58" t="str">
        <f>[1]D!F60</f>
        <v>X</v>
      </c>
      <c r="G125" s="58" t="str">
        <f>[1]D!G60</f>
        <v>X</v>
      </c>
      <c r="H125" s="33">
        <f>[1]D!H60</f>
        <v>3</v>
      </c>
      <c r="I125" s="33">
        <f>[1]D!I60</f>
        <v>3</v>
      </c>
      <c r="J125" s="33">
        <f>[1]D!J60</f>
        <v>3</v>
      </c>
      <c r="K125" s="33">
        <f>[1]D!K60</f>
        <v>3</v>
      </c>
      <c r="L125" s="33">
        <f>[1]D!L60</f>
        <v>3</v>
      </c>
      <c r="M125" s="33">
        <f>[1]D!M60</f>
        <v>3</v>
      </c>
      <c r="N125" s="58" t="str">
        <f>[1]D!N60</f>
        <v>X</v>
      </c>
      <c r="O125" s="58" t="str">
        <f>[1]D!O60</f>
        <v>X</v>
      </c>
      <c r="P125" s="33">
        <f>[1]D!P60</f>
        <v>2</v>
      </c>
      <c r="Q125" s="33">
        <f>[1]D!Q60</f>
        <v>2</v>
      </c>
      <c r="R125" s="33">
        <f>[1]D!R60</f>
        <v>2</v>
      </c>
      <c r="S125" s="33">
        <f>[1]D!S60</f>
        <v>2</v>
      </c>
      <c r="T125" s="33">
        <f>[1]D!T60</f>
        <v>2</v>
      </c>
      <c r="U125" s="33">
        <f>[1]D!U60</f>
        <v>2</v>
      </c>
      <c r="V125" s="58" t="str">
        <f>[1]D!V60</f>
        <v>X</v>
      </c>
      <c r="W125" s="58" t="str">
        <f>[1]D!W60</f>
        <v>X</v>
      </c>
      <c r="X125" s="33">
        <f>[1]D!X60</f>
        <v>1</v>
      </c>
      <c r="Y125" s="33">
        <f>[1]D!Y60</f>
        <v>1</v>
      </c>
      <c r="Z125" s="33">
        <f>[1]D!Z60</f>
        <v>1</v>
      </c>
      <c r="AA125" s="33">
        <f>[1]D!AA60</f>
        <v>1</v>
      </c>
      <c r="AB125" s="33">
        <f>[1]D!AB60</f>
        <v>1</v>
      </c>
      <c r="AC125" s="33">
        <f>[1]D!AC60</f>
        <v>1</v>
      </c>
      <c r="AD125" s="58" t="str">
        <f>[1]D!AD60</f>
        <v>X</v>
      </c>
      <c r="AE125" s="58" t="str">
        <f>[1]D!AE60</f>
        <v>X</v>
      </c>
      <c r="AF125" s="1"/>
      <c r="AH125" s="16">
        <f t="shared" ref="AH125:AH143" si="15">1*COUNTIF(A125:AF125,"+")</f>
        <v>0</v>
      </c>
      <c r="AI125" s="16">
        <f t="shared" ref="AI125:AI143" si="16">1*COUNTIF(B125:AF125,"szf")</f>
        <v>0</v>
      </c>
    </row>
    <row r="126" spans="1:35" ht="20.100000000000001" customHeight="1">
      <c r="A126" s="18" t="str">
        <f>ÖSSZES!$A$74</f>
        <v>Erdei Bálint</v>
      </c>
      <c r="B126" s="60">
        <f>[1]D!B61</f>
        <v>1</v>
      </c>
      <c r="C126" s="33">
        <f>[1]D!C61</f>
        <v>1</v>
      </c>
      <c r="D126" s="33">
        <f>[1]D!D61</f>
        <v>1</v>
      </c>
      <c r="E126" s="33">
        <f>[1]D!E61</f>
        <v>1</v>
      </c>
      <c r="F126" s="58" t="str">
        <f>[1]D!F61</f>
        <v>X</v>
      </c>
      <c r="G126" s="58" t="str">
        <f>[1]D!G61</f>
        <v>X</v>
      </c>
      <c r="H126" s="33">
        <f>[1]D!H61</f>
        <v>3</v>
      </c>
      <c r="I126" s="33">
        <f>[1]D!I61</f>
        <v>3</v>
      </c>
      <c r="J126" s="33">
        <f>[1]D!J61</f>
        <v>3</v>
      </c>
      <c r="K126" s="33">
        <f>[1]D!K61</f>
        <v>3</v>
      </c>
      <c r="L126" s="33">
        <f>[1]D!L61</f>
        <v>3</v>
      </c>
      <c r="M126" s="33">
        <f>[1]D!M61</f>
        <v>3</v>
      </c>
      <c r="N126" s="58" t="str">
        <f>[1]D!N61</f>
        <v>X</v>
      </c>
      <c r="O126" s="58" t="str">
        <f>[1]D!O61</f>
        <v>X</v>
      </c>
      <c r="P126" s="33">
        <f>[1]D!P61</f>
        <v>2</v>
      </c>
      <c r="Q126" s="33">
        <f>[1]D!Q61</f>
        <v>2</v>
      </c>
      <c r="R126" s="33">
        <f>[1]D!R61</f>
        <v>2</v>
      </c>
      <c r="S126" s="33">
        <f>[1]D!S61</f>
        <v>2</v>
      </c>
      <c r="T126" s="33">
        <f>[1]D!T61</f>
        <v>2</v>
      </c>
      <c r="U126" s="33">
        <f>[1]D!U61</f>
        <v>2</v>
      </c>
      <c r="V126" s="58" t="str">
        <f>[1]D!V61</f>
        <v>X</v>
      </c>
      <c r="W126" s="58" t="str">
        <f>[1]D!W61</f>
        <v>X</v>
      </c>
      <c r="X126" s="33">
        <f>[1]D!X61</f>
        <v>1</v>
      </c>
      <c r="Y126" s="33">
        <f>[1]D!Y61</f>
        <v>1</v>
      </c>
      <c r="Z126" s="33">
        <f>[1]D!Z61</f>
        <v>1</v>
      </c>
      <c r="AA126" s="33">
        <f>[1]D!AA61</f>
        <v>1</v>
      </c>
      <c r="AB126" s="33">
        <f>[1]D!AB61</f>
        <v>1</v>
      </c>
      <c r="AC126" s="33">
        <f>[1]D!AC61</f>
        <v>1</v>
      </c>
      <c r="AD126" s="58" t="str">
        <f>[1]D!AD61</f>
        <v>X</v>
      </c>
      <c r="AE126" s="58" t="str">
        <f>[1]D!AE61</f>
        <v>X</v>
      </c>
      <c r="AF126" s="1"/>
      <c r="AH126" s="16">
        <f t="shared" si="15"/>
        <v>0</v>
      </c>
      <c r="AI126" s="16">
        <f t="shared" si="16"/>
        <v>0</v>
      </c>
    </row>
    <row r="127" spans="1:35" ht="20.100000000000001" customHeight="1">
      <c r="A127" s="18" t="str">
        <f>ÖSSZES!$A$75</f>
        <v>Fábián Gábor</v>
      </c>
      <c r="B127" s="60">
        <f>[1]D!B62</f>
        <v>1</v>
      </c>
      <c r="C127" s="33">
        <f>[1]D!C62</f>
        <v>1</v>
      </c>
      <c r="D127" s="33">
        <f>[1]D!D62</f>
        <v>1</v>
      </c>
      <c r="E127" s="33">
        <f>[1]D!E62</f>
        <v>1</v>
      </c>
      <c r="F127" s="58" t="str">
        <f>[1]D!F62</f>
        <v>X</v>
      </c>
      <c r="G127" s="58" t="str">
        <f>[1]D!G62</f>
        <v>X</v>
      </c>
      <c r="H127" s="33">
        <f>[1]D!H62</f>
        <v>3</v>
      </c>
      <c r="I127" s="33">
        <f>[1]D!I62</f>
        <v>3</v>
      </c>
      <c r="J127" s="33">
        <f>[1]D!J62</f>
        <v>3</v>
      </c>
      <c r="K127" s="33">
        <f>[1]D!K62</f>
        <v>3</v>
      </c>
      <c r="L127" s="33">
        <f>[1]D!L62</f>
        <v>3</v>
      </c>
      <c r="M127" s="33">
        <f>[1]D!M62</f>
        <v>3</v>
      </c>
      <c r="N127" s="58" t="str">
        <f>[1]D!N62</f>
        <v>X</v>
      </c>
      <c r="O127" s="58" t="str">
        <f>[1]D!O62</f>
        <v>X</v>
      </c>
      <c r="P127" s="33">
        <f>[1]D!P62</f>
        <v>2</v>
      </c>
      <c r="Q127" s="33">
        <f>[1]D!Q62</f>
        <v>2</v>
      </c>
      <c r="R127" s="33">
        <f>[1]D!R62</f>
        <v>2</v>
      </c>
      <c r="S127" s="33">
        <f>[1]D!S62</f>
        <v>2</v>
      </c>
      <c r="T127" s="33">
        <f>[1]D!T62</f>
        <v>2</v>
      </c>
      <c r="U127" s="33">
        <f>[1]D!U62</f>
        <v>2</v>
      </c>
      <c r="V127" s="58" t="str">
        <f>[1]D!V62</f>
        <v>X</v>
      </c>
      <c r="W127" s="58" t="str">
        <f>[1]D!W62</f>
        <v>X</v>
      </c>
      <c r="X127" s="33">
        <f>[1]D!X62</f>
        <v>1</v>
      </c>
      <c r="Y127" s="33">
        <f>[1]D!Y62</f>
        <v>1</v>
      </c>
      <c r="Z127" s="33">
        <f>[1]D!Z62</f>
        <v>1</v>
      </c>
      <c r="AA127" s="33">
        <f>[1]D!AA62</f>
        <v>1</v>
      </c>
      <c r="AB127" s="33">
        <f>[1]D!AB62</f>
        <v>1</v>
      </c>
      <c r="AC127" s="33">
        <f>[1]D!AC62</f>
        <v>1</v>
      </c>
      <c r="AD127" s="58" t="str">
        <f>[1]D!AD62</f>
        <v>X</v>
      </c>
      <c r="AE127" s="58" t="str">
        <f>[1]D!AE62</f>
        <v>X</v>
      </c>
      <c r="AF127" s="1"/>
      <c r="AH127" s="16">
        <f t="shared" si="15"/>
        <v>0</v>
      </c>
      <c r="AI127" s="16">
        <f t="shared" si="16"/>
        <v>0</v>
      </c>
    </row>
    <row r="128" spans="1:35" ht="20.100000000000001" customHeight="1">
      <c r="A128" s="18" t="str">
        <f>ÖSSZES!$A$76</f>
        <v>Gellei Zsolt</v>
      </c>
      <c r="B128" s="60">
        <f>[1]D!B63</f>
        <v>1</v>
      </c>
      <c r="C128" s="33">
        <f>[1]D!C63</f>
        <v>1</v>
      </c>
      <c r="D128" s="33">
        <f>[1]D!D63</f>
        <v>1</v>
      </c>
      <c r="E128" s="33">
        <f>[1]D!E63</f>
        <v>1</v>
      </c>
      <c r="F128" s="58" t="str">
        <f>[1]D!F63</f>
        <v>X</v>
      </c>
      <c r="G128" s="58" t="str">
        <f>[1]D!G63</f>
        <v>X</v>
      </c>
      <c r="H128" s="33">
        <f>[1]D!H63</f>
        <v>3</v>
      </c>
      <c r="I128" s="33">
        <f>[1]D!I63</f>
        <v>3</v>
      </c>
      <c r="J128" s="33">
        <f>[1]D!J63</f>
        <v>3</v>
      </c>
      <c r="K128" s="33">
        <f>[1]D!K63</f>
        <v>3</v>
      </c>
      <c r="L128" s="33">
        <f>[1]D!L63</f>
        <v>3</v>
      </c>
      <c r="M128" s="33">
        <f>[1]D!M63</f>
        <v>3</v>
      </c>
      <c r="N128" s="58" t="str">
        <f>[1]D!N63</f>
        <v>X</v>
      </c>
      <c r="O128" s="58" t="str">
        <f>[1]D!O63</f>
        <v>X</v>
      </c>
      <c r="P128" s="33">
        <f>[1]D!P63</f>
        <v>2</v>
      </c>
      <c r="Q128" s="33">
        <f>[1]D!Q63</f>
        <v>2</v>
      </c>
      <c r="R128" s="33">
        <f>[1]D!R63</f>
        <v>2</v>
      </c>
      <c r="S128" s="33">
        <f>[1]D!S63</f>
        <v>2</v>
      </c>
      <c r="T128" s="33">
        <f>[1]D!T63</f>
        <v>2</v>
      </c>
      <c r="U128" s="33">
        <f>[1]D!U63</f>
        <v>2</v>
      </c>
      <c r="V128" s="58" t="str">
        <f>[1]D!V63</f>
        <v>X</v>
      </c>
      <c r="W128" s="58" t="str">
        <f>[1]D!W63</f>
        <v>X</v>
      </c>
      <c r="X128" s="33">
        <f>[1]D!X63</f>
        <v>1</v>
      </c>
      <c r="Y128" s="33">
        <f>[1]D!Y63</f>
        <v>1</v>
      </c>
      <c r="Z128" s="33">
        <f>[1]D!Z63</f>
        <v>1</v>
      </c>
      <c r="AA128" s="33">
        <f>[1]D!AA63</f>
        <v>1</v>
      </c>
      <c r="AB128" s="33">
        <f>[1]D!AB63</f>
        <v>1</v>
      </c>
      <c r="AC128" s="33">
        <f>[1]D!AC63</f>
        <v>1</v>
      </c>
      <c r="AD128" s="58" t="str">
        <f>[1]D!AD63</f>
        <v>X</v>
      </c>
      <c r="AE128" s="58" t="str">
        <f>[1]D!AE63</f>
        <v>X</v>
      </c>
      <c r="AF128" s="1"/>
      <c r="AH128" s="16">
        <f t="shared" si="15"/>
        <v>0</v>
      </c>
      <c r="AI128" s="16">
        <f t="shared" si="16"/>
        <v>0</v>
      </c>
    </row>
    <row r="129" spans="1:35" ht="20.100000000000001" customHeight="1">
      <c r="A129" s="18" t="str">
        <f>ÖSSZES!$A$77</f>
        <v>Kiss Gyula</v>
      </c>
      <c r="B129" s="60">
        <f>[1]D!B64</f>
        <v>1</v>
      </c>
      <c r="C129" s="33">
        <f>[1]D!C64</f>
        <v>1</v>
      </c>
      <c r="D129" s="33">
        <f>[1]D!D64</f>
        <v>1</v>
      </c>
      <c r="E129" s="33">
        <f>[1]D!E64</f>
        <v>1</v>
      </c>
      <c r="F129" s="58" t="str">
        <f>[1]D!F64</f>
        <v>X</v>
      </c>
      <c r="G129" s="58" t="str">
        <f>[1]D!G64</f>
        <v>X</v>
      </c>
      <c r="H129" s="33">
        <f>[1]D!H64</f>
        <v>3</v>
      </c>
      <c r="I129" s="33">
        <f>[1]D!I64</f>
        <v>3</v>
      </c>
      <c r="J129" s="33">
        <f>[1]D!J64</f>
        <v>3</v>
      </c>
      <c r="K129" s="33">
        <f>[1]D!K64</f>
        <v>3</v>
      </c>
      <c r="L129" s="33">
        <f>[1]D!L64</f>
        <v>3</v>
      </c>
      <c r="M129" s="33">
        <f>[1]D!M64</f>
        <v>3</v>
      </c>
      <c r="N129" s="58" t="str">
        <f>[1]D!N64</f>
        <v>X</v>
      </c>
      <c r="O129" s="58" t="str">
        <f>[1]D!O64</f>
        <v>X</v>
      </c>
      <c r="P129" s="33">
        <f>[1]D!P64</f>
        <v>2</v>
      </c>
      <c r="Q129" s="33">
        <f>[1]D!Q64</f>
        <v>2</v>
      </c>
      <c r="R129" s="33">
        <f>[1]D!R64</f>
        <v>2</v>
      </c>
      <c r="S129" s="33">
        <f>[1]D!S64</f>
        <v>2</v>
      </c>
      <c r="T129" s="33">
        <f>[1]D!T64</f>
        <v>2</v>
      </c>
      <c r="U129" s="33">
        <f>[1]D!U64</f>
        <v>2</v>
      </c>
      <c r="V129" s="58" t="str">
        <f>[1]D!V64</f>
        <v>X</v>
      </c>
      <c r="W129" s="58" t="str">
        <f>[1]D!W64</f>
        <v>X</v>
      </c>
      <c r="X129" s="33">
        <f>[1]D!X64</f>
        <v>1</v>
      </c>
      <c r="Y129" s="33">
        <f>[1]D!Y64</f>
        <v>1</v>
      </c>
      <c r="Z129" s="33">
        <f>[1]D!Z64</f>
        <v>1</v>
      </c>
      <c r="AA129" s="33">
        <f>[1]D!AA64</f>
        <v>1</v>
      </c>
      <c r="AB129" s="33">
        <f>[1]D!AB64</f>
        <v>1</v>
      </c>
      <c r="AC129" s="33">
        <f>[1]D!AC64</f>
        <v>1</v>
      </c>
      <c r="AD129" s="58" t="str">
        <f>[1]D!AD64</f>
        <v>X</v>
      </c>
      <c r="AE129" s="58" t="str">
        <f>[1]D!AE64</f>
        <v>X</v>
      </c>
      <c r="AF129" s="1"/>
      <c r="AH129" s="16">
        <f t="shared" si="15"/>
        <v>0</v>
      </c>
      <c r="AI129" s="16">
        <f t="shared" si="16"/>
        <v>0</v>
      </c>
    </row>
    <row r="130" spans="1:35" ht="20.100000000000001" customHeight="1">
      <c r="A130" s="18" t="str">
        <f>ÖSSZES!$A$78</f>
        <v>Nagy István</v>
      </c>
      <c r="B130" s="60">
        <f>[1]D!B65</f>
        <v>1</v>
      </c>
      <c r="C130" s="33">
        <f>[1]D!C65</f>
        <v>1</v>
      </c>
      <c r="D130" s="33">
        <f>[1]D!D65</f>
        <v>1</v>
      </c>
      <c r="E130" s="33">
        <f>[1]D!E65</f>
        <v>1</v>
      </c>
      <c r="F130" s="58" t="str">
        <f>[1]D!F65</f>
        <v>X</v>
      </c>
      <c r="G130" s="58" t="str">
        <f>[1]D!G65</f>
        <v>X</v>
      </c>
      <c r="H130" s="33">
        <f>[1]D!H65</f>
        <v>3</v>
      </c>
      <c r="I130" s="33">
        <f>[1]D!I65</f>
        <v>3</v>
      </c>
      <c r="J130" s="33">
        <f>[1]D!J65</f>
        <v>3</v>
      </c>
      <c r="K130" s="33">
        <f>[1]D!K65</f>
        <v>3</v>
      </c>
      <c r="L130" s="33">
        <f>[1]D!L65</f>
        <v>3</v>
      </c>
      <c r="M130" s="33">
        <f>[1]D!M65</f>
        <v>3</v>
      </c>
      <c r="N130" s="58" t="str">
        <f>[1]D!N65</f>
        <v>X</v>
      </c>
      <c r="O130" s="58" t="str">
        <f>[1]D!O65</f>
        <v>X</v>
      </c>
      <c r="P130" s="33">
        <f>[1]D!P65</f>
        <v>2</v>
      </c>
      <c r="Q130" s="33">
        <f>[1]D!Q65</f>
        <v>2</v>
      </c>
      <c r="R130" s="33">
        <f>[1]D!R65</f>
        <v>2</v>
      </c>
      <c r="S130" s="33">
        <f>[1]D!S65</f>
        <v>2</v>
      </c>
      <c r="T130" s="33">
        <f>[1]D!T65</f>
        <v>2</v>
      </c>
      <c r="U130" s="33">
        <f>[1]D!U65</f>
        <v>2</v>
      </c>
      <c r="V130" s="58" t="str">
        <f>[1]D!V65</f>
        <v>X</v>
      </c>
      <c r="W130" s="58" t="str">
        <f>[1]D!W65</f>
        <v>X</v>
      </c>
      <c r="X130" s="33">
        <f>[1]D!X65</f>
        <v>1</v>
      </c>
      <c r="Y130" s="33">
        <f>[1]D!Y65</f>
        <v>1</v>
      </c>
      <c r="Z130" s="33">
        <f>[1]D!Z65</f>
        <v>1</v>
      </c>
      <c r="AA130" s="33">
        <f>[1]D!AA65</f>
        <v>1</v>
      </c>
      <c r="AB130" s="33">
        <f>[1]D!AB65</f>
        <v>1</v>
      </c>
      <c r="AC130" s="33">
        <f>[1]D!AC65</f>
        <v>1</v>
      </c>
      <c r="AD130" s="58" t="str">
        <f>[1]D!AD65</f>
        <v>X</v>
      </c>
      <c r="AE130" s="58" t="str">
        <f>[1]D!AE65</f>
        <v>X</v>
      </c>
      <c r="AF130" s="1"/>
      <c r="AH130" s="16">
        <f t="shared" si="15"/>
        <v>0</v>
      </c>
      <c r="AI130" s="16">
        <f t="shared" si="16"/>
        <v>0</v>
      </c>
    </row>
    <row r="131" spans="1:35" ht="20.100000000000001" hidden="1" customHeight="1">
      <c r="A131" s="18" t="str">
        <f>ÖSSZES!$A$79</f>
        <v>Fényi László</v>
      </c>
      <c r="B131" s="60"/>
      <c r="C131" s="33"/>
      <c r="D131" s="33"/>
      <c r="E131" s="33"/>
      <c r="F131" s="58"/>
      <c r="G131" s="58"/>
      <c r="H131" s="33"/>
      <c r="I131" s="33"/>
      <c r="J131" s="33"/>
      <c r="K131" s="33"/>
      <c r="L131" s="33"/>
      <c r="M131" s="33"/>
      <c r="N131" s="58"/>
      <c r="O131" s="58"/>
      <c r="P131" s="33"/>
      <c r="Q131" s="33"/>
      <c r="R131" s="33"/>
      <c r="S131" s="33"/>
      <c r="T131" s="33"/>
      <c r="U131" s="33"/>
      <c r="V131" s="58"/>
      <c r="W131" s="58"/>
      <c r="X131" s="33"/>
      <c r="Y131" s="33"/>
      <c r="Z131" s="33"/>
      <c r="AA131" s="33"/>
      <c r="AB131" s="33"/>
      <c r="AC131" s="33"/>
      <c r="AD131" s="58"/>
      <c r="AE131" s="58"/>
      <c r="AF131" s="1"/>
      <c r="AH131" s="16">
        <f t="shared" si="15"/>
        <v>0</v>
      </c>
      <c r="AI131" s="16">
        <f t="shared" si="16"/>
        <v>0</v>
      </c>
    </row>
    <row r="132" spans="1:35" ht="20.100000000000001" hidden="1" customHeight="1">
      <c r="A132" s="18" t="str">
        <f>ÖSSZES!$A$80</f>
        <v>Név9</v>
      </c>
      <c r="B132" s="60"/>
      <c r="C132" s="33"/>
      <c r="D132" s="33"/>
      <c r="E132" s="33"/>
      <c r="F132" s="58" t="s">
        <v>2</v>
      </c>
      <c r="G132" s="58" t="s">
        <v>2</v>
      </c>
      <c r="H132" s="33"/>
      <c r="I132" s="33"/>
      <c r="J132" s="33"/>
      <c r="K132" s="33"/>
      <c r="L132" s="33"/>
      <c r="M132" s="33"/>
      <c r="N132" s="58" t="s">
        <v>2</v>
      </c>
      <c r="O132" s="58" t="s">
        <v>2</v>
      </c>
      <c r="P132" s="33"/>
      <c r="Q132" s="33"/>
      <c r="R132" s="33"/>
      <c r="S132" s="33"/>
      <c r="T132" s="33"/>
      <c r="U132" s="33"/>
      <c r="V132" s="58" t="s">
        <v>2</v>
      </c>
      <c r="W132" s="58" t="s">
        <v>2</v>
      </c>
      <c r="X132" s="33"/>
      <c r="Y132" s="33"/>
      <c r="Z132" s="33"/>
      <c r="AA132" s="33"/>
      <c r="AB132" s="33"/>
      <c r="AC132" s="33"/>
      <c r="AD132" s="58" t="s">
        <v>2</v>
      </c>
      <c r="AE132" s="58" t="s">
        <v>2</v>
      </c>
      <c r="AF132" s="1"/>
      <c r="AH132" s="16">
        <f t="shared" si="15"/>
        <v>0</v>
      </c>
      <c r="AI132" s="16">
        <f t="shared" si="16"/>
        <v>0</v>
      </c>
    </row>
    <row r="133" spans="1:35" ht="20.100000000000001" hidden="1" customHeight="1">
      <c r="A133" s="18" t="str">
        <f>ÖSSZES!$A$81</f>
        <v>Név10</v>
      </c>
      <c r="B133" s="60"/>
      <c r="C133" s="33"/>
      <c r="D133" s="33"/>
      <c r="E133" s="33"/>
      <c r="F133" s="58" t="s">
        <v>2</v>
      </c>
      <c r="G133" s="58" t="s">
        <v>2</v>
      </c>
      <c r="H133" s="33"/>
      <c r="I133" s="33"/>
      <c r="J133" s="33"/>
      <c r="K133" s="33"/>
      <c r="L133" s="33"/>
      <c r="M133" s="33"/>
      <c r="N133" s="58" t="s">
        <v>2</v>
      </c>
      <c r="O133" s="58" t="s">
        <v>2</v>
      </c>
      <c r="P133" s="33"/>
      <c r="Q133" s="33"/>
      <c r="R133" s="33"/>
      <c r="S133" s="33"/>
      <c r="T133" s="33"/>
      <c r="U133" s="33"/>
      <c r="V133" s="58" t="s">
        <v>2</v>
      </c>
      <c r="W133" s="58" t="s">
        <v>2</v>
      </c>
      <c r="X133" s="33"/>
      <c r="Y133" s="33"/>
      <c r="Z133" s="33"/>
      <c r="AA133" s="33"/>
      <c r="AB133" s="33"/>
      <c r="AC133" s="33"/>
      <c r="AD133" s="58" t="s">
        <v>2</v>
      </c>
      <c r="AE133" s="58" t="s">
        <v>2</v>
      </c>
      <c r="AF133" s="1"/>
      <c r="AH133" s="16">
        <f t="shared" si="15"/>
        <v>0</v>
      </c>
      <c r="AI133" s="16">
        <f t="shared" si="16"/>
        <v>0</v>
      </c>
    </row>
    <row r="134" spans="1:35" ht="20.100000000000001" hidden="1" customHeight="1">
      <c r="A134" s="18" t="str">
        <f>ÖSSZES!$A$82</f>
        <v>Név11</v>
      </c>
      <c r="B134" s="60"/>
      <c r="C134" s="33"/>
      <c r="D134" s="33"/>
      <c r="E134" s="33"/>
      <c r="F134" s="58" t="s">
        <v>2</v>
      </c>
      <c r="G134" s="58" t="s">
        <v>2</v>
      </c>
      <c r="H134" s="33"/>
      <c r="I134" s="33"/>
      <c r="J134" s="33"/>
      <c r="K134" s="33"/>
      <c r="L134" s="33"/>
      <c r="M134" s="33"/>
      <c r="N134" s="58" t="s">
        <v>2</v>
      </c>
      <c r="O134" s="58" t="s">
        <v>2</v>
      </c>
      <c r="P134" s="33"/>
      <c r="Q134" s="33"/>
      <c r="R134" s="33"/>
      <c r="S134" s="33"/>
      <c r="T134" s="33"/>
      <c r="U134" s="33"/>
      <c r="V134" s="58" t="s">
        <v>2</v>
      </c>
      <c r="W134" s="58" t="s">
        <v>2</v>
      </c>
      <c r="X134" s="33"/>
      <c r="Y134" s="33"/>
      <c r="Z134" s="33"/>
      <c r="AA134" s="33"/>
      <c r="AB134" s="33"/>
      <c r="AC134" s="33"/>
      <c r="AD134" s="58" t="s">
        <v>2</v>
      </c>
      <c r="AE134" s="58" t="s">
        <v>2</v>
      </c>
      <c r="AF134" s="1"/>
      <c r="AH134" s="16">
        <f t="shared" si="15"/>
        <v>0</v>
      </c>
      <c r="AI134" s="16">
        <f t="shared" si="16"/>
        <v>0</v>
      </c>
    </row>
    <row r="135" spans="1:35" ht="20.100000000000001" hidden="1" customHeight="1">
      <c r="A135" s="18" t="str">
        <f>ÖSSZES!$A$83</f>
        <v>Név12</v>
      </c>
      <c r="B135" s="60"/>
      <c r="C135" s="33"/>
      <c r="D135" s="33"/>
      <c r="E135" s="33"/>
      <c r="F135" s="58" t="s">
        <v>2</v>
      </c>
      <c r="G135" s="58" t="s">
        <v>2</v>
      </c>
      <c r="H135" s="33"/>
      <c r="I135" s="33"/>
      <c r="J135" s="33"/>
      <c r="K135" s="33"/>
      <c r="L135" s="33"/>
      <c r="M135" s="33"/>
      <c r="N135" s="58" t="s">
        <v>2</v>
      </c>
      <c r="O135" s="58" t="s">
        <v>2</v>
      </c>
      <c r="P135" s="33"/>
      <c r="Q135" s="33"/>
      <c r="R135" s="33"/>
      <c r="S135" s="33"/>
      <c r="T135" s="33"/>
      <c r="U135" s="33"/>
      <c r="V135" s="58" t="s">
        <v>2</v>
      </c>
      <c r="W135" s="58" t="s">
        <v>2</v>
      </c>
      <c r="X135" s="33"/>
      <c r="Y135" s="33"/>
      <c r="Z135" s="33"/>
      <c r="AA135" s="33"/>
      <c r="AB135" s="33"/>
      <c r="AC135" s="33"/>
      <c r="AD135" s="58" t="s">
        <v>2</v>
      </c>
      <c r="AE135" s="58" t="s">
        <v>2</v>
      </c>
      <c r="AF135" s="1"/>
      <c r="AH135" s="16">
        <f t="shared" si="15"/>
        <v>0</v>
      </c>
      <c r="AI135" s="16">
        <f t="shared" si="16"/>
        <v>0</v>
      </c>
    </row>
    <row r="136" spans="1:35" ht="20.100000000000001" hidden="1" customHeight="1">
      <c r="A136" s="18" t="str">
        <f>ÖSSZES!$A$84</f>
        <v>Név13</v>
      </c>
      <c r="B136" s="60"/>
      <c r="C136" s="33"/>
      <c r="D136" s="33"/>
      <c r="E136" s="33"/>
      <c r="F136" s="58" t="s">
        <v>2</v>
      </c>
      <c r="G136" s="58" t="s">
        <v>2</v>
      </c>
      <c r="H136" s="33"/>
      <c r="I136" s="33"/>
      <c r="J136" s="33"/>
      <c r="K136" s="33"/>
      <c r="L136" s="33"/>
      <c r="M136" s="33"/>
      <c r="N136" s="58" t="s">
        <v>2</v>
      </c>
      <c r="O136" s="58" t="s">
        <v>2</v>
      </c>
      <c r="P136" s="33"/>
      <c r="Q136" s="33"/>
      <c r="R136" s="33"/>
      <c r="S136" s="33"/>
      <c r="T136" s="33"/>
      <c r="U136" s="33"/>
      <c r="V136" s="58" t="s">
        <v>2</v>
      </c>
      <c r="W136" s="58" t="s">
        <v>2</v>
      </c>
      <c r="X136" s="33"/>
      <c r="Y136" s="33"/>
      <c r="Z136" s="33"/>
      <c r="AA136" s="33"/>
      <c r="AB136" s="33"/>
      <c r="AC136" s="33"/>
      <c r="AD136" s="58" t="s">
        <v>2</v>
      </c>
      <c r="AE136" s="58" t="s">
        <v>2</v>
      </c>
      <c r="AF136" s="1"/>
      <c r="AH136" s="16">
        <f t="shared" si="15"/>
        <v>0</v>
      </c>
      <c r="AI136" s="16">
        <f t="shared" si="16"/>
        <v>0</v>
      </c>
    </row>
    <row r="137" spans="1:35" ht="20.100000000000001" hidden="1" customHeight="1">
      <c r="A137" s="18" t="str">
        <f>ÖSSZES!$A$85</f>
        <v>Név14</v>
      </c>
      <c r="B137" s="60"/>
      <c r="C137" s="33"/>
      <c r="D137" s="33"/>
      <c r="E137" s="33"/>
      <c r="F137" s="58" t="s">
        <v>2</v>
      </c>
      <c r="G137" s="58" t="s">
        <v>2</v>
      </c>
      <c r="H137" s="33"/>
      <c r="I137" s="33"/>
      <c r="J137" s="33"/>
      <c r="K137" s="33"/>
      <c r="L137" s="33"/>
      <c r="M137" s="33"/>
      <c r="N137" s="58" t="s">
        <v>2</v>
      </c>
      <c r="O137" s="58" t="s">
        <v>2</v>
      </c>
      <c r="P137" s="33"/>
      <c r="Q137" s="33"/>
      <c r="R137" s="33"/>
      <c r="S137" s="33"/>
      <c r="T137" s="33"/>
      <c r="U137" s="33"/>
      <c r="V137" s="58" t="s">
        <v>2</v>
      </c>
      <c r="W137" s="58" t="s">
        <v>2</v>
      </c>
      <c r="X137" s="33"/>
      <c r="Y137" s="33"/>
      <c r="Z137" s="33"/>
      <c r="AA137" s="33"/>
      <c r="AB137" s="33"/>
      <c r="AC137" s="33"/>
      <c r="AD137" s="58" t="s">
        <v>2</v>
      </c>
      <c r="AE137" s="58" t="s">
        <v>2</v>
      </c>
      <c r="AF137" s="1"/>
      <c r="AH137" s="16">
        <f t="shared" si="15"/>
        <v>0</v>
      </c>
      <c r="AI137" s="16">
        <f t="shared" si="16"/>
        <v>0</v>
      </c>
    </row>
    <row r="138" spans="1:35" ht="20.100000000000001" hidden="1" customHeight="1">
      <c r="A138" s="18" t="str">
        <f>ÖSSZES!$A$86</f>
        <v>Név15</v>
      </c>
      <c r="B138" s="60"/>
      <c r="C138" s="33"/>
      <c r="D138" s="33"/>
      <c r="E138" s="33"/>
      <c r="F138" s="58" t="s">
        <v>2</v>
      </c>
      <c r="G138" s="58" t="s">
        <v>2</v>
      </c>
      <c r="H138" s="33"/>
      <c r="I138" s="33"/>
      <c r="J138" s="33"/>
      <c r="K138" s="33"/>
      <c r="L138" s="33"/>
      <c r="M138" s="33"/>
      <c r="N138" s="58" t="s">
        <v>2</v>
      </c>
      <c r="O138" s="58" t="s">
        <v>2</v>
      </c>
      <c r="P138" s="33"/>
      <c r="Q138" s="33"/>
      <c r="R138" s="33"/>
      <c r="S138" s="33"/>
      <c r="T138" s="33"/>
      <c r="U138" s="33"/>
      <c r="V138" s="58" t="s">
        <v>2</v>
      </c>
      <c r="W138" s="58" t="s">
        <v>2</v>
      </c>
      <c r="X138" s="33"/>
      <c r="Y138" s="33"/>
      <c r="Z138" s="33"/>
      <c r="AA138" s="33"/>
      <c r="AB138" s="33"/>
      <c r="AC138" s="33"/>
      <c r="AD138" s="58" t="s">
        <v>2</v>
      </c>
      <c r="AE138" s="58" t="s">
        <v>2</v>
      </c>
      <c r="AF138" s="1"/>
      <c r="AH138" s="16">
        <f t="shared" si="15"/>
        <v>0</v>
      </c>
      <c r="AI138" s="16">
        <f t="shared" si="16"/>
        <v>0</v>
      </c>
    </row>
    <row r="139" spans="1:35" ht="20.100000000000001" hidden="1" customHeight="1">
      <c r="A139" s="18" t="str">
        <f>ÖSSZES!$A$87</f>
        <v>Név16</v>
      </c>
      <c r="B139" s="60"/>
      <c r="C139" s="33"/>
      <c r="D139" s="33"/>
      <c r="E139" s="33"/>
      <c r="F139" s="58" t="s">
        <v>2</v>
      </c>
      <c r="G139" s="58" t="s">
        <v>2</v>
      </c>
      <c r="H139" s="33"/>
      <c r="I139" s="33"/>
      <c r="J139" s="33"/>
      <c r="K139" s="33"/>
      <c r="L139" s="33"/>
      <c r="M139" s="33"/>
      <c r="N139" s="58" t="s">
        <v>2</v>
      </c>
      <c r="O139" s="58" t="s">
        <v>2</v>
      </c>
      <c r="P139" s="33"/>
      <c r="Q139" s="33"/>
      <c r="R139" s="33"/>
      <c r="S139" s="33"/>
      <c r="T139" s="33"/>
      <c r="U139" s="33"/>
      <c r="V139" s="58" t="s">
        <v>2</v>
      </c>
      <c r="W139" s="58" t="s">
        <v>2</v>
      </c>
      <c r="X139" s="33"/>
      <c r="Y139" s="33"/>
      <c r="Z139" s="33"/>
      <c r="AA139" s="33"/>
      <c r="AB139" s="33"/>
      <c r="AC139" s="33"/>
      <c r="AD139" s="58" t="s">
        <v>2</v>
      </c>
      <c r="AE139" s="58" t="s">
        <v>2</v>
      </c>
      <c r="AF139" s="1"/>
      <c r="AH139" s="16">
        <f t="shared" si="15"/>
        <v>0</v>
      </c>
      <c r="AI139" s="16">
        <f t="shared" si="16"/>
        <v>0</v>
      </c>
    </row>
    <row r="140" spans="1:35" ht="20.100000000000001" hidden="1" customHeight="1">
      <c r="A140" s="18" t="str">
        <f>ÖSSZES!$A$88</f>
        <v>Név17</v>
      </c>
      <c r="B140" s="60"/>
      <c r="C140" s="33"/>
      <c r="D140" s="33"/>
      <c r="E140" s="33"/>
      <c r="F140" s="58" t="s">
        <v>2</v>
      </c>
      <c r="G140" s="58" t="s">
        <v>2</v>
      </c>
      <c r="H140" s="33"/>
      <c r="I140" s="33"/>
      <c r="J140" s="33"/>
      <c r="K140" s="33"/>
      <c r="L140" s="33"/>
      <c r="M140" s="33"/>
      <c r="N140" s="58" t="s">
        <v>2</v>
      </c>
      <c r="O140" s="58" t="s">
        <v>2</v>
      </c>
      <c r="P140" s="33"/>
      <c r="Q140" s="33"/>
      <c r="R140" s="33"/>
      <c r="S140" s="33"/>
      <c r="T140" s="33"/>
      <c r="U140" s="33"/>
      <c r="V140" s="58" t="s">
        <v>2</v>
      </c>
      <c r="W140" s="58" t="s">
        <v>2</v>
      </c>
      <c r="X140" s="33"/>
      <c r="Y140" s="33"/>
      <c r="Z140" s="33"/>
      <c r="AA140" s="33"/>
      <c r="AB140" s="33"/>
      <c r="AC140" s="33"/>
      <c r="AD140" s="58" t="s">
        <v>2</v>
      </c>
      <c r="AE140" s="58" t="s">
        <v>2</v>
      </c>
      <c r="AF140" s="1"/>
      <c r="AH140" s="16">
        <f t="shared" si="15"/>
        <v>0</v>
      </c>
      <c r="AI140" s="16">
        <f t="shared" si="16"/>
        <v>0</v>
      </c>
    </row>
    <row r="141" spans="1:35" ht="20.100000000000001" hidden="1" customHeight="1">
      <c r="A141" s="18" t="str">
        <f>ÖSSZES!$A$89</f>
        <v>Név18</v>
      </c>
      <c r="B141" s="60"/>
      <c r="C141" s="33"/>
      <c r="D141" s="33"/>
      <c r="E141" s="33"/>
      <c r="F141" s="58" t="s">
        <v>2</v>
      </c>
      <c r="G141" s="58" t="s">
        <v>2</v>
      </c>
      <c r="H141" s="33"/>
      <c r="I141" s="33"/>
      <c r="J141" s="33"/>
      <c r="K141" s="33"/>
      <c r="L141" s="33"/>
      <c r="M141" s="33"/>
      <c r="N141" s="58" t="s">
        <v>2</v>
      </c>
      <c r="O141" s="58" t="s">
        <v>2</v>
      </c>
      <c r="P141" s="33"/>
      <c r="Q141" s="33"/>
      <c r="R141" s="33"/>
      <c r="S141" s="33"/>
      <c r="T141" s="33"/>
      <c r="U141" s="33"/>
      <c r="V141" s="58" t="s">
        <v>2</v>
      </c>
      <c r="W141" s="58" t="s">
        <v>2</v>
      </c>
      <c r="X141" s="33"/>
      <c r="Y141" s="33"/>
      <c r="Z141" s="33"/>
      <c r="AA141" s="33"/>
      <c r="AB141" s="33"/>
      <c r="AC141" s="33"/>
      <c r="AD141" s="58" t="s">
        <v>2</v>
      </c>
      <c r="AE141" s="58" t="s">
        <v>2</v>
      </c>
      <c r="AF141" s="1"/>
      <c r="AH141" s="16">
        <f t="shared" si="15"/>
        <v>0</v>
      </c>
      <c r="AI141" s="16">
        <f t="shared" si="16"/>
        <v>0</v>
      </c>
    </row>
    <row r="142" spans="1:35" ht="20.100000000000001" hidden="1" customHeight="1">
      <c r="A142" s="18" t="str">
        <f>ÖSSZES!$A$90</f>
        <v>Név19</v>
      </c>
      <c r="B142" s="60"/>
      <c r="C142" s="33"/>
      <c r="D142" s="33"/>
      <c r="E142" s="33"/>
      <c r="F142" s="58" t="s">
        <v>2</v>
      </c>
      <c r="G142" s="58" t="s">
        <v>2</v>
      </c>
      <c r="H142" s="33"/>
      <c r="I142" s="33"/>
      <c r="J142" s="33"/>
      <c r="K142" s="33"/>
      <c r="L142" s="33"/>
      <c r="M142" s="33"/>
      <c r="N142" s="58" t="s">
        <v>2</v>
      </c>
      <c r="O142" s="58" t="s">
        <v>2</v>
      </c>
      <c r="P142" s="33"/>
      <c r="Q142" s="33"/>
      <c r="R142" s="33"/>
      <c r="S142" s="33"/>
      <c r="T142" s="33"/>
      <c r="U142" s="33"/>
      <c r="V142" s="58" t="s">
        <v>2</v>
      </c>
      <c r="W142" s="58" t="s">
        <v>2</v>
      </c>
      <c r="X142" s="33"/>
      <c r="Y142" s="33"/>
      <c r="Z142" s="33"/>
      <c r="AA142" s="33"/>
      <c r="AB142" s="33"/>
      <c r="AC142" s="33"/>
      <c r="AD142" s="58" t="s">
        <v>2</v>
      </c>
      <c r="AE142" s="58" t="s">
        <v>2</v>
      </c>
      <c r="AF142" s="1"/>
      <c r="AH142" s="16">
        <f t="shared" si="15"/>
        <v>0</v>
      </c>
      <c r="AI142" s="16">
        <f t="shared" si="16"/>
        <v>0</v>
      </c>
    </row>
    <row r="143" spans="1:35" ht="20.100000000000001" hidden="1" customHeight="1">
      <c r="A143" s="18" t="str">
        <f>ÖSSZES!$A$91</f>
        <v>Név20</v>
      </c>
      <c r="B143" s="60"/>
      <c r="C143" s="33"/>
      <c r="D143" s="33"/>
      <c r="E143" s="33"/>
      <c r="F143" s="58" t="s">
        <v>2</v>
      </c>
      <c r="G143" s="58" t="s">
        <v>2</v>
      </c>
      <c r="H143" s="33"/>
      <c r="I143" s="33"/>
      <c r="J143" s="33"/>
      <c r="K143" s="33"/>
      <c r="L143" s="33"/>
      <c r="M143" s="33"/>
      <c r="N143" s="58" t="s">
        <v>2</v>
      </c>
      <c r="O143" s="58" t="s">
        <v>2</v>
      </c>
      <c r="P143" s="33"/>
      <c r="Q143" s="33"/>
      <c r="R143" s="33"/>
      <c r="S143" s="33"/>
      <c r="T143" s="33"/>
      <c r="U143" s="33"/>
      <c r="V143" s="58" t="s">
        <v>2</v>
      </c>
      <c r="W143" s="58" t="s">
        <v>2</v>
      </c>
      <c r="X143" s="33"/>
      <c r="Y143" s="33"/>
      <c r="Z143" s="33"/>
      <c r="AA143" s="33"/>
      <c r="AB143" s="33"/>
      <c r="AC143" s="33"/>
      <c r="AD143" s="58" t="s">
        <v>2</v>
      </c>
      <c r="AE143" s="58" t="s">
        <v>2</v>
      </c>
      <c r="AF143" s="1"/>
      <c r="AH143" s="16">
        <f t="shared" si="15"/>
        <v>0</v>
      </c>
      <c r="AI143" s="16">
        <f t="shared" si="16"/>
        <v>0</v>
      </c>
    </row>
    <row r="144" spans="1:35" ht="20.100000000000001" customHeight="1"/>
    <row r="145" spans="1:35" s="6" customFormat="1" ht="20.100000000000001" customHeight="1">
      <c r="A145" s="91" t="s">
        <v>11</v>
      </c>
      <c r="B145" s="17">
        <v>1</v>
      </c>
      <c r="C145" s="17">
        <v>2</v>
      </c>
      <c r="D145" s="17">
        <v>3</v>
      </c>
      <c r="E145" s="17">
        <v>4</v>
      </c>
      <c r="F145" s="17">
        <v>5</v>
      </c>
      <c r="G145" s="17">
        <v>6</v>
      </c>
      <c r="H145" s="17">
        <v>7</v>
      </c>
      <c r="I145" s="17">
        <v>8</v>
      </c>
      <c r="J145" s="17">
        <v>9</v>
      </c>
      <c r="K145" s="17">
        <v>10</v>
      </c>
      <c r="L145" s="17">
        <v>11</v>
      </c>
      <c r="M145" s="17">
        <v>12</v>
      </c>
      <c r="N145" s="17">
        <v>13</v>
      </c>
      <c r="O145" s="17">
        <v>14</v>
      </c>
      <c r="P145" s="17">
        <v>15</v>
      </c>
      <c r="Q145" s="17">
        <v>16</v>
      </c>
      <c r="R145" s="17">
        <v>17</v>
      </c>
      <c r="S145" s="17">
        <v>18</v>
      </c>
      <c r="T145" s="17">
        <v>19</v>
      </c>
      <c r="U145" s="17">
        <v>20</v>
      </c>
      <c r="V145" s="17">
        <v>21</v>
      </c>
      <c r="W145" s="17">
        <v>22</v>
      </c>
      <c r="X145" s="17">
        <v>23</v>
      </c>
      <c r="Y145" s="17">
        <v>24</v>
      </c>
      <c r="Z145" s="17">
        <v>25</v>
      </c>
      <c r="AA145" s="17">
        <v>26</v>
      </c>
      <c r="AB145" s="17">
        <v>27</v>
      </c>
      <c r="AC145" s="17">
        <v>28</v>
      </c>
      <c r="AD145" s="17">
        <v>29</v>
      </c>
      <c r="AE145" s="17">
        <v>30</v>
      </c>
      <c r="AF145" s="17">
        <v>31</v>
      </c>
      <c r="AH145" s="93" t="s">
        <v>18</v>
      </c>
      <c r="AI145" s="93" t="s">
        <v>19</v>
      </c>
    </row>
    <row r="146" spans="1:35" ht="20.100000000000001" customHeight="1">
      <c r="A146" s="96"/>
      <c r="B146" s="10" t="str">
        <f>'2020'!B52</f>
        <v>Sze</v>
      </c>
      <c r="C146" s="10" t="str">
        <f>'2020'!C52</f>
        <v>Cs</v>
      </c>
      <c r="D146" s="10" t="str">
        <f>'2020'!D52</f>
        <v>P</v>
      </c>
      <c r="E146" s="10" t="str">
        <f>'2020'!E52</f>
        <v>Szo</v>
      </c>
      <c r="F146" s="10" t="str">
        <f>'2020'!F52</f>
        <v>V</v>
      </c>
      <c r="G146" s="10" t="str">
        <f>'2020'!G52</f>
        <v>H</v>
      </c>
      <c r="H146" s="10" t="str">
        <f>'2020'!H52</f>
        <v>K</v>
      </c>
      <c r="I146" s="10" t="str">
        <f>'2020'!I52</f>
        <v>Sze</v>
      </c>
      <c r="J146" s="10" t="str">
        <f>'2020'!J52</f>
        <v>Cs</v>
      </c>
      <c r="K146" s="10" t="str">
        <f>'2020'!K52</f>
        <v>P</v>
      </c>
      <c r="L146" s="10" t="str">
        <f>'2020'!L52</f>
        <v>Szo</v>
      </c>
      <c r="M146" s="10" t="str">
        <f>'2020'!M52</f>
        <v>V</v>
      </c>
      <c r="N146" s="10" t="str">
        <f>'2020'!N52</f>
        <v>H</v>
      </c>
      <c r="O146" s="10" t="str">
        <f>'2020'!O52</f>
        <v>K</v>
      </c>
      <c r="P146" s="10" t="str">
        <f>'2020'!P52</f>
        <v>Sze</v>
      </c>
      <c r="Q146" s="10" t="str">
        <f>'2020'!Q52</f>
        <v>Cs</v>
      </c>
      <c r="R146" s="10" t="str">
        <f>'2020'!R52</f>
        <v>P</v>
      </c>
      <c r="S146" s="10" t="str">
        <f>'2020'!S52</f>
        <v>Szo</v>
      </c>
      <c r="T146" s="10" t="str">
        <f>'2020'!T52</f>
        <v>V</v>
      </c>
      <c r="U146" s="10" t="str">
        <f>'2020'!U52</f>
        <v>H</v>
      </c>
      <c r="V146" s="10" t="str">
        <f>'2020'!V52</f>
        <v>K</v>
      </c>
      <c r="W146" s="10" t="str">
        <f>'2020'!W52</f>
        <v>Sze</v>
      </c>
      <c r="X146" s="10" t="str">
        <f>'2020'!X52</f>
        <v>Cs</v>
      </c>
      <c r="Y146" s="10" t="str">
        <f>'2020'!Y52</f>
        <v>P</v>
      </c>
      <c r="Z146" s="10" t="str">
        <f>'2020'!Z52</f>
        <v>Szo</v>
      </c>
      <c r="AA146" s="10" t="str">
        <f>'2020'!AA52</f>
        <v>V</v>
      </c>
      <c r="AB146" s="10" t="str">
        <f>'2020'!AB52</f>
        <v>H</v>
      </c>
      <c r="AC146" s="10" t="str">
        <f>'2020'!AC52</f>
        <v>K</v>
      </c>
      <c r="AD146" s="10" t="str">
        <f>'2020'!AD52</f>
        <v>Sze</v>
      </c>
      <c r="AE146" s="10" t="str">
        <f>'2020'!AE52</f>
        <v>Cs</v>
      </c>
      <c r="AF146" s="10" t="str">
        <f>'2020'!AF52</f>
        <v>P</v>
      </c>
      <c r="AH146" s="94"/>
      <c r="AI146" s="94"/>
    </row>
    <row r="147" spans="1:35" ht="20.100000000000001" customHeight="1">
      <c r="A147" s="96"/>
      <c r="B147" s="10">
        <f>'2020'!B56</f>
        <v>3</v>
      </c>
      <c r="C147" s="10">
        <f>'2020'!C56</f>
        <v>3</v>
      </c>
      <c r="D147" s="10">
        <f>'2020'!D56</f>
        <v>3</v>
      </c>
      <c r="E147" s="10">
        <f>'2020'!E56</f>
        <v>3</v>
      </c>
      <c r="F147" s="10">
        <f>'2020'!F56</f>
        <v>3</v>
      </c>
      <c r="G147" s="10">
        <f>'2020'!G56</f>
        <v>3</v>
      </c>
      <c r="H147" s="10" t="str">
        <f>'2020'!H56</f>
        <v>X</v>
      </c>
      <c r="I147" s="10" t="str">
        <f>'2020'!I56</f>
        <v>X</v>
      </c>
      <c r="J147" s="10">
        <f>'2020'!J56</f>
        <v>2</v>
      </c>
      <c r="K147" s="10">
        <f>'2020'!K56</f>
        <v>2</v>
      </c>
      <c r="L147" s="10">
        <f>'2020'!L56</f>
        <v>2</v>
      </c>
      <c r="M147" s="10">
        <f>'2020'!M56</f>
        <v>2</v>
      </c>
      <c r="N147" s="10">
        <f>'2020'!N56</f>
        <v>2</v>
      </c>
      <c r="O147" s="10">
        <f>'2020'!O56</f>
        <v>2</v>
      </c>
      <c r="P147" s="10" t="str">
        <f>'2020'!P56</f>
        <v>X</v>
      </c>
      <c r="Q147" s="10" t="str">
        <f>'2020'!Q56</f>
        <v>X</v>
      </c>
      <c r="R147" s="10">
        <f>'2020'!R56</f>
        <v>1</v>
      </c>
      <c r="S147" s="10">
        <f>'2020'!S56</f>
        <v>1</v>
      </c>
      <c r="T147" s="10">
        <f>'2020'!T56</f>
        <v>1</v>
      </c>
      <c r="U147" s="10">
        <f>'2020'!U56</f>
        <v>1</v>
      </c>
      <c r="V147" s="10">
        <f>'2020'!V56</f>
        <v>1</v>
      </c>
      <c r="W147" s="10">
        <f>'2020'!W56</f>
        <v>1</v>
      </c>
      <c r="X147" s="10" t="str">
        <f>'2020'!X56</f>
        <v>X</v>
      </c>
      <c r="Y147" s="10" t="str">
        <f>'2020'!Y56</f>
        <v>X</v>
      </c>
      <c r="Z147" s="10">
        <f>'2020'!Z56</f>
        <v>3</v>
      </c>
      <c r="AA147" s="10">
        <f>'2020'!AA56</f>
        <v>3</v>
      </c>
      <c r="AB147" s="10">
        <f>'2020'!AB56</f>
        <v>3</v>
      </c>
      <c r="AC147" s="10">
        <f>'2020'!AC56</f>
        <v>3</v>
      </c>
      <c r="AD147" s="10">
        <f>'2020'!AD56</f>
        <v>3</v>
      </c>
      <c r="AE147" s="10">
        <f>'2020'!AE56</f>
        <v>3</v>
      </c>
      <c r="AF147" s="10" t="str">
        <f>'2020'!AF56</f>
        <v>X</v>
      </c>
      <c r="AH147" s="94"/>
      <c r="AI147" s="94"/>
    </row>
    <row r="148" spans="1:35" ht="20.100000000000001" customHeight="1">
      <c r="A148" s="18" t="str">
        <f>ÖSSZES!$A$72</f>
        <v>Daku Gábor</v>
      </c>
      <c r="B148" s="33">
        <f>[1]D!B70</f>
        <v>3</v>
      </c>
      <c r="C148" s="33">
        <f>[1]D!C70</f>
        <v>3</v>
      </c>
      <c r="D148" s="33">
        <f>[1]D!D70</f>
        <v>3</v>
      </c>
      <c r="E148" s="33">
        <f>[1]D!E70</f>
        <v>3</v>
      </c>
      <c r="F148" s="33">
        <f>[1]D!F70</f>
        <v>3</v>
      </c>
      <c r="G148" s="33">
        <f>[1]D!G70</f>
        <v>3</v>
      </c>
      <c r="H148" s="58" t="str">
        <f>[1]D!H70</f>
        <v>X</v>
      </c>
      <c r="I148" s="58" t="str">
        <f>[1]D!I70</f>
        <v>X</v>
      </c>
      <c r="J148" s="33">
        <f>[1]D!J70</f>
        <v>2</v>
      </c>
      <c r="K148" s="33">
        <f>[1]D!K70</f>
        <v>2</v>
      </c>
      <c r="L148" s="33">
        <f>[1]D!L70</f>
        <v>2</v>
      </c>
      <c r="M148" s="33">
        <f>[1]D!M70</f>
        <v>2</v>
      </c>
      <c r="N148" s="33">
        <f>[1]D!N70</f>
        <v>2</v>
      </c>
      <c r="O148" s="33">
        <f>[1]D!O70</f>
        <v>2</v>
      </c>
      <c r="P148" s="58" t="str">
        <f>[1]D!P70</f>
        <v>X</v>
      </c>
      <c r="Q148" s="58" t="str">
        <f>[1]D!Q70</f>
        <v>X</v>
      </c>
      <c r="R148" s="33">
        <f>[1]D!R70</f>
        <v>1</v>
      </c>
      <c r="S148" s="33">
        <f>[1]D!S70</f>
        <v>1</v>
      </c>
      <c r="T148" s="33">
        <f>[1]D!T70</f>
        <v>1</v>
      </c>
      <c r="U148" s="33">
        <f>[1]D!U70</f>
        <v>1</v>
      </c>
      <c r="V148" s="33">
        <f>[1]D!V70</f>
        <v>1</v>
      </c>
      <c r="W148" s="33">
        <f>[1]D!W70</f>
        <v>1</v>
      </c>
      <c r="X148" s="58" t="str">
        <f>[1]D!X70</f>
        <v>X</v>
      </c>
      <c r="Y148" s="58" t="str">
        <f>[1]D!Y70</f>
        <v>X</v>
      </c>
      <c r="Z148" s="33">
        <f>[1]D!Z70</f>
        <v>3</v>
      </c>
      <c r="AA148" s="33">
        <f>[1]D!AA70</f>
        <v>3</v>
      </c>
      <c r="AB148" s="33">
        <f>[1]D!AB70</f>
        <v>3</v>
      </c>
      <c r="AC148" s="33">
        <f>[1]D!AC70</f>
        <v>3</v>
      </c>
      <c r="AD148" s="33">
        <f>[1]D!AD70</f>
        <v>3</v>
      </c>
      <c r="AE148" s="33">
        <f>[1]D!AE70</f>
        <v>3</v>
      </c>
      <c r="AF148" s="58" t="str">
        <f>[1]D!AF70</f>
        <v>X</v>
      </c>
      <c r="AH148" s="16">
        <f>1*COUNTIF(A148:AF148,"+")</f>
        <v>0</v>
      </c>
      <c r="AI148" s="16">
        <f t="shared" ref="AI148" si="17">1*COUNTIF(B148:AF148,"szf")</f>
        <v>0</v>
      </c>
    </row>
    <row r="149" spans="1:35" ht="20.100000000000001" customHeight="1">
      <c r="A149" s="18" t="str">
        <f>ÖSSZES!$A$73</f>
        <v>Borbély Csaba</v>
      </c>
      <c r="B149" s="33">
        <f>[1]D!B71</f>
        <v>3</v>
      </c>
      <c r="C149" s="33">
        <f>[1]D!C71</f>
        <v>3</v>
      </c>
      <c r="D149" s="33">
        <f>[1]D!D71</f>
        <v>3</v>
      </c>
      <c r="E149" s="33">
        <f>[1]D!E71</f>
        <v>3</v>
      </c>
      <c r="F149" s="33">
        <f>[1]D!F71</f>
        <v>3</v>
      </c>
      <c r="G149" s="33">
        <f>[1]D!G71</f>
        <v>3</v>
      </c>
      <c r="H149" s="58" t="str">
        <f>[1]D!H71</f>
        <v>X</v>
      </c>
      <c r="I149" s="58" t="str">
        <f>[1]D!I71</f>
        <v>X</v>
      </c>
      <c r="J149" s="33">
        <f>[1]D!J71</f>
        <v>2</v>
      </c>
      <c r="K149" s="33">
        <f>[1]D!K71</f>
        <v>2</v>
      </c>
      <c r="L149" s="33">
        <f>[1]D!L71</f>
        <v>2</v>
      </c>
      <c r="M149" s="33">
        <f>[1]D!M71</f>
        <v>2</v>
      </c>
      <c r="N149" s="33">
        <f>[1]D!N71</f>
        <v>2</v>
      </c>
      <c r="O149" s="33">
        <f>[1]D!O71</f>
        <v>2</v>
      </c>
      <c r="P149" s="58" t="str">
        <f>[1]D!P71</f>
        <v>X</v>
      </c>
      <c r="Q149" s="58" t="str">
        <f>[1]D!Q71</f>
        <v>X</v>
      </c>
      <c r="R149" s="33">
        <f>[1]D!R71</f>
        <v>1</v>
      </c>
      <c r="S149" s="33">
        <f>[1]D!S71</f>
        <v>1</v>
      </c>
      <c r="T149" s="33">
        <f>[1]D!T71</f>
        <v>1</v>
      </c>
      <c r="U149" s="33">
        <f>[1]D!U71</f>
        <v>1</v>
      </c>
      <c r="V149" s="33">
        <f>[1]D!V71</f>
        <v>1</v>
      </c>
      <c r="W149" s="33">
        <f>[1]D!W71</f>
        <v>1</v>
      </c>
      <c r="X149" s="58" t="str">
        <f>[1]D!X71</f>
        <v>X</v>
      </c>
      <c r="Y149" s="58" t="str">
        <f>[1]D!Y71</f>
        <v>X</v>
      </c>
      <c r="Z149" s="33">
        <f>[1]D!Z71</f>
        <v>3</v>
      </c>
      <c r="AA149" s="33">
        <f>[1]D!AA71</f>
        <v>3</v>
      </c>
      <c r="AB149" s="33">
        <f>[1]D!AB71</f>
        <v>3</v>
      </c>
      <c r="AC149" s="33">
        <f>[1]D!AC71</f>
        <v>3</v>
      </c>
      <c r="AD149" s="33">
        <f>[1]D!AD71</f>
        <v>3</v>
      </c>
      <c r="AE149" s="33">
        <f>[1]D!AE71</f>
        <v>3</v>
      </c>
      <c r="AF149" s="58" t="str">
        <f>[1]D!AF71</f>
        <v>X</v>
      </c>
      <c r="AH149" s="16">
        <f t="shared" ref="AH149:AH167" si="18">1*COUNTIF(A149:AF149,"+")</f>
        <v>0</v>
      </c>
      <c r="AI149" s="16">
        <f t="shared" ref="AI149:AI167" si="19">1*COUNTIF(B149:AF149,"szf")</f>
        <v>0</v>
      </c>
    </row>
    <row r="150" spans="1:35" ht="20.100000000000001" customHeight="1">
      <c r="A150" s="18" t="str">
        <f>ÖSSZES!$A$74</f>
        <v>Erdei Bálint</v>
      </c>
      <c r="B150" s="33">
        <f>[1]D!B72</f>
        <v>3</v>
      </c>
      <c r="C150" s="33">
        <f>[1]D!C72</f>
        <v>3</v>
      </c>
      <c r="D150" s="33">
        <f>[1]D!D72</f>
        <v>3</v>
      </c>
      <c r="E150" s="33">
        <f>[1]D!E72</f>
        <v>3</v>
      </c>
      <c r="F150" s="33">
        <f>[1]D!F72</f>
        <v>3</v>
      </c>
      <c r="G150" s="33">
        <f>[1]D!G72</f>
        <v>3</v>
      </c>
      <c r="H150" s="58" t="str">
        <f>[1]D!H72</f>
        <v>X</v>
      </c>
      <c r="I150" s="58" t="str">
        <f>[1]D!I72</f>
        <v>X</v>
      </c>
      <c r="J150" s="33">
        <f>[1]D!J72</f>
        <v>2</v>
      </c>
      <c r="K150" s="33">
        <f>[1]D!K72</f>
        <v>2</v>
      </c>
      <c r="L150" s="33">
        <f>[1]D!L72</f>
        <v>2</v>
      </c>
      <c r="M150" s="33">
        <f>[1]D!M72</f>
        <v>2</v>
      </c>
      <c r="N150" s="33">
        <f>[1]D!N72</f>
        <v>2</v>
      </c>
      <c r="O150" s="33">
        <f>[1]D!O72</f>
        <v>2</v>
      </c>
      <c r="P150" s="58" t="str">
        <f>[1]D!P72</f>
        <v>X</v>
      </c>
      <c r="Q150" s="58" t="str">
        <f>[1]D!Q72</f>
        <v>X</v>
      </c>
      <c r="R150" s="33">
        <f>[1]D!R72</f>
        <v>1</v>
      </c>
      <c r="S150" s="33">
        <f>[1]D!S72</f>
        <v>1</v>
      </c>
      <c r="T150" s="33">
        <f>[1]D!T72</f>
        <v>1</v>
      </c>
      <c r="U150" s="33">
        <f>[1]D!U72</f>
        <v>1</v>
      </c>
      <c r="V150" s="33">
        <f>[1]D!V72</f>
        <v>1</v>
      </c>
      <c r="W150" s="33">
        <f>[1]D!W72</f>
        <v>1</v>
      </c>
      <c r="X150" s="58" t="str">
        <f>[1]D!X72</f>
        <v>X</v>
      </c>
      <c r="Y150" s="58" t="str">
        <f>[1]D!Y72</f>
        <v>X</v>
      </c>
      <c r="Z150" s="33">
        <f>[1]D!Z72</f>
        <v>3</v>
      </c>
      <c r="AA150" s="33">
        <f>[1]D!AA72</f>
        <v>3</v>
      </c>
      <c r="AB150" s="33">
        <f>[1]D!AB72</f>
        <v>3</v>
      </c>
      <c r="AC150" s="33">
        <f>[1]D!AC72</f>
        <v>3</v>
      </c>
      <c r="AD150" s="33">
        <f>[1]D!AD72</f>
        <v>3</v>
      </c>
      <c r="AE150" s="33">
        <f>[1]D!AE72</f>
        <v>3</v>
      </c>
      <c r="AF150" s="58" t="str">
        <f>[1]D!AF72</f>
        <v>X</v>
      </c>
      <c r="AH150" s="16">
        <f t="shared" si="18"/>
        <v>0</v>
      </c>
      <c r="AI150" s="16">
        <f t="shared" si="19"/>
        <v>0</v>
      </c>
    </row>
    <row r="151" spans="1:35" ht="20.100000000000001" customHeight="1">
      <c r="A151" s="18" t="str">
        <f>ÖSSZES!$A$75</f>
        <v>Fábián Gábor</v>
      </c>
      <c r="B151" s="33">
        <f>[1]D!B73</f>
        <v>3</v>
      </c>
      <c r="C151" s="33">
        <f>[1]D!C73</f>
        <v>3</v>
      </c>
      <c r="D151" s="33">
        <f>[1]D!D73</f>
        <v>3</v>
      </c>
      <c r="E151" s="33">
        <f>[1]D!E73</f>
        <v>3</v>
      </c>
      <c r="F151" s="33">
        <f>[1]D!F73</f>
        <v>3</v>
      </c>
      <c r="G151" s="33">
        <f>[1]D!G73</f>
        <v>3</v>
      </c>
      <c r="H151" s="58" t="str">
        <f>[1]D!H73</f>
        <v>X</v>
      </c>
      <c r="I151" s="58" t="str">
        <f>[1]D!I73</f>
        <v>X</v>
      </c>
      <c r="J151" s="33">
        <f>[1]D!J73</f>
        <v>2</v>
      </c>
      <c r="K151" s="33">
        <f>[1]D!K73</f>
        <v>2</v>
      </c>
      <c r="L151" s="33">
        <f>[1]D!L73</f>
        <v>2</v>
      </c>
      <c r="M151" s="33">
        <f>[1]D!M73</f>
        <v>2</v>
      </c>
      <c r="N151" s="33">
        <f>[1]D!N73</f>
        <v>2</v>
      </c>
      <c r="O151" s="33">
        <f>[1]D!O73</f>
        <v>2</v>
      </c>
      <c r="P151" s="58" t="str">
        <f>[1]D!P73</f>
        <v>X</v>
      </c>
      <c r="Q151" s="58" t="str">
        <f>[1]D!Q73</f>
        <v>X</v>
      </c>
      <c r="R151" s="33">
        <f>[1]D!R73</f>
        <v>1</v>
      </c>
      <c r="S151" s="33">
        <f>[1]D!S73</f>
        <v>1</v>
      </c>
      <c r="T151" s="33">
        <f>[1]D!T73</f>
        <v>1</v>
      </c>
      <c r="U151" s="33">
        <f>[1]D!U73</f>
        <v>1</v>
      </c>
      <c r="V151" s="33">
        <f>[1]D!V73</f>
        <v>1</v>
      </c>
      <c r="W151" s="33">
        <f>[1]D!W73</f>
        <v>1</v>
      </c>
      <c r="X151" s="58" t="str">
        <f>[1]D!X73</f>
        <v>X</v>
      </c>
      <c r="Y151" s="58" t="str">
        <f>[1]D!Y73</f>
        <v>X</v>
      </c>
      <c r="Z151" s="33">
        <f>[1]D!Z73</f>
        <v>3</v>
      </c>
      <c r="AA151" s="33">
        <f>[1]D!AA73</f>
        <v>3</v>
      </c>
      <c r="AB151" s="33">
        <f>[1]D!AB73</f>
        <v>3</v>
      </c>
      <c r="AC151" s="33">
        <f>[1]D!AC73</f>
        <v>3</v>
      </c>
      <c r="AD151" s="33">
        <f>[1]D!AD73</f>
        <v>3</v>
      </c>
      <c r="AE151" s="33">
        <f>[1]D!AE73</f>
        <v>3</v>
      </c>
      <c r="AF151" s="58" t="str">
        <f>[1]D!AF73</f>
        <v>X</v>
      </c>
      <c r="AH151" s="16">
        <f t="shared" si="18"/>
        <v>0</v>
      </c>
      <c r="AI151" s="16">
        <f t="shared" si="19"/>
        <v>0</v>
      </c>
    </row>
    <row r="152" spans="1:35" ht="20.100000000000001" customHeight="1">
      <c r="A152" s="18" t="str">
        <f>ÖSSZES!$A$76</f>
        <v>Gellei Zsolt</v>
      </c>
      <c r="B152" s="33">
        <f>[1]D!B74</f>
        <v>3</v>
      </c>
      <c r="C152" s="33">
        <f>[1]D!C74</f>
        <v>3</v>
      </c>
      <c r="D152" s="33">
        <f>[1]D!D74</f>
        <v>3</v>
      </c>
      <c r="E152" s="33">
        <f>[1]D!E74</f>
        <v>3</v>
      </c>
      <c r="F152" s="33">
        <f>[1]D!F74</f>
        <v>3</v>
      </c>
      <c r="G152" s="33">
        <f>[1]D!G74</f>
        <v>3</v>
      </c>
      <c r="H152" s="58" t="str">
        <f>[1]D!H74</f>
        <v>X</v>
      </c>
      <c r="I152" s="58" t="str">
        <f>[1]D!I74</f>
        <v>X</v>
      </c>
      <c r="J152" s="33">
        <f>[1]D!J74</f>
        <v>2</v>
      </c>
      <c r="K152" s="33">
        <f>[1]D!K74</f>
        <v>2</v>
      </c>
      <c r="L152" s="33">
        <f>[1]D!L74</f>
        <v>2</v>
      </c>
      <c r="M152" s="33">
        <f>[1]D!M74</f>
        <v>2</v>
      </c>
      <c r="N152" s="33">
        <f>[1]D!N74</f>
        <v>2</v>
      </c>
      <c r="O152" s="33">
        <f>[1]D!O74</f>
        <v>2</v>
      </c>
      <c r="P152" s="58" t="str">
        <f>[1]D!P74</f>
        <v>X</v>
      </c>
      <c r="Q152" s="58" t="str">
        <f>[1]D!Q74</f>
        <v>X</v>
      </c>
      <c r="R152" s="33">
        <f>[1]D!R74</f>
        <v>1</v>
      </c>
      <c r="S152" s="33">
        <f>[1]D!S74</f>
        <v>1</v>
      </c>
      <c r="T152" s="33">
        <f>[1]D!T74</f>
        <v>1</v>
      </c>
      <c r="U152" s="33">
        <f>[1]D!U74</f>
        <v>1</v>
      </c>
      <c r="V152" s="33">
        <f>[1]D!V74</f>
        <v>1</v>
      </c>
      <c r="W152" s="33">
        <f>[1]D!W74</f>
        <v>1</v>
      </c>
      <c r="X152" s="58" t="str">
        <f>[1]D!X74</f>
        <v>X</v>
      </c>
      <c r="Y152" s="58" t="str">
        <f>[1]D!Y74</f>
        <v>X</v>
      </c>
      <c r="Z152" s="33">
        <f>[1]D!Z74</f>
        <v>3</v>
      </c>
      <c r="AA152" s="33">
        <f>[1]D!AA74</f>
        <v>3</v>
      </c>
      <c r="AB152" s="33">
        <f>[1]D!AB74</f>
        <v>3</v>
      </c>
      <c r="AC152" s="33">
        <f>[1]D!AC74</f>
        <v>3</v>
      </c>
      <c r="AD152" s="33">
        <f>[1]D!AD74</f>
        <v>3</v>
      </c>
      <c r="AE152" s="33">
        <f>[1]D!AE74</f>
        <v>3</v>
      </c>
      <c r="AF152" s="58" t="str">
        <f>[1]D!AF74</f>
        <v>X</v>
      </c>
      <c r="AH152" s="16">
        <f t="shared" si="18"/>
        <v>0</v>
      </c>
      <c r="AI152" s="16">
        <f t="shared" si="19"/>
        <v>0</v>
      </c>
    </row>
    <row r="153" spans="1:35" ht="20.100000000000001" customHeight="1">
      <c r="A153" s="18" t="str">
        <f>ÖSSZES!$A$77</f>
        <v>Kiss Gyula</v>
      </c>
      <c r="B153" s="33">
        <f>[1]D!B75</f>
        <v>3</v>
      </c>
      <c r="C153" s="33">
        <f>[1]D!C75</f>
        <v>3</v>
      </c>
      <c r="D153" s="33">
        <f>[1]D!D75</f>
        <v>3</v>
      </c>
      <c r="E153" s="33">
        <f>[1]D!E75</f>
        <v>3</v>
      </c>
      <c r="F153" s="33">
        <f>[1]D!F75</f>
        <v>3</v>
      </c>
      <c r="G153" s="33">
        <f>[1]D!G75</f>
        <v>3</v>
      </c>
      <c r="H153" s="58" t="str">
        <f>[1]D!H75</f>
        <v>X</v>
      </c>
      <c r="I153" s="58" t="str">
        <f>[1]D!I75</f>
        <v>X</v>
      </c>
      <c r="J153" s="33">
        <f>[1]D!J75</f>
        <v>2</v>
      </c>
      <c r="K153" s="33">
        <f>[1]D!K75</f>
        <v>2</v>
      </c>
      <c r="L153" s="33">
        <f>[1]D!L75</f>
        <v>2</v>
      </c>
      <c r="M153" s="33">
        <f>[1]D!M75</f>
        <v>2</v>
      </c>
      <c r="N153" s="33">
        <f>[1]D!N75</f>
        <v>2</v>
      </c>
      <c r="O153" s="33">
        <f>[1]D!O75</f>
        <v>2</v>
      </c>
      <c r="P153" s="58" t="str">
        <f>[1]D!P75</f>
        <v>X</v>
      </c>
      <c r="Q153" s="58" t="str">
        <f>[1]D!Q75</f>
        <v>X</v>
      </c>
      <c r="R153" s="33">
        <f>[1]D!R75</f>
        <v>1</v>
      </c>
      <c r="S153" s="33">
        <f>[1]D!S75</f>
        <v>1</v>
      </c>
      <c r="T153" s="33">
        <f>[1]D!T75</f>
        <v>1</v>
      </c>
      <c r="U153" s="33">
        <f>[1]D!U75</f>
        <v>1</v>
      </c>
      <c r="V153" s="33">
        <f>[1]D!V75</f>
        <v>1</v>
      </c>
      <c r="W153" s="33">
        <f>[1]D!W75</f>
        <v>1</v>
      </c>
      <c r="X153" s="58" t="str">
        <f>[1]D!X75</f>
        <v>X</v>
      </c>
      <c r="Y153" s="58" t="str">
        <f>[1]D!Y75</f>
        <v>X</v>
      </c>
      <c r="Z153" s="33">
        <f>[1]D!Z75</f>
        <v>3</v>
      </c>
      <c r="AA153" s="33">
        <f>[1]D!AA75</f>
        <v>3</v>
      </c>
      <c r="AB153" s="33">
        <f>[1]D!AB75</f>
        <v>3</v>
      </c>
      <c r="AC153" s="33">
        <f>[1]D!AC75</f>
        <v>3</v>
      </c>
      <c r="AD153" s="33">
        <f>[1]D!AD75</f>
        <v>3</v>
      </c>
      <c r="AE153" s="33">
        <f>[1]D!AE75</f>
        <v>3</v>
      </c>
      <c r="AF153" s="58" t="str">
        <f>[1]D!AF75</f>
        <v>X</v>
      </c>
      <c r="AH153" s="16">
        <f t="shared" si="18"/>
        <v>0</v>
      </c>
      <c r="AI153" s="16">
        <f t="shared" si="19"/>
        <v>0</v>
      </c>
    </row>
    <row r="154" spans="1:35" ht="20.100000000000001" customHeight="1">
      <c r="A154" s="18" t="str">
        <f>ÖSSZES!$A$78</f>
        <v>Nagy István</v>
      </c>
      <c r="B154" s="33">
        <f>[1]D!B76</f>
        <v>3</v>
      </c>
      <c r="C154" s="33">
        <f>[1]D!C76</f>
        <v>3</v>
      </c>
      <c r="D154" s="33" t="str">
        <f>[1]D!D76</f>
        <v>+</v>
      </c>
      <c r="E154" s="33" t="str">
        <f>[1]D!E76</f>
        <v>+</v>
      </c>
      <c r="F154" s="33" t="str">
        <f>[1]D!F76</f>
        <v>szf</v>
      </c>
      <c r="G154" s="33" t="str">
        <f>[1]D!G76</f>
        <v>szf</v>
      </c>
      <c r="H154" s="58" t="str">
        <f>[1]D!H76</f>
        <v>X</v>
      </c>
      <c r="I154" s="58" t="str">
        <f>[1]D!I76</f>
        <v>X</v>
      </c>
      <c r="J154" s="33">
        <f>[1]D!J76</f>
        <v>2</v>
      </c>
      <c r="K154" s="33">
        <f>[1]D!K76</f>
        <v>2</v>
      </c>
      <c r="L154" s="33">
        <f>[1]D!L76</f>
        <v>2</v>
      </c>
      <c r="M154" s="33">
        <f>[1]D!M76</f>
        <v>2</v>
      </c>
      <c r="N154" s="33">
        <f>[1]D!N76</f>
        <v>2</v>
      </c>
      <c r="O154" s="33">
        <f>[1]D!O76</f>
        <v>2</v>
      </c>
      <c r="P154" s="58" t="str">
        <f>[1]D!P76</f>
        <v>X</v>
      </c>
      <c r="Q154" s="58" t="str">
        <f>[1]D!Q76</f>
        <v>X</v>
      </c>
      <c r="R154" s="33">
        <f>[1]D!R76</f>
        <v>1</v>
      </c>
      <c r="S154" s="33">
        <f>[1]D!S76</f>
        <v>1</v>
      </c>
      <c r="T154" s="33">
        <f>[1]D!T76</f>
        <v>1</v>
      </c>
      <c r="U154" s="33">
        <f>[1]D!U76</f>
        <v>1</v>
      </c>
      <c r="V154" s="33">
        <f>[1]D!V76</f>
        <v>1</v>
      </c>
      <c r="W154" s="33">
        <f>[1]D!W76</f>
        <v>1</v>
      </c>
      <c r="X154" s="58" t="str">
        <f>[1]D!X76</f>
        <v>X</v>
      </c>
      <c r="Y154" s="58" t="str">
        <f>[1]D!Y76</f>
        <v>X</v>
      </c>
      <c r="Z154" s="33">
        <f>[1]D!Z76</f>
        <v>3</v>
      </c>
      <c r="AA154" s="33">
        <f>[1]D!AA76</f>
        <v>3</v>
      </c>
      <c r="AB154" s="33">
        <f>[1]D!AB76</f>
        <v>3</v>
      </c>
      <c r="AC154" s="33">
        <f>[1]D!AC76</f>
        <v>3</v>
      </c>
      <c r="AD154" s="33">
        <f>[1]D!AD76</f>
        <v>3</v>
      </c>
      <c r="AE154" s="33">
        <f>[1]D!AE76</f>
        <v>3</v>
      </c>
      <c r="AF154" s="58" t="str">
        <f>[1]D!AF76</f>
        <v>X</v>
      </c>
      <c r="AH154" s="16">
        <f t="shared" si="18"/>
        <v>2</v>
      </c>
      <c r="AI154" s="16">
        <f t="shared" si="19"/>
        <v>2</v>
      </c>
    </row>
    <row r="155" spans="1:35" ht="20.100000000000001" hidden="1" customHeight="1">
      <c r="A155" s="18" t="str">
        <f>ÖSSZES!$A$79</f>
        <v>Fényi László</v>
      </c>
      <c r="B155" s="33"/>
      <c r="C155" s="33"/>
      <c r="D155" s="33"/>
      <c r="E155" s="33"/>
      <c r="F155" s="33"/>
      <c r="G155" s="33"/>
      <c r="H155" s="58"/>
      <c r="I155" s="58"/>
      <c r="J155" s="33"/>
      <c r="K155" s="33"/>
      <c r="L155" s="33"/>
      <c r="M155" s="33"/>
      <c r="N155" s="33"/>
      <c r="O155" s="33"/>
      <c r="P155" s="58"/>
      <c r="Q155" s="58"/>
      <c r="R155" s="33"/>
      <c r="S155" s="33"/>
      <c r="T155" s="33"/>
      <c r="U155" s="33"/>
      <c r="V155" s="33"/>
      <c r="W155" s="33"/>
      <c r="X155" s="58"/>
      <c r="Y155" s="58"/>
      <c r="Z155" s="33"/>
      <c r="AA155" s="33"/>
      <c r="AB155" s="33"/>
      <c r="AC155" s="33"/>
      <c r="AD155" s="33"/>
      <c r="AE155" s="33"/>
      <c r="AF155" s="58"/>
      <c r="AH155" s="16">
        <f t="shared" si="18"/>
        <v>0</v>
      </c>
      <c r="AI155" s="16">
        <f t="shared" si="19"/>
        <v>0</v>
      </c>
    </row>
    <row r="156" spans="1:35" ht="20.100000000000001" hidden="1" customHeight="1">
      <c r="A156" s="18" t="str">
        <f>ÖSSZES!$A$80</f>
        <v>Név9</v>
      </c>
      <c r="B156" s="33"/>
      <c r="C156" s="33"/>
      <c r="D156" s="33"/>
      <c r="E156" s="33"/>
      <c r="F156" s="33"/>
      <c r="G156" s="33"/>
      <c r="H156" s="58" t="s">
        <v>2</v>
      </c>
      <c r="I156" s="58" t="s">
        <v>2</v>
      </c>
      <c r="J156" s="33"/>
      <c r="K156" s="33"/>
      <c r="L156" s="33"/>
      <c r="M156" s="33"/>
      <c r="N156" s="33"/>
      <c r="O156" s="33"/>
      <c r="P156" s="58" t="s">
        <v>2</v>
      </c>
      <c r="Q156" s="58" t="s">
        <v>2</v>
      </c>
      <c r="R156" s="33"/>
      <c r="S156" s="33"/>
      <c r="T156" s="33"/>
      <c r="U156" s="33"/>
      <c r="V156" s="33"/>
      <c r="W156" s="33"/>
      <c r="X156" s="58" t="s">
        <v>2</v>
      </c>
      <c r="Y156" s="58" t="s">
        <v>2</v>
      </c>
      <c r="Z156" s="33"/>
      <c r="AA156" s="33"/>
      <c r="AB156" s="33"/>
      <c r="AC156" s="33"/>
      <c r="AD156" s="33"/>
      <c r="AE156" s="33"/>
      <c r="AF156" s="58" t="s">
        <v>2</v>
      </c>
      <c r="AH156" s="16">
        <f t="shared" si="18"/>
        <v>0</v>
      </c>
      <c r="AI156" s="16">
        <f t="shared" si="19"/>
        <v>0</v>
      </c>
    </row>
    <row r="157" spans="1:35" ht="20.100000000000001" hidden="1" customHeight="1">
      <c r="A157" s="18" t="str">
        <f>ÖSSZES!$A$81</f>
        <v>Név10</v>
      </c>
      <c r="B157" s="33"/>
      <c r="C157" s="33"/>
      <c r="D157" s="33"/>
      <c r="E157" s="33"/>
      <c r="F157" s="33"/>
      <c r="G157" s="33"/>
      <c r="H157" s="58" t="s">
        <v>2</v>
      </c>
      <c r="I157" s="58" t="s">
        <v>2</v>
      </c>
      <c r="J157" s="33"/>
      <c r="K157" s="33"/>
      <c r="L157" s="33"/>
      <c r="M157" s="33"/>
      <c r="N157" s="33"/>
      <c r="O157" s="33"/>
      <c r="P157" s="58" t="s">
        <v>2</v>
      </c>
      <c r="Q157" s="58" t="s">
        <v>2</v>
      </c>
      <c r="R157" s="33"/>
      <c r="S157" s="33"/>
      <c r="T157" s="33"/>
      <c r="U157" s="33"/>
      <c r="V157" s="33"/>
      <c r="W157" s="33"/>
      <c r="X157" s="58" t="s">
        <v>2</v>
      </c>
      <c r="Y157" s="58" t="s">
        <v>2</v>
      </c>
      <c r="Z157" s="33"/>
      <c r="AA157" s="33"/>
      <c r="AB157" s="33"/>
      <c r="AC157" s="33"/>
      <c r="AD157" s="33"/>
      <c r="AE157" s="33"/>
      <c r="AF157" s="58" t="s">
        <v>2</v>
      </c>
      <c r="AH157" s="16">
        <f t="shared" si="18"/>
        <v>0</v>
      </c>
      <c r="AI157" s="16">
        <f t="shared" si="19"/>
        <v>0</v>
      </c>
    </row>
    <row r="158" spans="1:35" ht="20.100000000000001" hidden="1" customHeight="1">
      <c r="A158" s="18" t="str">
        <f>ÖSSZES!$A$82</f>
        <v>Név11</v>
      </c>
      <c r="B158" s="33"/>
      <c r="C158" s="33"/>
      <c r="D158" s="33"/>
      <c r="E158" s="33"/>
      <c r="F158" s="33"/>
      <c r="G158" s="33"/>
      <c r="H158" s="58" t="s">
        <v>2</v>
      </c>
      <c r="I158" s="58" t="s">
        <v>2</v>
      </c>
      <c r="J158" s="33"/>
      <c r="K158" s="33"/>
      <c r="L158" s="33"/>
      <c r="M158" s="33"/>
      <c r="N158" s="33"/>
      <c r="O158" s="33"/>
      <c r="P158" s="58" t="s">
        <v>2</v>
      </c>
      <c r="Q158" s="58" t="s">
        <v>2</v>
      </c>
      <c r="R158" s="33"/>
      <c r="S158" s="33"/>
      <c r="T158" s="33"/>
      <c r="U158" s="33"/>
      <c r="V158" s="33"/>
      <c r="W158" s="33"/>
      <c r="X158" s="58" t="s">
        <v>2</v>
      </c>
      <c r="Y158" s="58" t="s">
        <v>2</v>
      </c>
      <c r="Z158" s="33"/>
      <c r="AA158" s="33"/>
      <c r="AB158" s="33"/>
      <c r="AC158" s="33"/>
      <c r="AD158" s="33"/>
      <c r="AE158" s="33"/>
      <c r="AF158" s="58" t="s">
        <v>2</v>
      </c>
      <c r="AH158" s="16">
        <f t="shared" si="18"/>
        <v>0</v>
      </c>
      <c r="AI158" s="16">
        <f t="shared" si="19"/>
        <v>0</v>
      </c>
    </row>
    <row r="159" spans="1:35" ht="20.100000000000001" hidden="1" customHeight="1">
      <c r="A159" s="18" t="str">
        <f>ÖSSZES!$A$83</f>
        <v>Név12</v>
      </c>
      <c r="B159" s="33"/>
      <c r="C159" s="33"/>
      <c r="D159" s="33"/>
      <c r="E159" s="33"/>
      <c r="F159" s="33"/>
      <c r="G159" s="33"/>
      <c r="H159" s="58" t="s">
        <v>2</v>
      </c>
      <c r="I159" s="58" t="s">
        <v>2</v>
      </c>
      <c r="J159" s="33"/>
      <c r="K159" s="33"/>
      <c r="L159" s="33"/>
      <c r="M159" s="33"/>
      <c r="N159" s="33"/>
      <c r="O159" s="33"/>
      <c r="P159" s="58" t="s">
        <v>2</v>
      </c>
      <c r="Q159" s="58" t="s">
        <v>2</v>
      </c>
      <c r="R159" s="33"/>
      <c r="S159" s="33"/>
      <c r="T159" s="33"/>
      <c r="U159" s="33"/>
      <c r="V159" s="33"/>
      <c r="W159" s="33"/>
      <c r="X159" s="58" t="s">
        <v>2</v>
      </c>
      <c r="Y159" s="58" t="s">
        <v>2</v>
      </c>
      <c r="Z159" s="33"/>
      <c r="AA159" s="33"/>
      <c r="AB159" s="33"/>
      <c r="AC159" s="33"/>
      <c r="AD159" s="33"/>
      <c r="AE159" s="33"/>
      <c r="AF159" s="58" t="s">
        <v>2</v>
      </c>
      <c r="AH159" s="16">
        <f t="shared" si="18"/>
        <v>0</v>
      </c>
      <c r="AI159" s="16">
        <f t="shared" si="19"/>
        <v>0</v>
      </c>
    </row>
    <row r="160" spans="1:35" ht="20.100000000000001" hidden="1" customHeight="1">
      <c r="A160" s="18" t="str">
        <f>ÖSSZES!$A$84</f>
        <v>Név13</v>
      </c>
      <c r="B160" s="33"/>
      <c r="C160" s="33"/>
      <c r="D160" s="33"/>
      <c r="E160" s="33"/>
      <c r="F160" s="33"/>
      <c r="G160" s="33"/>
      <c r="H160" s="58" t="s">
        <v>2</v>
      </c>
      <c r="I160" s="58" t="s">
        <v>2</v>
      </c>
      <c r="J160" s="33"/>
      <c r="K160" s="33"/>
      <c r="L160" s="33"/>
      <c r="M160" s="33"/>
      <c r="N160" s="33"/>
      <c r="O160" s="33"/>
      <c r="P160" s="58" t="s">
        <v>2</v>
      </c>
      <c r="Q160" s="58" t="s">
        <v>2</v>
      </c>
      <c r="R160" s="33"/>
      <c r="S160" s="33"/>
      <c r="T160" s="33"/>
      <c r="U160" s="33"/>
      <c r="V160" s="33"/>
      <c r="W160" s="33"/>
      <c r="X160" s="58" t="s">
        <v>2</v>
      </c>
      <c r="Y160" s="58" t="s">
        <v>2</v>
      </c>
      <c r="Z160" s="33"/>
      <c r="AA160" s="33"/>
      <c r="AB160" s="33"/>
      <c r="AC160" s="33"/>
      <c r="AD160" s="33"/>
      <c r="AE160" s="33"/>
      <c r="AF160" s="58" t="s">
        <v>2</v>
      </c>
      <c r="AH160" s="16">
        <f t="shared" si="18"/>
        <v>0</v>
      </c>
      <c r="AI160" s="16">
        <f t="shared" si="19"/>
        <v>0</v>
      </c>
    </row>
    <row r="161" spans="1:35" ht="20.100000000000001" hidden="1" customHeight="1">
      <c r="A161" s="18" t="str">
        <f>ÖSSZES!$A$85</f>
        <v>Név14</v>
      </c>
      <c r="B161" s="33"/>
      <c r="C161" s="33"/>
      <c r="D161" s="33"/>
      <c r="E161" s="33"/>
      <c r="F161" s="33"/>
      <c r="G161" s="33"/>
      <c r="H161" s="58" t="s">
        <v>2</v>
      </c>
      <c r="I161" s="58" t="s">
        <v>2</v>
      </c>
      <c r="J161" s="33"/>
      <c r="K161" s="33"/>
      <c r="L161" s="33"/>
      <c r="M161" s="33"/>
      <c r="N161" s="33"/>
      <c r="O161" s="33"/>
      <c r="P161" s="58" t="s">
        <v>2</v>
      </c>
      <c r="Q161" s="58" t="s">
        <v>2</v>
      </c>
      <c r="R161" s="33"/>
      <c r="S161" s="33"/>
      <c r="T161" s="33"/>
      <c r="U161" s="33"/>
      <c r="V161" s="33"/>
      <c r="W161" s="33"/>
      <c r="X161" s="58" t="s">
        <v>2</v>
      </c>
      <c r="Y161" s="58" t="s">
        <v>2</v>
      </c>
      <c r="Z161" s="33"/>
      <c r="AA161" s="33"/>
      <c r="AB161" s="33"/>
      <c r="AC161" s="33"/>
      <c r="AD161" s="33"/>
      <c r="AE161" s="33"/>
      <c r="AF161" s="58" t="s">
        <v>2</v>
      </c>
      <c r="AH161" s="16">
        <f t="shared" si="18"/>
        <v>0</v>
      </c>
      <c r="AI161" s="16">
        <f t="shared" si="19"/>
        <v>0</v>
      </c>
    </row>
    <row r="162" spans="1:35" ht="20.100000000000001" hidden="1" customHeight="1">
      <c r="A162" s="18" t="str">
        <f>ÖSSZES!$A$86</f>
        <v>Név15</v>
      </c>
      <c r="B162" s="33"/>
      <c r="C162" s="33"/>
      <c r="D162" s="33"/>
      <c r="E162" s="33"/>
      <c r="F162" s="33"/>
      <c r="G162" s="33"/>
      <c r="H162" s="58" t="s">
        <v>2</v>
      </c>
      <c r="I162" s="58" t="s">
        <v>2</v>
      </c>
      <c r="J162" s="33"/>
      <c r="K162" s="33"/>
      <c r="L162" s="33"/>
      <c r="M162" s="33"/>
      <c r="N162" s="33"/>
      <c r="O162" s="33"/>
      <c r="P162" s="58" t="s">
        <v>2</v>
      </c>
      <c r="Q162" s="58" t="s">
        <v>2</v>
      </c>
      <c r="R162" s="33"/>
      <c r="S162" s="33"/>
      <c r="T162" s="33"/>
      <c r="U162" s="33"/>
      <c r="V162" s="33"/>
      <c r="W162" s="33"/>
      <c r="X162" s="58" t="s">
        <v>2</v>
      </c>
      <c r="Y162" s="58" t="s">
        <v>2</v>
      </c>
      <c r="Z162" s="33"/>
      <c r="AA162" s="33"/>
      <c r="AB162" s="33"/>
      <c r="AC162" s="33"/>
      <c r="AD162" s="33"/>
      <c r="AE162" s="33"/>
      <c r="AF162" s="58" t="s">
        <v>2</v>
      </c>
      <c r="AH162" s="16">
        <f t="shared" si="18"/>
        <v>0</v>
      </c>
      <c r="AI162" s="16">
        <f t="shared" si="19"/>
        <v>0</v>
      </c>
    </row>
    <row r="163" spans="1:35" ht="20.100000000000001" hidden="1" customHeight="1">
      <c r="A163" s="18" t="str">
        <f>ÖSSZES!$A$87</f>
        <v>Név16</v>
      </c>
      <c r="B163" s="33"/>
      <c r="C163" s="33"/>
      <c r="D163" s="33"/>
      <c r="E163" s="33"/>
      <c r="F163" s="33"/>
      <c r="G163" s="33"/>
      <c r="H163" s="58" t="s">
        <v>2</v>
      </c>
      <c r="I163" s="58" t="s">
        <v>2</v>
      </c>
      <c r="J163" s="33"/>
      <c r="K163" s="33"/>
      <c r="L163" s="33"/>
      <c r="M163" s="33"/>
      <c r="N163" s="33"/>
      <c r="O163" s="33"/>
      <c r="P163" s="58" t="s">
        <v>2</v>
      </c>
      <c r="Q163" s="58" t="s">
        <v>2</v>
      </c>
      <c r="R163" s="33"/>
      <c r="S163" s="33"/>
      <c r="T163" s="33"/>
      <c r="U163" s="33"/>
      <c r="V163" s="33"/>
      <c r="W163" s="33"/>
      <c r="X163" s="58" t="s">
        <v>2</v>
      </c>
      <c r="Y163" s="58" t="s">
        <v>2</v>
      </c>
      <c r="Z163" s="33"/>
      <c r="AA163" s="33"/>
      <c r="AB163" s="33"/>
      <c r="AC163" s="33"/>
      <c r="AD163" s="33"/>
      <c r="AE163" s="33"/>
      <c r="AF163" s="58" t="s">
        <v>2</v>
      </c>
      <c r="AH163" s="16">
        <f t="shared" si="18"/>
        <v>0</v>
      </c>
      <c r="AI163" s="16">
        <f t="shared" si="19"/>
        <v>0</v>
      </c>
    </row>
    <row r="164" spans="1:35" ht="20.100000000000001" hidden="1" customHeight="1">
      <c r="A164" s="18" t="str">
        <f>ÖSSZES!$A$88</f>
        <v>Név17</v>
      </c>
      <c r="B164" s="33"/>
      <c r="C164" s="33"/>
      <c r="D164" s="33"/>
      <c r="E164" s="33"/>
      <c r="F164" s="33"/>
      <c r="G164" s="33"/>
      <c r="H164" s="58" t="s">
        <v>2</v>
      </c>
      <c r="I164" s="58" t="s">
        <v>2</v>
      </c>
      <c r="J164" s="33"/>
      <c r="K164" s="33"/>
      <c r="L164" s="33"/>
      <c r="M164" s="33"/>
      <c r="N164" s="33"/>
      <c r="O164" s="33"/>
      <c r="P164" s="58" t="s">
        <v>2</v>
      </c>
      <c r="Q164" s="58" t="s">
        <v>2</v>
      </c>
      <c r="R164" s="33"/>
      <c r="S164" s="33"/>
      <c r="T164" s="33"/>
      <c r="U164" s="33"/>
      <c r="V164" s="33"/>
      <c r="W164" s="33"/>
      <c r="X164" s="58" t="s">
        <v>2</v>
      </c>
      <c r="Y164" s="58" t="s">
        <v>2</v>
      </c>
      <c r="Z164" s="33"/>
      <c r="AA164" s="33"/>
      <c r="AB164" s="33"/>
      <c r="AC164" s="33"/>
      <c r="AD164" s="33"/>
      <c r="AE164" s="33"/>
      <c r="AF164" s="58" t="s">
        <v>2</v>
      </c>
      <c r="AH164" s="16">
        <f t="shared" si="18"/>
        <v>0</v>
      </c>
      <c r="AI164" s="16">
        <f t="shared" si="19"/>
        <v>0</v>
      </c>
    </row>
    <row r="165" spans="1:35" ht="20.100000000000001" hidden="1" customHeight="1">
      <c r="A165" s="18" t="str">
        <f>ÖSSZES!$A$89</f>
        <v>Név18</v>
      </c>
      <c r="B165" s="33"/>
      <c r="C165" s="33"/>
      <c r="D165" s="33"/>
      <c r="E165" s="33"/>
      <c r="F165" s="33"/>
      <c r="G165" s="33"/>
      <c r="H165" s="58" t="s">
        <v>2</v>
      </c>
      <c r="I165" s="58" t="s">
        <v>2</v>
      </c>
      <c r="J165" s="33"/>
      <c r="K165" s="33"/>
      <c r="L165" s="33"/>
      <c r="M165" s="33"/>
      <c r="N165" s="33"/>
      <c r="O165" s="33"/>
      <c r="P165" s="58" t="s">
        <v>2</v>
      </c>
      <c r="Q165" s="58" t="s">
        <v>2</v>
      </c>
      <c r="R165" s="33"/>
      <c r="S165" s="33"/>
      <c r="T165" s="33"/>
      <c r="U165" s="33"/>
      <c r="V165" s="33"/>
      <c r="W165" s="33"/>
      <c r="X165" s="58" t="s">
        <v>2</v>
      </c>
      <c r="Y165" s="58" t="s">
        <v>2</v>
      </c>
      <c r="Z165" s="33"/>
      <c r="AA165" s="33"/>
      <c r="AB165" s="33"/>
      <c r="AC165" s="33"/>
      <c r="AD165" s="33"/>
      <c r="AE165" s="33"/>
      <c r="AF165" s="58" t="s">
        <v>2</v>
      </c>
      <c r="AH165" s="16">
        <f t="shared" si="18"/>
        <v>0</v>
      </c>
      <c r="AI165" s="16">
        <f t="shared" si="19"/>
        <v>0</v>
      </c>
    </row>
    <row r="166" spans="1:35" ht="20.100000000000001" hidden="1" customHeight="1">
      <c r="A166" s="18" t="str">
        <f>ÖSSZES!$A$90</f>
        <v>Név19</v>
      </c>
      <c r="B166" s="33"/>
      <c r="C166" s="33"/>
      <c r="D166" s="33"/>
      <c r="E166" s="33"/>
      <c r="F166" s="33"/>
      <c r="G166" s="33"/>
      <c r="H166" s="58" t="s">
        <v>2</v>
      </c>
      <c r="I166" s="58" t="s">
        <v>2</v>
      </c>
      <c r="J166" s="33"/>
      <c r="K166" s="33"/>
      <c r="L166" s="33"/>
      <c r="M166" s="33"/>
      <c r="N166" s="33"/>
      <c r="O166" s="33"/>
      <c r="P166" s="58" t="s">
        <v>2</v>
      </c>
      <c r="Q166" s="58" t="s">
        <v>2</v>
      </c>
      <c r="R166" s="33"/>
      <c r="S166" s="33"/>
      <c r="T166" s="33"/>
      <c r="U166" s="33"/>
      <c r="V166" s="33"/>
      <c r="W166" s="33"/>
      <c r="X166" s="58" t="s">
        <v>2</v>
      </c>
      <c r="Y166" s="58" t="s">
        <v>2</v>
      </c>
      <c r="Z166" s="33"/>
      <c r="AA166" s="33"/>
      <c r="AB166" s="33"/>
      <c r="AC166" s="33"/>
      <c r="AD166" s="33"/>
      <c r="AE166" s="33"/>
      <c r="AF166" s="58" t="s">
        <v>2</v>
      </c>
      <c r="AH166" s="16">
        <f t="shared" si="18"/>
        <v>0</v>
      </c>
      <c r="AI166" s="16">
        <f t="shared" si="19"/>
        <v>0</v>
      </c>
    </row>
    <row r="167" spans="1:35" ht="20.100000000000001" hidden="1" customHeight="1">
      <c r="A167" s="18" t="str">
        <f>ÖSSZES!$A$91</f>
        <v>Név20</v>
      </c>
      <c r="B167" s="33"/>
      <c r="C167" s="33"/>
      <c r="D167" s="33"/>
      <c r="E167" s="33"/>
      <c r="F167" s="33"/>
      <c r="G167" s="33"/>
      <c r="H167" s="58" t="s">
        <v>2</v>
      </c>
      <c r="I167" s="58" t="s">
        <v>2</v>
      </c>
      <c r="J167" s="33"/>
      <c r="K167" s="33"/>
      <c r="L167" s="33"/>
      <c r="M167" s="33"/>
      <c r="N167" s="33"/>
      <c r="O167" s="33"/>
      <c r="P167" s="58" t="s">
        <v>2</v>
      </c>
      <c r="Q167" s="58" t="s">
        <v>2</v>
      </c>
      <c r="R167" s="33"/>
      <c r="S167" s="33"/>
      <c r="T167" s="33"/>
      <c r="U167" s="33"/>
      <c r="V167" s="33"/>
      <c r="W167" s="33"/>
      <c r="X167" s="58" t="s">
        <v>2</v>
      </c>
      <c r="Y167" s="58" t="s">
        <v>2</v>
      </c>
      <c r="Z167" s="33"/>
      <c r="AA167" s="33"/>
      <c r="AB167" s="33"/>
      <c r="AC167" s="33"/>
      <c r="AD167" s="33"/>
      <c r="AE167" s="33"/>
      <c r="AF167" s="58" t="s">
        <v>2</v>
      </c>
      <c r="AH167" s="16">
        <f t="shared" si="18"/>
        <v>0</v>
      </c>
      <c r="AI167" s="16">
        <f t="shared" si="19"/>
        <v>0</v>
      </c>
    </row>
    <row r="168" spans="1:35" ht="20.100000000000001" customHeight="1"/>
    <row r="169" spans="1:35" s="6" customFormat="1" ht="20.100000000000001" customHeight="1">
      <c r="A169" s="91" t="s">
        <v>12</v>
      </c>
      <c r="B169" s="17">
        <v>1</v>
      </c>
      <c r="C169" s="17">
        <v>2</v>
      </c>
      <c r="D169" s="17">
        <v>3</v>
      </c>
      <c r="E169" s="17">
        <v>4</v>
      </c>
      <c r="F169" s="17">
        <v>5</v>
      </c>
      <c r="G169" s="17">
        <v>6</v>
      </c>
      <c r="H169" s="17">
        <v>7</v>
      </c>
      <c r="I169" s="17">
        <v>8</v>
      </c>
      <c r="J169" s="17">
        <v>9</v>
      </c>
      <c r="K169" s="17">
        <v>10</v>
      </c>
      <c r="L169" s="17">
        <v>11</v>
      </c>
      <c r="M169" s="17">
        <v>12</v>
      </c>
      <c r="N169" s="17">
        <v>13</v>
      </c>
      <c r="O169" s="17">
        <v>14</v>
      </c>
      <c r="P169" s="17">
        <v>15</v>
      </c>
      <c r="Q169" s="17">
        <v>16</v>
      </c>
      <c r="R169" s="17">
        <v>17</v>
      </c>
      <c r="S169" s="17">
        <v>18</v>
      </c>
      <c r="T169" s="17">
        <v>19</v>
      </c>
      <c r="U169" s="19">
        <v>20</v>
      </c>
      <c r="V169" s="17">
        <v>21</v>
      </c>
      <c r="W169" s="17">
        <v>22</v>
      </c>
      <c r="X169" s="17">
        <v>23</v>
      </c>
      <c r="Y169" s="17">
        <v>24</v>
      </c>
      <c r="Z169" s="17">
        <v>25</v>
      </c>
      <c r="AA169" s="17">
        <v>26</v>
      </c>
      <c r="AB169" s="17">
        <v>27</v>
      </c>
      <c r="AC169" s="17">
        <v>28</v>
      </c>
      <c r="AD169" s="17">
        <v>29</v>
      </c>
      <c r="AE169" s="17">
        <v>30</v>
      </c>
      <c r="AF169" s="17">
        <v>31</v>
      </c>
      <c r="AH169" s="93" t="s">
        <v>18</v>
      </c>
      <c r="AI169" s="93" t="s">
        <v>19</v>
      </c>
    </row>
    <row r="170" spans="1:35" ht="20.100000000000001" customHeight="1">
      <c r="A170" s="96"/>
      <c r="B170" s="10" t="str">
        <f>'2020'!B60</f>
        <v>Szo</v>
      </c>
      <c r="C170" s="10" t="str">
        <f>'2020'!C60</f>
        <v>V</v>
      </c>
      <c r="D170" s="10" t="str">
        <f>'2020'!D60</f>
        <v>H</v>
      </c>
      <c r="E170" s="10" t="str">
        <f>'2020'!E60</f>
        <v>K</v>
      </c>
      <c r="F170" s="10" t="str">
        <f>'2020'!F60</f>
        <v>Sze</v>
      </c>
      <c r="G170" s="10" t="str">
        <f>'2020'!G60</f>
        <v>Cs</v>
      </c>
      <c r="H170" s="10" t="str">
        <f>'2020'!H60</f>
        <v>P</v>
      </c>
      <c r="I170" s="10" t="str">
        <f>'2020'!I60</f>
        <v>Szo</v>
      </c>
      <c r="J170" s="10" t="str">
        <f>'2020'!J60</f>
        <v>V</v>
      </c>
      <c r="K170" s="10" t="str">
        <f>'2020'!K60</f>
        <v>H</v>
      </c>
      <c r="L170" s="10" t="str">
        <f>'2020'!L60</f>
        <v>K</v>
      </c>
      <c r="M170" s="10" t="str">
        <f>'2020'!M60</f>
        <v>Sze</v>
      </c>
      <c r="N170" s="10" t="str">
        <f>'2020'!N60</f>
        <v>Cs</v>
      </c>
      <c r="O170" s="10" t="str">
        <f>'2020'!O60</f>
        <v>P</v>
      </c>
      <c r="P170" s="10" t="str">
        <f>'2020'!P60</f>
        <v>Szo</v>
      </c>
      <c r="Q170" s="10" t="str">
        <f>'2020'!Q60</f>
        <v>V</v>
      </c>
      <c r="R170" s="10" t="str">
        <f>'2020'!R60</f>
        <v>H</v>
      </c>
      <c r="S170" s="10" t="str">
        <f>'2020'!S60</f>
        <v>K</v>
      </c>
      <c r="T170" s="10" t="str">
        <f>'2020'!T60</f>
        <v>Sze</v>
      </c>
      <c r="U170" s="10" t="str">
        <f>'2020'!U60</f>
        <v>Cs</v>
      </c>
      <c r="V170" s="10" t="str">
        <f>'2020'!V60</f>
        <v>P</v>
      </c>
      <c r="W170" s="10" t="str">
        <f>'2020'!W60</f>
        <v>Szo</v>
      </c>
      <c r="X170" s="10" t="str">
        <f>'2020'!X60</f>
        <v>V</v>
      </c>
      <c r="Y170" s="10" t="str">
        <f>'2020'!Y60</f>
        <v>H</v>
      </c>
      <c r="Z170" s="10" t="str">
        <f>'2020'!Z60</f>
        <v>K</v>
      </c>
      <c r="AA170" s="10" t="str">
        <f>'2020'!AA60</f>
        <v>Sze</v>
      </c>
      <c r="AB170" s="10" t="str">
        <f>'2020'!AB60</f>
        <v>Cs</v>
      </c>
      <c r="AC170" s="10" t="str">
        <f>'2020'!AC60</f>
        <v>P</v>
      </c>
      <c r="AD170" s="10" t="str">
        <f>'2020'!AD60</f>
        <v>Szo</v>
      </c>
      <c r="AE170" s="10" t="str">
        <f>'2020'!AE60</f>
        <v>V</v>
      </c>
      <c r="AF170" s="10" t="str">
        <f>'2020'!AF60</f>
        <v>H</v>
      </c>
      <c r="AH170" s="94"/>
      <c r="AI170" s="94"/>
    </row>
    <row r="171" spans="1:35" ht="20.100000000000001" customHeight="1">
      <c r="A171" s="96"/>
      <c r="B171" s="10" t="str">
        <f>'2020'!B64</f>
        <v>X</v>
      </c>
      <c r="C171" s="10">
        <f>'2020'!C64</f>
        <v>2</v>
      </c>
      <c r="D171" s="10">
        <f>'2020'!D64</f>
        <v>2</v>
      </c>
      <c r="E171" s="10">
        <f>'2020'!E64</f>
        <v>2</v>
      </c>
      <c r="F171" s="10">
        <f>'2020'!F64</f>
        <v>2</v>
      </c>
      <c r="G171" s="10">
        <f>'2020'!G64</f>
        <v>2</v>
      </c>
      <c r="H171" s="10">
        <f>'2020'!H64</f>
        <v>2</v>
      </c>
      <c r="I171" s="10" t="str">
        <f>'2020'!I64</f>
        <v>X</v>
      </c>
      <c r="J171" s="10" t="str">
        <f>'2020'!J64</f>
        <v>X</v>
      </c>
      <c r="K171" s="10">
        <f>'2020'!K64</f>
        <v>1</v>
      </c>
      <c r="L171" s="10">
        <f>'2020'!L64</f>
        <v>1</v>
      </c>
      <c r="M171" s="10">
        <f>'2020'!M64</f>
        <v>1</v>
      </c>
      <c r="N171" s="10">
        <f>'2020'!N64</f>
        <v>1</v>
      </c>
      <c r="O171" s="10">
        <f>'2020'!O64</f>
        <v>1</v>
      </c>
      <c r="P171" s="10">
        <f>'2020'!P64</f>
        <v>1</v>
      </c>
      <c r="Q171" s="10" t="str">
        <f>'2020'!Q64</f>
        <v>X</v>
      </c>
      <c r="R171" s="10" t="str">
        <f>'2020'!R64</f>
        <v>X</v>
      </c>
      <c r="S171" s="10">
        <f>'2020'!S64</f>
        <v>3</v>
      </c>
      <c r="T171" s="10">
        <f>'2020'!T64</f>
        <v>3</v>
      </c>
      <c r="U171" s="10">
        <f>'2020'!U64</f>
        <v>3</v>
      </c>
      <c r="V171" s="10">
        <f>'2020'!V64</f>
        <v>3</v>
      </c>
      <c r="W171" s="10">
        <f>'2020'!W64</f>
        <v>3</v>
      </c>
      <c r="X171" s="10">
        <f>'2020'!X64</f>
        <v>3</v>
      </c>
      <c r="Y171" s="10" t="str">
        <f>'2020'!Y64</f>
        <v>X</v>
      </c>
      <c r="Z171" s="10" t="str">
        <f>'2020'!Z64</f>
        <v>X</v>
      </c>
      <c r="AA171" s="10">
        <f>'2020'!AA64</f>
        <v>2</v>
      </c>
      <c r="AB171" s="10">
        <f>'2020'!AB64</f>
        <v>2</v>
      </c>
      <c r="AC171" s="10">
        <f>'2020'!AC64</f>
        <v>2</v>
      </c>
      <c r="AD171" s="10">
        <f>'2020'!AD64</f>
        <v>2</v>
      </c>
      <c r="AE171" s="10">
        <f>'2020'!AE64</f>
        <v>2</v>
      </c>
      <c r="AF171" s="10">
        <f>'2020'!AF64</f>
        <v>2</v>
      </c>
      <c r="AH171" s="94"/>
      <c r="AI171" s="94"/>
    </row>
    <row r="172" spans="1:35" ht="20.100000000000001" customHeight="1">
      <c r="A172" s="18" t="str">
        <f>ÖSSZES!$A$72</f>
        <v>Daku Gábor</v>
      </c>
      <c r="B172" s="58" t="str">
        <f>[1]D!B81</f>
        <v>X</v>
      </c>
      <c r="C172" s="33">
        <f>[1]D!C81</f>
        <v>2</v>
      </c>
      <c r="D172" s="33">
        <f>[1]D!D81</f>
        <v>2</v>
      </c>
      <c r="E172" s="33">
        <f>[1]D!E81</f>
        <v>2</v>
      </c>
      <c r="F172" s="33">
        <f>[1]D!F81</f>
        <v>2</v>
      </c>
      <c r="G172" s="33">
        <f>[1]D!G81</f>
        <v>2</v>
      </c>
      <c r="H172" s="33">
        <f>[1]D!H81</f>
        <v>2</v>
      </c>
      <c r="I172" s="58" t="str">
        <f>[1]D!I81</f>
        <v>X</v>
      </c>
      <c r="J172" s="58" t="str">
        <f>[1]D!J81</f>
        <v>X</v>
      </c>
      <c r="K172" s="33">
        <f>[1]D!K81</f>
        <v>1</v>
      </c>
      <c r="L172" s="33">
        <f>[1]D!L81</f>
        <v>1</v>
      </c>
      <c r="M172" s="33">
        <f>[1]D!M81</f>
        <v>1</v>
      </c>
      <c r="N172" s="33">
        <f>[1]D!N81</f>
        <v>1</v>
      </c>
      <c r="O172" s="33">
        <f>[1]D!O81</f>
        <v>1</v>
      </c>
      <c r="P172" s="33">
        <f>[1]D!P81</f>
        <v>1</v>
      </c>
      <c r="Q172" s="58" t="str">
        <f>[1]D!Q81</f>
        <v>X</v>
      </c>
      <c r="R172" s="58" t="str">
        <f>[1]D!R81</f>
        <v>X</v>
      </c>
      <c r="S172" s="33">
        <f>[1]D!S81</f>
        <v>3</v>
      </c>
      <c r="T172" s="33">
        <f>[1]D!T81</f>
        <v>3</v>
      </c>
      <c r="U172" s="60">
        <f>[1]D!U81</f>
        <v>3</v>
      </c>
      <c r="V172" s="33">
        <f>[1]D!V81</f>
        <v>3</v>
      </c>
      <c r="W172" s="33">
        <f>[1]D!W81</f>
        <v>3</v>
      </c>
      <c r="X172" s="33">
        <f>[1]D!X81</f>
        <v>3</v>
      </c>
      <c r="Y172" s="58" t="str">
        <f>[1]D!Y81</f>
        <v>X</v>
      </c>
      <c r="Z172" s="58" t="str">
        <f>[1]D!Z81</f>
        <v>X</v>
      </c>
      <c r="AA172" s="33">
        <f>[1]D!AA81</f>
        <v>2</v>
      </c>
      <c r="AB172" s="33">
        <f>[1]D!AB81</f>
        <v>2</v>
      </c>
      <c r="AC172" s="33">
        <f>[1]D!AC81</f>
        <v>2</v>
      </c>
      <c r="AD172" s="33">
        <f>[1]D!AD81</f>
        <v>2</v>
      </c>
      <c r="AE172" s="33">
        <f>[1]D!AE81</f>
        <v>2</v>
      </c>
      <c r="AF172" s="33">
        <f>[1]D!AF81</f>
        <v>2</v>
      </c>
      <c r="AH172" s="16">
        <f>1*COUNTIF(A172:AF172,"+")</f>
        <v>0</v>
      </c>
      <c r="AI172" s="16">
        <f t="shared" ref="AI172" si="20">1*COUNTIF(B172:AF172,"szf")</f>
        <v>0</v>
      </c>
    </row>
    <row r="173" spans="1:35" ht="20.100000000000001" customHeight="1">
      <c r="A173" s="18" t="str">
        <f>ÖSSZES!$A$73</f>
        <v>Borbély Csaba</v>
      </c>
      <c r="B173" s="58" t="str">
        <f>[1]D!B82</f>
        <v>X</v>
      </c>
      <c r="C173" s="33">
        <f>[1]D!C82</f>
        <v>2</v>
      </c>
      <c r="D173" s="33">
        <f>[1]D!D82</f>
        <v>2</v>
      </c>
      <c r="E173" s="33">
        <f>[1]D!E82</f>
        <v>2</v>
      </c>
      <c r="F173" s="33">
        <f>[1]D!F82</f>
        <v>2</v>
      </c>
      <c r="G173" s="33">
        <f>[1]D!G82</f>
        <v>2</v>
      </c>
      <c r="H173" s="33">
        <f>[1]D!H82</f>
        <v>2</v>
      </c>
      <c r="I173" s="58" t="str">
        <f>[1]D!I82</f>
        <v>X</v>
      </c>
      <c r="J173" s="58" t="str">
        <f>[1]D!J82</f>
        <v>X</v>
      </c>
      <c r="K173" s="33">
        <f>[1]D!K82</f>
        <v>1</v>
      </c>
      <c r="L173" s="33">
        <f>[1]D!L82</f>
        <v>1</v>
      </c>
      <c r="M173" s="33">
        <f>[1]D!M82</f>
        <v>1</v>
      </c>
      <c r="N173" s="33">
        <f>[1]D!N82</f>
        <v>1</v>
      </c>
      <c r="O173" s="33">
        <f>[1]D!O82</f>
        <v>1</v>
      </c>
      <c r="P173" s="33">
        <f>[1]D!P82</f>
        <v>1</v>
      </c>
      <c r="Q173" s="58" t="str">
        <f>[1]D!Q82</f>
        <v>X</v>
      </c>
      <c r="R173" s="58" t="str">
        <f>[1]D!R82</f>
        <v>X</v>
      </c>
      <c r="S173" s="33">
        <f>[1]D!S82</f>
        <v>3</v>
      </c>
      <c r="T173" s="33">
        <f>[1]D!T82</f>
        <v>3</v>
      </c>
      <c r="U173" s="60">
        <f>[1]D!U82</f>
        <v>3</v>
      </c>
      <c r="V173" s="33">
        <f>[1]D!V82</f>
        <v>3</v>
      </c>
      <c r="W173" s="33">
        <f>[1]D!W82</f>
        <v>3</v>
      </c>
      <c r="X173" s="33">
        <f>[1]D!X82</f>
        <v>3</v>
      </c>
      <c r="Y173" s="58" t="str">
        <f>[1]D!Y82</f>
        <v>X</v>
      </c>
      <c r="Z173" s="58" t="str">
        <f>[1]D!Z82</f>
        <v>X</v>
      </c>
      <c r="AA173" s="33">
        <f>[1]D!AA82</f>
        <v>2</v>
      </c>
      <c r="AB173" s="33">
        <f>[1]D!AB82</f>
        <v>2</v>
      </c>
      <c r="AC173" s="33">
        <f>[1]D!AC82</f>
        <v>2</v>
      </c>
      <c r="AD173" s="33">
        <f>[1]D!AD82</f>
        <v>2</v>
      </c>
      <c r="AE173" s="33">
        <f>[1]D!AE82</f>
        <v>2</v>
      </c>
      <c r="AF173" s="33">
        <f>[1]D!AF82</f>
        <v>2</v>
      </c>
      <c r="AH173" s="16">
        <f t="shared" ref="AH173:AH191" si="21">1*COUNTIF(A173:AF173,"+")</f>
        <v>0</v>
      </c>
      <c r="AI173" s="16">
        <f t="shared" ref="AI173:AI191" si="22">1*COUNTIF(B173:AF173,"szf")</f>
        <v>0</v>
      </c>
    </row>
    <row r="174" spans="1:35" ht="20.100000000000001" customHeight="1">
      <c r="A174" s="18" t="str">
        <f>ÖSSZES!$A$74</f>
        <v>Erdei Bálint</v>
      </c>
      <c r="B174" s="58" t="str">
        <f>[1]D!B83</f>
        <v>X</v>
      </c>
      <c r="C174" s="33">
        <f>[1]D!C83</f>
        <v>2</v>
      </c>
      <c r="D174" s="33">
        <f>[1]D!D83</f>
        <v>2</v>
      </c>
      <c r="E174" s="33">
        <f>[1]D!E83</f>
        <v>2</v>
      </c>
      <c r="F174" s="33">
        <f>[1]D!F83</f>
        <v>2</v>
      </c>
      <c r="G174" s="33">
        <f>[1]D!G83</f>
        <v>2</v>
      </c>
      <c r="H174" s="33">
        <f>[1]D!H83</f>
        <v>2</v>
      </c>
      <c r="I174" s="58" t="str">
        <f>[1]D!I83</f>
        <v>X</v>
      </c>
      <c r="J174" s="58" t="str">
        <f>[1]D!J83</f>
        <v>X</v>
      </c>
      <c r="K174" s="33">
        <f>[1]D!K83</f>
        <v>1</v>
      </c>
      <c r="L174" s="33">
        <f>[1]D!L83</f>
        <v>1</v>
      </c>
      <c r="M174" s="33">
        <f>[1]D!M83</f>
        <v>1</v>
      </c>
      <c r="N174" s="33">
        <f>[1]D!N83</f>
        <v>1</v>
      </c>
      <c r="O174" s="33">
        <f>[1]D!O83</f>
        <v>1</v>
      </c>
      <c r="P174" s="33">
        <f>[1]D!P83</f>
        <v>1</v>
      </c>
      <c r="Q174" s="58" t="str">
        <f>[1]D!Q83</f>
        <v>X</v>
      </c>
      <c r="R174" s="58" t="str">
        <f>[1]D!R83</f>
        <v>X</v>
      </c>
      <c r="S174" s="33">
        <f>[1]D!S83</f>
        <v>3</v>
      </c>
      <c r="T174" s="33">
        <f>[1]D!T83</f>
        <v>3</v>
      </c>
      <c r="U174" s="60">
        <f>[1]D!U83</f>
        <v>3</v>
      </c>
      <c r="V174" s="33">
        <f>[1]D!V83</f>
        <v>3</v>
      </c>
      <c r="W174" s="33">
        <f>[1]D!W83</f>
        <v>3</v>
      </c>
      <c r="X174" s="33">
        <f>[1]D!X83</f>
        <v>3</v>
      </c>
      <c r="Y174" s="58" t="str">
        <f>[1]D!Y83</f>
        <v>X</v>
      </c>
      <c r="Z174" s="58" t="str">
        <f>[1]D!Z83</f>
        <v>X</v>
      </c>
      <c r="AA174" s="33">
        <f>[1]D!AA83</f>
        <v>2</v>
      </c>
      <c r="AB174" s="33">
        <f>[1]D!AB83</f>
        <v>2</v>
      </c>
      <c r="AC174" s="33">
        <f>[1]D!AC83</f>
        <v>2</v>
      </c>
      <c r="AD174" s="33">
        <f>[1]D!AD83</f>
        <v>2</v>
      </c>
      <c r="AE174" s="33">
        <f>[1]D!AE83</f>
        <v>2</v>
      </c>
      <c r="AF174" s="33">
        <f>[1]D!AF83</f>
        <v>2</v>
      </c>
      <c r="AH174" s="16">
        <f t="shared" si="21"/>
        <v>0</v>
      </c>
      <c r="AI174" s="16">
        <f t="shared" si="22"/>
        <v>0</v>
      </c>
    </row>
    <row r="175" spans="1:35" ht="20.100000000000001" customHeight="1">
      <c r="A175" s="18" t="str">
        <f>ÖSSZES!$A$75</f>
        <v>Fábián Gábor</v>
      </c>
      <c r="B175" s="58" t="str">
        <f>[1]D!B84</f>
        <v>X</v>
      </c>
      <c r="C175" s="33">
        <f>[1]D!C84</f>
        <v>2</v>
      </c>
      <c r="D175" s="33">
        <f>[1]D!D84</f>
        <v>2</v>
      </c>
      <c r="E175" s="33">
        <f>[1]D!E84</f>
        <v>2</v>
      </c>
      <c r="F175" s="33">
        <f>[1]D!F84</f>
        <v>2</v>
      </c>
      <c r="G175" s="33">
        <f>[1]D!G84</f>
        <v>2</v>
      </c>
      <c r="H175" s="33">
        <f>[1]D!H84</f>
        <v>2</v>
      </c>
      <c r="I175" s="58" t="str">
        <f>[1]D!I84</f>
        <v>X</v>
      </c>
      <c r="J175" s="58" t="str">
        <f>[1]D!J84</f>
        <v>X</v>
      </c>
      <c r="K175" s="33">
        <f>[1]D!K84</f>
        <v>1</v>
      </c>
      <c r="L175" s="33">
        <f>[1]D!L84</f>
        <v>1</v>
      </c>
      <c r="M175" s="33">
        <f>[1]D!M84</f>
        <v>1</v>
      </c>
      <c r="N175" s="33">
        <f>[1]D!N84</f>
        <v>1</v>
      </c>
      <c r="O175" s="33">
        <f>[1]D!O84</f>
        <v>1</v>
      </c>
      <c r="P175" s="33">
        <f>[1]D!P84</f>
        <v>1</v>
      </c>
      <c r="Q175" s="58" t="str">
        <f>[1]D!Q84</f>
        <v>X</v>
      </c>
      <c r="R175" s="58" t="str">
        <f>[1]D!R84</f>
        <v>X</v>
      </c>
      <c r="S175" s="33">
        <f>[1]D!S84</f>
        <v>3</v>
      </c>
      <c r="T175" s="33">
        <f>[1]D!T84</f>
        <v>3</v>
      </c>
      <c r="U175" s="60">
        <f>[1]D!U84</f>
        <v>3</v>
      </c>
      <c r="V175" s="33">
        <f>[1]D!V84</f>
        <v>3</v>
      </c>
      <c r="W175" s="33">
        <f>[1]D!W84</f>
        <v>3</v>
      </c>
      <c r="X175" s="33">
        <f>[1]D!X84</f>
        <v>3</v>
      </c>
      <c r="Y175" s="58" t="str">
        <f>[1]D!Y84</f>
        <v>X</v>
      </c>
      <c r="Z175" s="58" t="str">
        <f>[1]D!Z84</f>
        <v>X</v>
      </c>
      <c r="AA175" s="33">
        <f>[1]D!AA84</f>
        <v>2</v>
      </c>
      <c r="AB175" s="33">
        <f>[1]D!AB84</f>
        <v>2</v>
      </c>
      <c r="AC175" s="33">
        <f>[1]D!AC84</f>
        <v>2</v>
      </c>
      <c r="AD175" s="33">
        <f>[1]D!AD84</f>
        <v>2</v>
      </c>
      <c r="AE175" s="33">
        <f>[1]D!AE84</f>
        <v>2</v>
      </c>
      <c r="AF175" s="33">
        <f>[1]D!AF84</f>
        <v>2</v>
      </c>
      <c r="AH175" s="16">
        <f t="shared" si="21"/>
        <v>0</v>
      </c>
      <c r="AI175" s="16">
        <f t="shared" si="22"/>
        <v>0</v>
      </c>
    </row>
    <row r="176" spans="1:35" ht="20.100000000000001" customHeight="1">
      <c r="A176" s="18" t="str">
        <f>ÖSSZES!$A$76</f>
        <v>Gellei Zsolt</v>
      </c>
      <c r="B176" s="58" t="str">
        <f>[1]D!B85</f>
        <v>X</v>
      </c>
      <c r="C176" s="33">
        <f>[1]D!C85</f>
        <v>2</v>
      </c>
      <c r="D176" s="33">
        <f>[1]D!D85</f>
        <v>2</v>
      </c>
      <c r="E176" s="33">
        <f>[1]D!E85</f>
        <v>2</v>
      </c>
      <c r="F176" s="33">
        <f>[1]D!F85</f>
        <v>2</v>
      </c>
      <c r="G176" s="33">
        <f>[1]D!G85</f>
        <v>2</v>
      </c>
      <c r="H176" s="33">
        <f>[1]D!H85</f>
        <v>2</v>
      </c>
      <c r="I176" s="58" t="str">
        <f>[1]D!I85</f>
        <v>X</v>
      </c>
      <c r="J176" s="58" t="str">
        <f>[1]D!J85</f>
        <v>X</v>
      </c>
      <c r="K176" s="33">
        <f>[1]D!K85</f>
        <v>1</v>
      </c>
      <c r="L176" s="33">
        <f>[1]D!L85</f>
        <v>1</v>
      </c>
      <c r="M176" s="33">
        <f>[1]D!M85</f>
        <v>1</v>
      </c>
      <c r="N176" s="33">
        <f>[1]D!N85</f>
        <v>1</v>
      </c>
      <c r="O176" s="33">
        <f>[1]D!O85</f>
        <v>1</v>
      </c>
      <c r="P176" s="33">
        <f>[1]D!P85</f>
        <v>1</v>
      </c>
      <c r="Q176" s="58" t="str">
        <f>[1]D!Q85</f>
        <v>X</v>
      </c>
      <c r="R176" s="58" t="str">
        <f>[1]D!R85</f>
        <v>X</v>
      </c>
      <c r="S176" s="33">
        <f>[1]D!S85</f>
        <v>3</v>
      </c>
      <c r="T176" s="33">
        <f>[1]D!T85</f>
        <v>3</v>
      </c>
      <c r="U176" s="60">
        <f>[1]D!U85</f>
        <v>3</v>
      </c>
      <c r="V176" s="33">
        <f>[1]D!V85</f>
        <v>3</v>
      </c>
      <c r="W176" s="33">
        <f>[1]D!W85</f>
        <v>3</v>
      </c>
      <c r="X176" s="33">
        <f>[1]D!X85</f>
        <v>3</v>
      </c>
      <c r="Y176" s="58" t="str">
        <f>[1]D!Y85</f>
        <v>X</v>
      </c>
      <c r="Z176" s="58" t="str">
        <f>[1]D!Z85</f>
        <v>X</v>
      </c>
      <c r="AA176" s="33">
        <f>[1]D!AA85</f>
        <v>2</v>
      </c>
      <c r="AB176" s="33">
        <f>[1]D!AB85</f>
        <v>2</v>
      </c>
      <c r="AC176" s="33">
        <f>[1]D!AC85</f>
        <v>2</v>
      </c>
      <c r="AD176" s="33">
        <f>[1]D!AD85</f>
        <v>2</v>
      </c>
      <c r="AE176" s="33">
        <f>[1]D!AE85</f>
        <v>2</v>
      </c>
      <c r="AF176" s="33">
        <f>[1]D!AF85</f>
        <v>2</v>
      </c>
      <c r="AH176" s="16">
        <f t="shared" si="21"/>
        <v>0</v>
      </c>
      <c r="AI176" s="16">
        <f t="shared" si="22"/>
        <v>0</v>
      </c>
    </row>
    <row r="177" spans="1:35" ht="20.100000000000001" customHeight="1">
      <c r="A177" s="18" t="str">
        <f>ÖSSZES!$A$77</f>
        <v>Kiss Gyula</v>
      </c>
      <c r="B177" s="58" t="str">
        <f>[1]D!B86</f>
        <v>X</v>
      </c>
      <c r="C177" s="33">
        <f>[1]D!C86</f>
        <v>2</v>
      </c>
      <c r="D177" s="33">
        <f>[1]D!D86</f>
        <v>2</v>
      </c>
      <c r="E177" s="33">
        <f>[1]D!E86</f>
        <v>2</v>
      </c>
      <c r="F177" s="33">
        <f>[1]D!F86</f>
        <v>2</v>
      </c>
      <c r="G177" s="33">
        <f>[1]D!G86</f>
        <v>2</v>
      </c>
      <c r="H177" s="33">
        <f>[1]D!H86</f>
        <v>2</v>
      </c>
      <c r="I177" s="58" t="str">
        <f>[1]D!I86</f>
        <v>X</v>
      </c>
      <c r="J177" s="58" t="str">
        <f>[1]D!J86</f>
        <v>X</v>
      </c>
      <c r="K177" s="33">
        <f>[1]D!K86</f>
        <v>1</v>
      </c>
      <c r="L177" s="33">
        <f>[1]D!L86</f>
        <v>1</v>
      </c>
      <c r="M177" s="33">
        <f>[1]D!M86</f>
        <v>1</v>
      </c>
      <c r="N177" s="33">
        <f>[1]D!N86</f>
        <v>1</v>
      </c>
      <c r="O177" s="33">
        <f>[1]D!O86</f>
        <v>1</v>
      </c>
      <c r="P177" s="33">
        <f>[1]D!P86</f>
        <v>1</v>
      </c>
      <c r="Q177" s="58" t="str">
        <f>[1]D!Q86</f>
        <v>X</v>
      </c>
      <c r="R177" s="58" t="str">
        <f>[1]D!R86</f>
        <v>X</v>
      </c>
      <c r="S177" s="33">
        <f>[1]D!S86</f>
        <v>3</v>
      </c>
      <c r="T177" s="33">
        <f>[1]D!T86</f>
        <v>3</v>
      </c>
      <c r="U177" s="60">
        <f>[1]D!U86</f>
        <v>3</v>
      </c>
      <c r="V177" s="33">
        <f>[1]D!V86</f>
        <v>3</v>
      </c>
      <c r="W177" s="33">
        <f>[1]D!W86</f>
        <v>3</v>
      </c>
      <c r="X177" s="33">
        <f>[1]D!X86</f>
        <v>3</v>
      </c>
      <c r="Y177" s="58" t="str">
        <f>[1]D!Y86</f>
        <v>X</v>
      </c>
      <c r="Z177" s="58" t="str">
        <f>[1]D!Z86</f>
        <v>X</v>
      </c>
      <c r="AA177" s="33">
        <f>[1]D!AA86</f>
        <v>2</v>
      </c>
      <c r="AB177" s="33">
        <f>[1]D!AB86</f>
        <v>2</v>
      </c>
      <c r="AC177" s="33">
        <f>[1]D!AC86</f>
        <v>2</v>
      </c>
      <c r="AD177" s="33">
        <f>[1]D!AD86</f>
        <v>2</v>
      </c>
      <c r="AE177" s="33">
        <f>[1]D!AE86</f>
        <v>2</v>
      </c>
      <c r="AF177" s="33">
        <f>[1]D!AF86</f>
        <v>2</v>
      </c>
      <c r="AH177" s="16">
        <f t="shared" si="21"/>
        <v>0</v>
      </c>
      <c r="AI177" s="16">
        <f t="shared" si="22"/>
        <v>0</v>
      </c>
    </row>
    <row r="178" spans="1:35" ht="20.100000000000001" customHeight="1">
      <c r="A178" s="18" t="str">
        <f>ÖSSZES!$A$78</f>
        <v>Nagy István</v>
      </c>
      <c r="B178" s="58" t="str">
        <f>[1]D!B87</f>
        <v>X</v>
      </c>
      <c r="C178" s="33">
        <f>[1]D!C87</f>
        <v>2</v>
      </c>
      <c r="D178" s="33">
        <f>[1]D!D87</f>
        <v>2</v>
      </c>
      <c r="E178" s="33">
        <f>[1]D!E87</f>
        <v>2</v>
      </c>
      <c r="F178" s="33">
        <f>[1]D!F87</f>
        <v>2</v>
      </c>
      <c r="G178" s="33">
        <f>[1]D!G87</f>
        <v>2</v>
      </c>
      <c r="H178" s="33">
        <f>[1]D!H87</f>
        <v>2</v>
      </c>
      <c r="I178" s="58" t="str">
        <f>[1]D!I87</f>
        <v>X</v>
      </c>
      <c r="J178" s="58" t="str">
        <f>[1]D!J87</f>
        <v>X</v>
      </c>
      <c r="K178" s="33">
        <f>[1]D!K87</f>
        <v>1</v>
      </c>
      <c r="L178" s="33">
        <f>[1]D!L87</f>
        <v>1</v>
      </c>
      <c r="M178" s="33">
        <f>[1]D!M87</f>
        <v>1</v>
      </c>
      <c r="N178" s="33">
        <f>[1]D!N87</f>
        <v>1</v>
      </c>
      <c r="O178" s="33">
        <f>[1]D!O87</f>
        <v>1</v>
      </c>
      <c r="P178" s="33">
        <f>[1]D!P87</f>
        <v>1</v>
      </c>
      <c r="Q178" s="58" t="str">
        <f>[1]D!Q87</f>
        <v>X</v>
      </c>
      <c r="R178" s="58" t="str">
        <f>[1]D!R87</f>
        <v>X</v>
      </c>
      <c r="S178" s="33">
        <f>[1]D!S87</f>
        <v>3</v>
      </c>
      <c r="T178" s="33">
        <f>[1]D!T87</f>
        <v>3</v>
      </c>
      <c r="U178" s="60">
        <f>[1]D!U87</f>
        <v>3</v>
      </c>
      <c r="V178" s="33">
        <f>[1]D!V87</f>
        <v>3</v>
      </c>
      <c r="W178" s="33">
        <f>[1]D!W87</f>
        <v>3</v>
      </c>
      <c r="X178" s="33">
        <f>[1]D!X87</f>
        <v>3</v>
      </c>
      <c r="Y178" s="58" t="str">
        <f>[1]D!Y87</f>
        <v>X</v>
      </c>
      <c r="Z178" s="58" t="str">
        <f>[1]D!Z87</f>
        <v>X</v>
      </c>
      <c r="AA178" s="33">
        <f>[1]D!AA87</f>
        <v>2</v>
      </c>
      <c r="AB178" s="33">
        <f>[1]D!AB87</f>
        <v>2</v>
      </c>
      <c r="AC178" s="33">
        <f>[1]D!AC87</f>
        <v>2</v>
      </c>
      <c r="AD178" s="33">
        <f>[1]D!AD87</f>
        <v>2</v>
      </c>
      <c r="AE178" s="33">
        <f>[1]D!AE87</f>
        <v>2</v>
      </c>
      <c r="AF178" s="33">
        <f>[1]D!AF87</f>
        <v>2</v>
      </c>
      <c r="AH178" s="16">
        <f t="shared" si="21"/>
        <v>0</v>
      </c>
      <c r="AI178" s="16">
        <f t="shared" si="22"/>
        <v>0</v>
      </c>
    </row>
    <row r="179" spans="1:35" ht="20.100000000000001" hidden="1" customHeight="1">
      <c r="A179" s="18" t="str">
        <f>ÖSSZES!$A$79</f>
        <v>Fényi László</v>
      </c>
      <c r="B179" s="58"/>
      <c r="C179" s="33"/>
      <c r="D179" s="33"/>
      <c r="E179" s="33"/>
      <c r="F179" s="33"/>
      <c r="G179" s="33"/>
      <c r="H179" s="33"/>
      <c r="I179" s="58"/>
      <c r="J179" s="58"/>
      <c r="K179" s="33"/>
      <c r="L179" s="33"/>
      <c r="M179" s="33"/>
      <c r="N179" s="33"/>
      <c r="O179" s="33"/>
      <c r="P179" s="33"/>
      <c r="Q179" s="58"/>
      <c r="R179" s="58"/>
      <c r="S179" s="33"/>
      <c r="T179" s="33"/>
      <c r="U179" s="60"/>
      <c r="V179" s="33"/>
      <c r="W179" s="33"/>
      <c r="X179" s="33"/>
      <c r="Y179" s="58"/>
      <c r="Z179" s="58"/>
      <c r="AA179" s="33"/>
      <c r="AB179" s="33"/>
      <c r="AC179" s="33"/>
      <c r="AD179" s="33"/>
      <c r="AE179" s="33"/>
      <c r="AF179" s="33"/>
      <c r="AH179" s="16">
        <f t="shared" si="21"/>
        <v>0</v>
      </c>
      <c r="AI179" s="16">
        <f t="shared" si="22"/>
        <v>0</v>
      </c>
    </row>
    <row r="180" spans="1:35" ht="20.100000000000001" hidden="1" customHeight="1">
      <c r="A180" s="18" t="str">
        <f>ÖSSZES!$A$80</f>
        <v>Név9</v>
      </c>
      <c r="B180" s="58" t="s">
        <v>2</v>
      </c>
      <c r="C180" s="33"/>
      <c r="D180" s="33"/>
      <c r="E180" s="33"/>
      <c r="F180" s="33"/>
      <c r="G180" s="33"/>
      <c r="H180" s="33"/>
      <c r="I180" s="58" t="s">
        <v>2</v>
      </c>
      <c r="J180" s="58" t="s">
        <v>2</v>
      </c>
      <c r="K180" s="33"/>
      <c r="L180" s="33"/>
      <c r="M180" s="33"/>
      <c r="N180" s="33"/>
      <c r="O180" s="33"/>
      <c r="P180" s="33"/>
      <c r="Q180" s="58" t="s">
        <v>2</v>
      </c>
      <c r="R180" s="58" t="s">
        <v>2</v>
      </c>
      <c r="S180" s="33"/>
      <c r="T180" s="33"/>
      <c r="U180" s="60"/>
      <c r="V180" s="33"/>
      <c r="W180" s="33"/>
      <c r="X180" s="33"/>
      <c r="Y180" s="58" t="s">
        <v>2</v>
      </c>
      <c r="Z180" s="58" t="s">
        <v>2</v>
      </c>
      <c r="AA180" s="33"/>
      <c r="AB180" s="33"/>
      <c r="AC180" s="33"/>
      <c r="AD180" s="33"/>
      <c r="AE180" s="33"/>
      <c r="AF180" s="33"/>
      <c r="AH180" s="16">
        <f t="shared" si="21"/>
        <v>0</v>
      </c>
      <c r="AI180" s="16">
        <f t="shared" si="22"/>
        <v>0</v>
      </c>
    </row>
    <row r="181" spans="1:35" ht="20.100000000000001" hidden="1" customHeight="1">
      <c r="A181" s="18" t="str">
        <f>ÖSSZES!$A$81</f>
        <v>Név10</v>
      </c>
      <c r="B181" s="58" t="s">
        <v>2</v>
      </c>
      <c r="C181" s="33"/>
      <c r="D181" s="33"/>
      <c r="E181" s="33"/>
      <c r="F181" s="33"/>
      <c r="G181" s="33"/>
      <c r="H181" s="33"/>
      <c r="I181" s="58" t="s">
        <v>2</v>
      </c>
      <c r="J181" s="58" t="s">
        <v>2</v>
      </c>
      <c r="K181" s="33"/>
      <c r="L181" s="33"/>
      <c r="M181" s="33"/>
      <c r="N181" s="33"/>
      <c r="O181" s="33"/>
      <c r="P181" s="33"/>
      <c r="Q181" s="58" t="s">
        <v>2</v>
      </c>
      <c r="R181" s="58" t="s">
        <v>2</v>
      </c>
      <c r="S181" s="33"/>
      <c r="T181" s="33"/>
      <c r="U181" s="60"/>
      <c r="V181" s="33"/>
      <c r="W181" s="33"/>
      <c r="X181" s="33"/>
      <c r="Y181" s="58" t="s">
        <v>2</v>
      </c>
      <c r="Z181" s="58" t="s">
        <v>2</v>
      </c>
      <c r="AA181" s="33"/>
      <c r="AB181" s="33"/>
      <c r="AC181" s="33"/>
      <c r="AD181" s="33"/>
      <c r="AE181" s="33"/>
      <c r="AF181" s="33"/>
      <c r="AH181" s="16">
        <f t="shared" si="21"/>
        <v>0</v>
      </c>
      <c r="AI181" s="16">
        <f t="shared" si="22"/>
        <v>0</v>
      </c>
    </row>
    <row r="182" spans="1:35" ht="20.100000000000001" hidden="1" customHeight="1">
      <c r="A182" s="18" t="str">
        <f>ÖSSZES!$A$82</f>
        <v>Név11</v>
      </c>
      <c r="B182" s="58" t="s">
        <v>2</v>
      </c>
      <c r="C182" s="33"/>
      <c r="D182" s="33"/>
      <c r="E182" s="33"/>
      <c r="F182" s="33"/>
      <c r="G182" s="33"/>
      <c r="H182" s="33"/>
      <c r="I182" s="58" t="s">
        <v>2</v>
      </c>
      <c r="J182" s="58" t="s">
        <v>2</v>
      </c>
      <c r="K182" s="33"/>
      <c r="L182" s="33"/>
      <c r="M182" s="33"/>
      <c r="N182" s="33"/>
      <c r="O182" s="33"/>
      <c r="P182" s="33"/>
      <c r="Q182" s="58" t="s">
        <v>2</v>
      </c>
      <c r="R182" s="58" t="s">
        <v>2</v>
      </c>
      <c r="S182" s="33"/>
      <c r="T182" s="33"/>
      <c r="U182" s="60"/>
      <c r="V182" s="33"/>
      <c r="W182" s="33"/>
      <c r="X182" s="33"/>
      <c r="Y182" s="58" t="s">
        <v>2</v>
      </c>
      <c r="Z182" s="58" t="s">
        <v>2</v>
      </c>
      <c r="AA182" s="33"/>
      <c r="AB182" s="33"/>
      <c r="AC182" s="33"/>
      <c r="AD182" s="33"/>
      <c r="AE182" s="33"/>
      <c r="AF182" s="33"/>
      <c r="AH182" s="16">
        <f t="shared" si="21"/>
        <v>0</v>
      </c>
      <c r="AI182" s="16">
        <f t="shared" si="22"/>
        <v>0</v>
      </c>
    </row>
    <row r="183" spans="1:35" ht="20.100000000000001" hidden="1" customHeight="1">
      <c r="A183" s="18" t="str">
        <f>ÖSSZES!$A$83</f>
        <v>Név12</v>
      </c>
      <c r="B183" s="58" t="s">
        <v>2</v>
      </c>
      <c r="C183" s="33"/>
      <c r="D183" s="33"/>
      <c r="E183" s="33"/>
      <c r="F183" s="33"/>
      <c r="G183" s="33"/>
      <c r="H183" s="33"/>
      <c r="I183" s="58" t="s">
        <v>2</v>
      </c>
      <c r="J183" s="58" t="s">
        <v>2</v>
      </c>
      <c r="K183" s="33"/>
      <c r="L183" s="33"/>
      <c r="M183" s="33"/>
      <c r="N183" s="33"/>
      <c r="O183" s="33"/>
      <c r="P183" s="33"/>
      <c r="Q183" s="58" t="s">
        <v>2</v>
      </c>
      <c r="R183" s="58" t="s">
        <v>2</v>
      </c>
      <c r="S183" s="33"/>
      <c r="T183" s="33"/>
      <c r="U183" s="60"/>
      <c r="V183" s="33"/>
      <c r="W183" s="33"/>
      <c r="X183" s="33"/>
      <c r="Y183" s="58" t="s">
        <v>2</v>
      </c>
      <c r="Z183" s="58" t="s">
        <v>2</v>
      </c>
      <c r="AA183" s="33"/>
      <c r="AB183" s="33"/>
      <c r="AC183" s="33"/>
      <c r="AD183" s="33"/>
      <c r="AE183" s="33"/>
      <c r="AF183" s="33"/>
      <c r="AH183" s="16">
        <f t="shared" si="21"/>
        <v>0</v>
      </c>
      <c r="AI183" s="16">
        <f t="shared" si="22"/>
        <v>0</v>
      </c>
    </row>
    <row r="184" spans="1:35" ht="20.100000000000001" hidden="1" customHeight="1">
      <c r="A184" s="18" t="str">
        <f>ÖSSZES!$A$84</f>
        <v>Név13</v>
      </c>
      <c r="B184" s="58" t="s">
        <v>2</v>
      </c>
      <c r="C184" s="33"/>
      <c r="D184" s="33"/>
      <c r="E184" s="33"/>
      <c r="F184" s="33"/>
      <c r="G184" s="33"/>
      <c r="H184" s="33"/>
      <c r="I184" s="58" t="s">
        <v>2</v>
      </c>
      <c r="J184" s="58" t="s">
        <v>2</v>
      </c>
      <c r="K184" s="33"/>
      <c r="L184" s="33"/>
      <c r="M184" s="33"/>
      <c r="N184" s="33"/>
      <c r="O184" s="33"/>
      <c r="P184" s="33"/>
      <c r="Q184" s="58" t="s">
        <v>2</v>
      </c>
      <c r="R184" s="58" t="s">
        <v>2</v>
      </c>
      <c r="S184" s="33"/>
      <c r="T184" s="33"/>
      <c r="U184" s="60"/>
      <c r="V184" s="33"/>
      <c r="W184" s="33"/>
      <c r="X184" s="33"/>
      <c r="Y184" s="58" t="s">
        <v>2</v>
      </c>
      <c r="Z184" s="58" t="s">
        <v>2</v>
      </c>
      <c r="AA184" s="33"/>
      <c r="AB184" s="33"/>
      <c r="AC184" s="33"/>
      <c r="AD184" s="33"/>
      <c r="AE184" s="33"/>
      <c r="AF184" s="33"/>
      <c r="AH184" s="16">
        <f t="shared" si="21"/>
        <v>0</v>
      </c>
      <c r="AI184" s="16">
        <f t="shared" si="22"/>
        <v>0</v>
      </c>
    </row>
    <row r="185" spans="1:35" ht="20.100000000000001" hidden="1" customHeight="1">
      <c r="A185" s="18" t="str">
        <f>ÖSSZES!$A$85</f>
        <v>Név14</v>
      </c>
      <c r="B185" s="58" t="s">
        <v>2</v>
      </c>
      <c r="C185" s="33"/>
      <c r="D185" s="33"/>
      <c r="E185" s="33"/>
      <c r="F185" s="33"/>
      <c r="G185" s="33"/>
      <c r="H185" s="33"/>
      <c r="I185" s="58" t="s">
        <v>2</v>
      </c>
      <c r="J185" s="58" t="s">
        <v>2</v>
      </c>
      <c r="K185" s="33"/>
      <c r="L185" s="33"/>
      <c r="M185" s="33"/>
      <c r="N185" s="33"/>
      <c r="O185" s="33"/>
      <c r="P185" s="33"/>
      <c r="Q185" s="58" t="s">
        <v>2</v>
      </c>
      <c r="R185" s="58" t="s">
        <v>2</v>
      </c>
      <c r="S185" s="33"/>
      <c r="T185" s="33"/>
      <c r="U185" s="60"/>
      <c r="V185" s="33"/>
      <c r="W185" s="33"/>
      <c r="X185" s="33"/>
      <c r="Y185" s="58" t="s">
        <v>2</v>
      </c>
      <c r="Z185" s="58" t="s">
        <v>2</v>
      </c>
      <c r="AA185" s="33"/>
      <c r="AB185" s="33"/>
      <c r="AC185" s="33"/>
      <c r="AD185" s="33"/>
      <c r="AE185" s="33"/>
      <c r="AF185" s="33"/>
      <c r="AH185" s="16">
        <f t="shared" si="21"/>
        <v>0</v>
      </c>
      <c r="AI185" s="16">
        <f t="shared" si="22"/>
        <v>0</v>
      </c>
    </row>
    <row r="186" spans="1:35" ht="20.100000000000001" hidden="1" customHeight="1">
      <c r="A186" s="18" t="str">
        <f>ÖSSZES!$A$86</f>
        <v>Név15</v>
      </c>
      <c r="B186" s="58" t="s">
        <v>2</v>
      </c>
      <c r="C186" s="33"/>
      <c r="D186" s="33"/>
      <c r="E186" s="33"/>
      <c r="F186" s="33"/>
      <c r="G186" s="33"/>
      <c r="H186" s="33"/>
      <c r="I186" s="58" t="s">
        <v>2</v>
      </c>
      <c r="J186" s="58" t="s">
        <v>2</v>
      </c>
      <c r="K186" s="33"/>
      <c r="L186" s="33"/>
      <c r="M186" s="33"/>
      <c r="N186" s="33"/>
      <c r="O186" s="33"/>
      <c r="P186" s="33"/>
      <c r="Q186" s="58" t="s">
        <v>2</v>
      </c>
      <c r="R186" s="58" t="s">
        <v>2</v>
      </c>
      <c r="S186" s="33"/>
      <c r="T186" s="33"/>
      <c r="U186" s="60"/>
      <c r="V186" s="33"/>
      <c r="W186" s="33"/>
      <c r="X186" s="33"/>
      <c r="Y186" s="58" t="s">
        <v>2</v>
      </c>
      <c r="Z186" s="58" t="s">
        <v>2</v>
      </c>
      <c r="AA186" s="33"/>
      <c r="AB186" s="33"/>
      <c r="AC186" s="33"/>
      <c r="AD186" s="33"/>
      <c r="AE186" s="33"/>
      <c r="AF186" s="33"/>
      <c r="AH186" s="16">
        <f t="shared" si="21"/>
        <v>0</v>
      </c>
      <c r="AI186" s="16">
        <f t="shared" si="22"/>
        <v>0</v>
      </c>
    </row>
    <row r="187" spans="1:35" ht="20.100000000000001" hidden="1" customHeight="1">
      <c r="A187" s="18" t="str">
        <f>ÖSSZES!$A$87</f>
        <v>Név16</v>
      </c>
      <c r="B187" s="58" t="s">
        <v>2</v>
      </c>
      <c r="C187" s="33"/>
      <c r="D187" s="33"/>
      <c r="E187" s="33"/>
      <c r="F187" s="33"/>
      <c r="G187" s="33"/>
      <c r="H187" s="33"/>
      <c r="I187" s="58" t="s">
        <v>2</v>
      </c>
      <c r="J187" s="58" t="s">
        <v>2</v>
      </c>
      <c r="K187" s="33"/>
      <c r="L187" s="33"/>
      <c r="M187" s="33"/>
      <c r="N187" s="33"/>
      <c r="O187" s="33"/>
      <c r="P187" s="33"/>
      <c r="Q187" s="58" t="s">
        <v>2</v>
      </c>
      <c r="R187" s="58" t="s">
        <v>2</v>
      </c>
      <c r="S187" s="33"/>
      <c r="T187" s="33"/>
      <c r="U187" s="60"/>
      <c r="V187" s="33"/>
      <c r="W187" s="33"/>
      <c r="X187" s="33"/>
      <c r="Y187" s="58" t="s">
        <v>2</v>
      </c>
      <c r="Z187" s="58" t="s">
        <v>2</v>
      </c>
      <c r="AA187" s="33"/>
      <c r="AB187" s="33"/>
      <c r="AC187" s="33"/>
      <c r="AD187" s="33"/>
      <c r="AE187" s="33"/>
      <c r="AF187" s="33"/>
      <c r="AH187" s="16">
        <f t="shared" si="21"/>
        <v>0</v>
      </c>
      <c r="AI187" s="16">
        <f t="shared" si="22"/>
        <v>0</v>
      </c>
    </row>
    <row r="188" spans="1:35" ht="20.100000000000001" hidden="1" customHeight="1">
      <c r="A188" s="18" t="str">
        <f>ÖSSZES!$A$88</f>
        <v>Név17</v>
      </c>
      <c r="B188" s="58" t="s">
        <v>2</v>
      </c>
      <c r="C188" s="33"/>
      <c r="D188" s="33"/>
      <c r="E188" s="33"/>
      <c r="F188" s="33"/>
      <c r="G188" s="33"/>
      <c r="H188" s="33"/>
      <c r="I188" s="58" t="s">
        <v>2</v>
      </c>
      <c r="J188" s="58" t="s">
        <v>2</v>
      </c>
      <c r="K188" s="33"/>
      <c r="L188" s="33"/>
      <c r="M188" s="33"/>
      <c r="N188" s="33"/>
      <c r="O188" s="33"/>
      <c r="P188" s="33"/>
      <c r="Q188" s="58" t="s">
        <v>2</v>
      </c>
      <c r="R188" s="58" t="s">
        <v>2</v>
      </c>
      <c r="S188" s="33"/>
      <c r="T188" s="33"/>
      <c r="U188" s="60"/>
      <c r="V188" s="33"/>
      <c r="W188" s="33"/>
      <c r="X188" s="33"/>
      <c r="Y188" s="58" t="s">
        <v>2</v>
      </c>
      <c r="Z188" s="58" t="s">
        <v>2</v>
      </c>
      <c r="AA188" s="33"/>
      <c r="AB188" s="33"/>
      <c r="AC188" s="33"/>
      <c r="AD188" s="33"/>
      <c r="AE188" s="33"/>
      <c r="AF188" s="33"/>
      <c r="AH188" s="16">
        <f t="shared" si="21"/>
        <v>0</v>
      </c>
      <c r="AI188" s="16">
        <f t="shared" si="22"/>
        <v>0</v>
      </c>
    </row>
    <row r="189" spans="1:35" ht="20.100000000000001" hidden="1" customHeight="1">
      <c r="A189" s="18" t="str">
        <f>ÖSSZES!$A$89</f>
        <v>Név18</v>
      </c>
      <c r="B189" s="58" t="s">
        <v>2</v>
      </c>
      <c r="C189" s="33"/>
      <c r="D189" s="33"/>
      <c r="E189" s="33"/>
      <c r="F189" s="33"/>
      <c r="G189" s="33"/>
      <c r="H189" s="33"/>
      <c r="I189" s="58" t="s">
        <v>2</v>
      </c>
      <c r="J189" s="58" t="s">
        <v>2</v>
      </c>
      <c r="K189" s="33"/>
      <c r="L189" s="33"/>
      <c r="M189" s="33"/>
      <c r="N189" s="33"/>
      <c r="O189" s="33"/>
      <c r="P189" s="33"/>
      <c r="Q189" s="58" t="s">
        <v>2</v>
      </c>
      <c r="R189" s="58" t="s">
        <v>2</v>
      </c>
      <c r="S189" s="33"/>
      <c r="T189" s="33"/>
      <c r="U189" s="60"/>
      <c r="V189" s="33"/>
      <c r="W189" s="33"/>
      <c r="X189" s="33"/>
      <c r="Y189" s="58" t="s">
        <v>2</v>
      </c>
      <c r="Z189" s="58" t="s">
        <v>2</v>
      </c>
      <c r="AA189" s="33"/>
      <c r="AB189" s="33"/>
      <c r="AC189" s="33"/>
      <c r="AD189" s="33"/>
      <c r="AE189" s="33"/>
      <c r="AF189" s="33"/>
      <c r="AH189" s="16">
        <f t="shared" si="21"/>
        <v>0</v>
      </c>
      <c r="AI189" s="16">
        <f t="shared" si="22"/>
        <v>0</v>
      </c>
    </row>
    <row r="190" spans="1:35" ht="20.100000000000001" hidden="1" customHeight="1">
      <c r="A190" s="18" t="str">
        <f>ÖSSZES!$A$90</f>
        <v>Név19</v>
      </c>
      <c r="B190" s="58" t="s">
        <v>2</v>
      </c>
      <c r="C190" s="33"/>
      <c r="D190" s="33"/>
      <c r="E190" s="33"/>
      <c r="F190" s="33"/>
      <c r="G190" s="33"/>
      <c r="H190" s="33"/>
      <c r="I190" s="58" t="s">
        <v>2</v>
      </c>
      <c r="J190" s="58" t="s">
        <v>2</v>
      </c>
      <c r="K190" s="33"/>
      <c r="L190" s="33"/>
      <c r="M190" s="33"/>
      <c r="N190" s="33"/>
      <c r="O190" s="33"/>
      <c r="P190" s="33"/>
      <c r="Q190" s="58" t="s">
        <v>2</v>
      </c>
      <c r="R190" s="58" t="s">
        <v>2</v>
      </c>
      <c r="S190" s="33"/>
      <c r="T190" s="33"/>
      <c r="U190" s="60"/>
      <c r="V190" s="33"/>
      <c r="W190" s="33"/>
      <c r="X190" s="33"/>
      <c r="Y190" s="58" t="s">
        <v>2</v>
      </c>
      <c r="Z190" s="58" t="s">
        <v>2</v>
      </c>
      <c r="AA190" s="33"/>
      <c r="AB190" s="33"/>
      <c r="AC190" s="33"/>
      <c r="AD190" s="33"/>
      <c r="AE190" s="33"/>
      <c r="AF190" s="33"/>
      <c r="AH190" s="16">
        <f t="shared" si="21"/>
        <v>0</v>
      </c>
      <c r="AI190" s="16">
        <f t="shared" si="22"/>
        <v>0</v>
      </c>
    </row>
    <row r="191" spans="1:35" ht="20.100000000000001" hidden="1" customHeight="1">
      <c r="A191" s="18" t="str">
        <f>ÖSSZES!$A$91</f>
        <v>Név20</v>
      </c>
      <c r="B191" s="58" t="s">
        <v>2</v>
      </c>
      <c r="C191" s="33"/>
      <c r="D191" s="33"/>
      <c r="E191" s="33"/>
      <c r="F191" s="33"/>
      <c r="G191" s="33"/>
      <c r="H191" s="33"/>
      <c r="I191" s="58" t="s">
        <v>2</v>
      </c>
      <c r="J191" s="58" t="s">
        <v>2</v>
      </c>
      <c r="K191" s="33"/>
      <c r="L191" s="33"/>
      <c r="M191" s="33"/>
      <c r="N191" s="33"/>
      <c r="O191" s="33"/>
      <c r="P191" s="33"/>
      <c r="Q191" s="58" t="s">
        <v>2</v>
      </c>
      <c r="R191" s="58" t="s">
        <v>2</v>
      </c>
      <c r="S191" s="33"/>
      <c r="T191" s="33"/>
      <c r="U191" s="60"/>
      <c r="V191" s="33"/>
      <c r="W191" s="33"/>
      <c r="X191" s="33"/>
      <c r="Y191" s="58" t="s">
        <v>2</v>
      </c>
      <c r="Z191" s="58" t="s">
        <v>2</v>
      </c>
      <c r="AA191" s="33"/>
      <c r="AB191" s="33"/>
      <c r="AC191" s="33"/>
      <c r="AD191" s="33"/>
      <c r="AE191" s="33"/>
      <c r="AF191" s="33"/>
      <c r="AH191" s="16">
        <f t="shared" si="21"/>
        <v>0</v>
      </c>
      <c r="AI191" s="16">
        <f t="shared" si="22"/>
        <v>0</v>
      </c>
    </row>
    <row r="192" spans="1:35" ht="20.100000000000001" customHeight="1"/>
    <row r="193" spans="1:35" s="6" customFormat="1" ht="20.100000000000001" customHeight="1">
      <c r="A193" s="91" t="s">
        <v>13</v>
      </c>
      <c r="B193" s="17">
        <v>1</v>
      </c>
      <c r="C193" s="17">
        <v>2</v>
      </c>
      <c r="D193" s="17">
        <v>3</v>
      </c>
      <c r="E193" s="17">
        <v>4</v>
      </c>
      <c r="F193" s="17">
        <v>5</v>
      </c>
      <c r="G193" s="17">
        <v>6</v>
      </c>
      <c r="H193" s="17">
        <v>7</v>
      </c>
      <c r="I193" s="17">
        <v>8</v>
      </c>
      <c r="J193" s="17">
        <v>9</v>
      </c>
      <c r="K193" s="17">
        <v>10</v>
      </c>
      <c r="L193" s="17">
        <v>11</v>
      </c>
      <c r="M193" s="17">
        <v>12</v>
      </c>
      <c r="N193" s="17">
        <v>13</v>
      </c>
      <c r="O193" s="17">
        <v>14</v>
      </c>
      <c r="P193" s="17">
        <v>15</v>
      </c>
      <c r="Q193" s="17">
        <v>16</v>
      </c>
      <c r="R193" s="17">
        <v>17</v>
      </c>
      <c r="S193" s="17">
        <v>18</v>
      </c>
      <c r="T193" s="17">
        <v>19</v>
      </c>
      <c r="U193" s="17">
        <v>20</v>
      </c>
      <c r="V193" s="17">
        <v>21</v>
      </c>
      <c r="W193" s="17">
        <v>22</v>
      </c>
      <c r="X193" s="17">
        <v>23</v>
      </c>
      <c r="Y193" s="17">
        <v>24</v>
      </c>
      <c r="Z193" s="17">
        <v>25</v>
      </c>
      <c r="AA193" s="17">
        <v>26</v>
      </c>
      <c r="AB193" s="17">
        <v>27</v>
      </c>
      <c r="AC193" s="17">
        <v>28</v>
      </c>
      <c r="AD193" s="17">
        <v>29</v>
      </c>
      <c r="AE193" s="17">
        <v>30</v>
      </c>
      <c r="AH193" s="93" t="s">
        <v>18</v>
      </c>
      <c r="AI193" s="93" t="s">
        <v>19</v>
      </c>
    </row>
    <row r="194" spans="1:35" ht="20.100000000000001" customHeight="1">
      <c r="A194" s="96"/>
      <c r="B194" s="10" t="str">
        <f>'2020'!B68</f>
        <v>K</v>
      </c>
      <c r="C194" s="10" t="str">
        <f>'2020'!C68</f>
        <v>Sze</v>
      </c>
      <c r="D194" s="10" t="str">
        <f>'2020'!D68</f>
        <v>Cs</v>
      </c>
      <c r="E194" s="10" t="str">
        <f>'2020'!E68</f>
        <v>P</v>
      </c>
      <c r="F194" s="10" t="str">
        <f>'2020'!F68</f>
        <v>Szo</v>
      </c>
      <c r="G194" s="10" t="str">
        <f>'2020'!G68</f>
        <v>V</v>
      </c>
      <c r="H194" s="10" t="str">
        <f>'2020'!H68</f>
        <v>H</v>
      </c>
      <c r="I194" s="10" t="str">
        <f>'2020'!I68</f>
        <v>K</v>
      </c>
      <c r="J194" s="10" t="str">
        <f>'2020'!J68</f>
        <v>Sze</v>
      </c>
      <c r="K194" s="10" t="str">
        <f>'2020'!K68</f>
        <v>Cs</v>
      </c>
      <c r="L194" s="10" t="str">
        <f>'2020'!L68</f>
        <v>P</v>
      </c>
      <c r="M194" s="10" t="str">
        <f>'2020'!M68</f>
        <v>Szo</v>
      </c>
      <c r="N194" s="10" t="str">
        <f>'2020'!N68</f>
        <v>V</v>
      </c>
      <c r="O194" s="10" t="str">
        <f>'2020'!O68</f>
        <v>H</v>
      </c>
      <c r="P194" s="10" t="str">
        <f>'2020'!P68</f>
        <v>K</v>
      </c>
      <c r="Q194" s="10" t="str">
        <f>'2020'!Q68</f>
        <v>Sze</v>
      </c>
      <c r="R194" s="10" t="str">
        <f>'2020'!R68</f>
        <v>Cs</v>
      </c>
      <c r="S194" s="10" t="str">
        <f>'2020'!S68</f>
        <v>P</v>
      </c>
      <c r="T194" s="10" t="str">
        <f>'2020'!T68</f>
        <v>Szo</v>
      </c>
      <c r="U194" s="10" t="str">
        <f>'2020'!U68</f>
        <v>V</v>
      </c>
      <c r="V194" s="10" t="str">
        <f>'2020'!V68</f>
        <v>H</v>
      </c>
      <c r="W194" s="10" t="str">
        <f>'2020'!W68</f>
        <v>K</v>
      </c>
      <c r="X194" s="10" t="str">
        <f>'2020'!X68</f>
        <v>Sze</v>
      </c>
      <c r="Y194" s="10" t="str">
        <f>'2020'!Y68</f>
        <v>Cs</v>
      </c>
      <c r="Z194" s="10" t="str">
        <f>'2020'!Z68</f>
        <v>P</v>
      </c>
      <c r="AA194" s="10" t="str">
        <f>'2020'!AA68</f>
        <v>Szo</v>
      </c>
      <c r="AB194" s="10" t="str">
        <f>'2020'!AB68</f>
        <v>V</v>
      </c>
      <c r="AC194" s="10" t="str">
        <f>'2020'!AC68</f>
        <v>H</v>
      </c>
      <c r="AD194" s="10" t="str">
        <f>'2020'!AD68</f>
        <v>K</v>
      </c>
      <c r="AE194" s="10" t="str">
        <f>'2020'!AE68</f>
        <v>Sze</v>
      </c>
      <c r="AF194" s="1"/>
      <c r="AH194" s="94"/>
      <c r="AI194" s="94"/>
    </row>
    <row r="195" spans="1:35" ht="20.100000000000001" customHeight="1">
      <c r="A195" s="96"/>
      <c r="B195" s="10" t="str">
        <f>'2020'!B72</f>
        <v>X</v>
      </c>
      <c r="C195" s="10" t="str">
        <f>'2020'!C72</f>
        <v>X</v>
      </c>
      <c r="D195" s="10">
        <f>'2020'!D72</f>
        <v>1</v>
      </c>
      <c r="E195" s="10">
        <f>'2020'!E72</f>
        <v>1</v>
      </c>
      <c r="F195" s="10">
        <f>'2020'!F72</f>
        <v>1</v>
      </c>
      <c r="G195" s="10">
        <f>'2020'!G72</f>
        <v>1</v>
      </c>
      <c r="H195" s="10">
        <f>'2020'!H72</f>
        <v>1</v>
      </c>
      <c r="I195" s="10">
        <f>'2020'!I72</f>
        <v>1</v>
      </c>
      <c r="J195" s="10" t="str">
        <f>'2020'!J72</f>
        <v>X</v>
      </c>
      <c r="K195" s="10" t="str">
        <f>'2020'!K72</f>
        <v>X</v>
      </c>
      <c r="L195" s="10">
        <f>'2020'!L72</f>
        <v>3</v>
      </c>
      <c r="M195" s="10">
        <f>'2020'!M72</f>
        <v>3</v>
      </c>
      <c r="N195" s="10">
        <f>'2020'!N72</f>
        <v>3</v>
      </c>
      <c r="O195" s="10">
        <f>'2020'!O72</f>
        <v>3</v>
      </c>
      <c r="P195" s="10">
        <f>'2020'!P72</f>
        <v>3</v>
      </c>
      <c r="Q195" s="10">
        <f>'2020'!Q72</f>
        <v>3</v>
      </c>
      <c r="R195" s="10" t="str">
        <f>'2020'!R72</f>
        <v>X</v>
      </c>
      <c r="S195" s="10" t="str">
        <f>'2020'!S72</f>
        <v>X</v>
      </c>
      <c r="T195" s="10">
        <f>'2020'!T72</f>
        <v>2</v>
      </c>
      <c r="U195" s="10">
        <f>'2020'!U72</f>
        <v>2</v>
      </c>
      <c r="V195" s="10">
        <f>'2020'!V72</f>
        <v>2</v>
      </c>
      <c r="W195" s="10">
        <f>'2020'!W72</f>
        <v>2</v>
      </c>
      <c r="X195" s="10">
        <f>'2020'!X72</f>
        <v>2</v>
      </c>
      <c r="Y195" s="10">
        <f>'2020'!Y72</f>
        <v>2</v>
      </c>
      <c r="Z195" s="10" t="str">
        <f>'2020'!Z72</f>
        <v>X</v>
      </c>
      <c r="AA195" s="10" t="str">
        <f>'2020'!AA72</f>
        <v>X</v>
      </c>
      <c r="AB195" s="10">
        <f>'2020'!AB72</f>
        <v>1</v>
      </c>
      <c r="AC195" s="10">
        <f>'2020'!AC72</f>
        <v>1</v>
      </c>
      <c r="AD195" s="10">
        <f>'2020'!AD72</f>
        <v>1</v>
      </c>
      <c r="AE195" s="10">
        <f>'2020'!AE72</f>
        <v>1</v>
      </c>
      <c r="AF195" s="1"/>
      <c r="AH195" s="94"/>
      <c r="AI195" s="94"/>
    </row>
    <row r="196" spans="1:35" ht="20.100000000000001" customHeight="1">
      <c r="A196" s="18" t="str">
        <f>ÖSSZES!$A$72</f>
        <v>Daku Gábor</v>
      </c>
      <c r="B196" s="58" t="str">
        <f>[1]D!B92</f>
        <v>X</v>
      </c>
      <c r="C196" s="58" t="str">
        <f>[1]D!C92</f>
        <v>X</v>
      </c>
      <c r="D196" s="31">
        <f>[1]D!D92</f>
        <v>1</v>
      </c>
      <c r="E196" s="31">
        <f>[1]D!E92</f>
        <v>1</v>
      </c>
      <c r="F196" s="31">
        <f>[1]D!F92</f>
        <v>1</v>
      </c>
      <c r="G196" s="31">
        <f>[1]D!G92</f>
        <v>1</v>
      </c>
      <c r="H196" s="33">
        <f>[1]D!H92</f>
        <v>1</v>
      </c>
      <c r="I196" s="33">
        <f>[1]D!I92</f>
        <v>1</v>
      </c>
      <c r="J196" s="58" t="str">
        <f>[1]D!J92</f>
        <v>X</v>
      </c>
      <c r="K196" s="58" t="str">
        <f>[1]D!K92</f>
        <v>X</v>
      </c>
      <c r="L196" s="31">
        <f>[1]D!L92</f>
        <v>3</v>
      </c>
      <c r="M196" s="31">
        <f>[1]D!M92</f>
        <v>3</v>
      </c>
      <c r="N196" s="31">
        <f>[1]D!N92</f>
        <v>3</v>
      </c>
      <c r="O196" s="31">
        <f>[1]D!O92</f>
        <v>3</v>
      </c>
      <c r="P196" s="33">
        <f>[1]D!P92</f>
        <v>3</v>
      </c>
      <c r="Q196" s="33">
        <f>[1]D!Q92</f>
        <v>3</v>
      </c>
      <c r="R196" s="58" t="str">
        <f>[1]D!R92</f>
        <v>X</v>
      </c>
      <c r="S196" s="58" t="str">
        <f>[1]D!S92</f>
        <v>X</v>
      </c>
      <c r="T196" s="31">
        <f>[1]D!T92</f>
        <v>2</v>
      </c>
      <c r="U196" s="31">
        <f>[1]D!U92</f>
        <v>2</v>
      </c>
      <c r="V196" s="31">
        <f>[1]D!V92</f>
        <v>2</v>
      </c>
      <c r="W196" s="31">
        <f>[1]D!W92</f>
        <v>2</v>
      </c>
      <c r="X196" s="33">
        <f>[1]D!X92</f>
        <v>2</v>
      </c>
      <c r="Y196" s="33">
        <f>[1]D!Y92</f>
        <v>2</v>
      </c>
      <c r="Z196" s="58" t="str">
        <f>[1]D!Z92</f>
        <v>X</v>
      </c>
      <c r="AA196" s="58" t="str">
        <f>[1]D!AA92</f>
        <v>X</v>
      </c>
      <c r="AB196" s="31">
        <f>[1]D!AB92</f>
        <v>1</v>
      </c>
      <c r="AC196" s="31">
        <f>[1]D!AC92</f>
        <v>1</v>
      </c>
      <c r="AD196" s="31">
        <f>[1]D!AD92</f>
        <v>1</v>
      </c>
      <c r="AE196" s="31">
        <f>[1]D!AE92</f>
        <v>1</v>
      </c>
      <c r="AF196" s="1"/>
      <c r="AH196" s="16">
        <f>1*COUNTIF(A196:AF196,"+")</f>
        <v>0</v>
      </c>
      <c r="AI196" s="16">
        <f t="shared" ref="AI196" si="23">1*COUNTIF(B196:AF196,"szf")</f>
        <v>0</v>
      </c>
    </row>
    <row r="197" spans="1:35" ht="20.100000000000001" customHeight="1">
      <c r="A197" s="18" t="str">
        <f>ÖSSZES!$A$73</f>
        <v>Borbély Csaba</v>
      </c>
      <c r="B197" s="58" t="str">
        <f>[1]D!B93</f>
        <v>X</v>
      </c>
      <c r="C197" s="58" t="str">
        <f>[1]D!C93</f>
        <v>X</v>
      </c>
      <c r="D197" s="31">
        <f>[1]D!D93</f>
        <v>1</v>
      </c>
      <c r="E197" s="31">
        <f>[1]D!E93</f>
        <v>1</v>
      </c>
      <c r="F197" s="31">
        <f>[1]D!F93</f>
        <v>1</v>
      </c>
      <c r="G197" s="31">
        <f>[1]D!G93</f>
        <v>1</v>
      </c>
      <c r="H197" s="33">
        <f>[1]D!H93</f>
        <v>1</v>
      </c>
      <c r="I197" s="33">
        <f>[1]D!I93</f>
        <v>1</v>
      </c>
      <c r="J197" s="58" t="str">
        <f>[1]D!J93</f>
        <v>X</v>
      </c>
      <c r="K197" s="58" t="str">
        <f>[1]D!K93</f>
        <v>X</v>
      </c>
      <c r="L197" s="31">
        <f>[1]D!L93</f>
        <v>3</v>
      </c>
      <c r="M197" s="31">
        <f>[1]D!M93</f>
        <v>3</v>
      </c>
      <c r="N197" s="31">
        <f>[1]D!N93</f>
        <v>3</v>
      </c>
      <c r="O197" s="31">
        <f>[1]D!O93</f>
        <v>3</v>
      </c>
      <c r="P197" s="33">
        <f>[1]D!P93</f>
        <v>3</v>
      </c>
      <c r="Q197" s="33">
        <f>[1]D!Q93</f>
        <v>3</v>
      </c>
      <c r="R197" s="58" t="str">
        <f>[1]D!R93</f>
        <v>X</v>
      </c>
      <c r="S197" s="58" t="str">
        <f>[1]D!S93</f>
        <v>X</v>
      </c>
      <c r="T197" s="31">
        <f>[1]D!T93</f>
        <v>2</v>
      </c>
      <c r="U197" s="31">
        <f>[1]D!U93</f>
        <v>2</v>
      </c>
      <c r="V197" s="31">
        <f>[1]D!V93</f>
        <v>2</v>
      </c>
      <c r="W197" s="31">
        <f>[1]D!W93</f>
        <v>2</v>
      </c>
      <c r="X197" s="33">
        <f>[1]D!X93</f>
        <v>2</v>
      </c>
      <c r="Y197" s="33">
        <f>[1]D!Y93</f>
        <v>2</v>
      </c>
      <c r="Z197" s="58" t="str">
        <f>[1]D!Z93</f>
        <v>X</v>
      </c>
      <c r="AA197" s="58" t="str">
        <f>[1]D!AA93</f>
        <v>X</v>
      </c>
      <c r="AB197" s="31">
        <f>[1]D!AB93</f>
        <v>1</v>
      </c>
      <c r="AC197" s="31">
        <f>[1]D!AC93</f>
        <v>1</v>
      </c>
      <c r="AD197" s="31">
        <f>[1]D!AD93</f>
        <v>1</v>
      </c>
      <c r="AE197" s="31">
        <f>[1]D!AE93</f>
        <v>1</v>
      </c>
      <c r="AF197" s="1"/>
      <c r="AH197" s="16">
        <f t="shared" ref="AH197:AH215" si="24">1*COUNTIF(A197:AF197,"+")</f>
        <v>0</v>
      </c>
      <c r="AI197" s="16">
        <f t="shared" ref="AI197:AI215" si="25">1*COUNTIF(B197:AF197,"szf")</f>
        <v>0</v>
      </c>
    </row>
    <row r="198" spans="1:35" ht="20.100000000000001" customHeight="1">
      <c r="A198" s="18" t="str">
        <f>ÖSSZES!$A$74</f>
        <v>Erdei Bálint</v>
      </c>
      <c r="B198" s="58" t="str">
        <f>[1]D!B94</f>
        <v>X</v>
      </c>
      <c r="C198" s="58" t="str">
        <f>[1]D!C94</f>
        <v>X</v>
      </c>
      <c r="D198" s="31">
        <f>[1]D!D94</f>
        <v>1</v>
      </c>
      <c r="E198" s="31">
        <f>[1]D!E94</f>
        <v>1</v>
      </c>
      <c r="F198" s="31">
        <f>[1]D!F94</f>
        <v>1</v>
      </c>
      <c r="G198" s="31">
        <f>[1]D!G94</f>
        <v>1</v>
      </c>
      <c r="H198" s="33">
        <f>[1]D!H94</f>
        <v>1</v>
      </c>
      <c r="I198" s="33">
        <f>[1]D!I94</f>
        <v>1</v>
      </c>
      <c r="J198" s="58" t="str">
        <f>[1]D!J94</f>
        <v>X</v>
      </c>
      <c r="K198" s="58" t="str">
        <f>[1]D!K94</f>
        <v>X</v>
      </c>
      <c r="L198" s="31">
        <f>[1]D!L94</f>
        <v>3</v>
      </c>
      <c r="M198" s="31">
        <f>[1]D!M94</f>
        <v>3</v>
      </c>
      <c r="N198" s="31">
        <f>[1]D!N94</f>
        <v>3</v>
      </c>
      <c r="O198" s="31">
        <f>[1]D!O94</f>
        <v>3</v>
      </c>
      <c r="P198" s="33">
        <f>[1]D!P94</f>
        <v>3</v>
      </c>
      <c r="Q198" s="33">
        <f>[1]D!Q94</f>
        <v>3</v>
      </c>
      <c r="R198" s="58" t="str">
        <f>[1]D!R94</f>
        <v>X</v>
      </c>
      <c r="S198" s="58" t="str">
        <f>[1]D!S94</f>
        <v>X</v>
      </c>
      <c r="T198" s="31">
        <f>[1]D!T94</f>
        <v>2</v>
      </c>
      <c r="U198" s="31">
        <f>[1]D!U94</f>
        <v>2</v>
      </c>
      <c r="V198" s="31">
        <f>[1]D!V94</f>
        <v>2</v>
      </c>
      <c r="W198" s="31">
        <f>[1]D!W94</f>
        <v>2</v>
      </c>
      <c r="X198" s="33">
        <f>[1]D!X94</f>
        <v>2</v>
      </c>
      <c r="Y198" s="33">
        <f>[1]D!Y94</f>
        <v>2</v>
      </c>
      <c r="Z198" s="58" t="str">
        <f>[1]D!Z94</f>
        <v>X</v>
      </c>
      <c r="AA198" s="58" t="str">
        <f>[1]D!AA94</f>
        <v>X</v>
      </c>
      <c r="AB198" s="31">
        <f>[1]D!AB94</f>
        <v>1</v>
      </c>
      <c r="AC198" s="31">
        <f>[1]D!AC94</f>
        <v>1</v>
      </c>
      <c r="AD198" s="31">
        <f>[1]D!AD94</f>
        <v>1</v>
      </c>
      <c r="AE198" s="31">
        <f>[1]D!AE94</f>
        <v>1</v>
      </c>
      <c r="AF198" s="1"/>
      <c r="AH198" s="16">
        <f t="shared" si="24"/>
        <v>0</v>
      </c>
      <c r="AI198" s="16">
        <f t="shared" si="25"/>
        <v>0</v>
      </c>
    </row>
    <row r="199" spans="1:35" ht="20.100000000000001" customHeight="1">
      <c r="A199" s="18" t="str">
        <f>ÖSSZES!$A$75</f>
        <v>Fábián Gábor</v>
      </c>
      <c r="B199" s="58" t="str">
        <f>[1]D!B95</f>
        <v>X</v>
      </c>
      <c r="C199" s="58" t="str">
        <f>[1]D!C95</f>
        <v>X</v>
      </c>
      <c r="D199" s="31">
        <f>[1]D!D95</f>
        <v>1</v>
      </c>
      <c r="E199" s="31">
        <f>[1]D!E95</f>
        <v>1</v>
      </c>
      <c r="F199" s="31">
        <f>[1]D!F95</f>
        <v>1</v>
      </c>
      <c r="G199" s="31">
        <f>[1]D!G95</f>
        <v>1</v>
      </c>
      <c r="H199" s="33">
        <f>[1]D!H95</f>
        <v>1</v>
      </c>
      <c r="I199" s="33">
        <f>[1]D!I95</f>
        <v>1</v>
      </c>
      <c r="J199" s="58" t="str">
        <f>[1]D!J95</f>
        <v>X</v>
      </c>
      <c r="K199" s="58" t="str">
        <f>[1]D!K95</f>
        <v>X</v>
      </c>
      <c r="L199" s="31">
        <f>[1]D!L95</f>
        <v>3</v>
      </c>
      <c r="M199" s="31">
        <f>[1]D!M95</f>
        <v>3</v>
      </c>
      <c r="N199" s="31">
        <f>[1]D!N95</f>
        <v>3</v>
      </c>
      <c r="O199" s="31">
        <f>[1]D!O95</f>
        <v>3</v>
      </c>
      <c r="P199" s="33">
        <f>[1]D!P95</f>
        <v>3</v>
      </c>
      <c r="Q199" s="33">
        <f>[1]D!Q95</f>
        <v>3</v>
      </c>
      <c r="R199" s="58" t="str">
        <f>[1]D!R95</f>
        <v>X</v>
      </c>
      <c r="S199" s="58" t="str">
        <f>[1]D!S95</f>
        <v>X</v>
      </c>
      <c r="T199" s="31">
        <f>[1]D!T95</f>
        <v>2</v>
      </c>
      <c r="U199" s="31">
        <f>[1]D!U95</f>
        <v>2</v>
      </c>
      <c r="V199" s="31">
        <f>[1]D!V95</f>
        <v>2</v>
      </c>
      <c r="W199" s="31">
        <f>[1]D!W95</f>
        <v>2</v>
      </c>
      <c r="X199" s="33">
        <f>[1]D!X95</f>
        <v>2</v>
      </c>
      <c r="Y199" s="33">
        <f>[1]D!Y95</f>
        <v>2</v>
      </c>
      <c r="Z199" s="58" t="str">
        <f>[1]D!Z95</f>
        <v>X</v>
      </c>
      <c r="AA199" s="58" t="str">
        <f>[1]D!AA95</f>
        <v>X</v>
      </c>
      <c r="AB199" s="31">
        <f>[1]D!AB95</f>
        <v>1</v>
      </c>
      <c r="AC199" s="31">
        <f>[1]D!AC95</f>
        <v>1</v>
      </c>
      <c r="AD199" s="31">
        <f>[1]D!AD95</f>
        <v>1</v>
      </c>
      <c r="AE199" s="31">
        <f>[1]D!AE95</f>
        <v>1</v>
      </c>
      <c r="AF199" s="1"/>
      <c r="AH199" s="16">
        <f t="shared" si="24"/>
        <v>0</v>
      </c>
      <c r="AI199" s="16">
        <f t="shared" si="25"/>
        <v>0</v>
      </c>
    </row>
    <row r="200" spans="1:35" ht="20.100000000000001" customHeight="1">
      <c r="A200" s="18" t="str">
        <f>ÖSSZES!$A$76</f>
        <v>Gellei Zsolt</v>
      </c>
      <c r="B200" s="58" t="str">
        <f>[1]D!B96</f>
        <v>X</v>
      </c>
      <c r="C200" s="58" t="str">
        <f>[1]D!C96</f>
        <v>X</v>
      </c>
      <c r="D200" s="31">
        <f>[1]D!D96</f>
        <v>1</v>
      </c>
      <c r="E200" s="31">
        <f>[1]D!E96</f>
        <v>1</v>
      </c>
      <c r="F200" s="31">
        <f>[1]D!F96</f>
        <v>1</v>
      </c>
      <c r="G200" s="31">
        <f>[1]D!G96</f>
        <v>1</v>
      </c>
      <c r="H200" s="33">
        <f>[1]D!H96</f>
        <v>1</v>
      </c>
      <c r="I200" s="33">
        <f>[1]D!I96</f>
        <v>1</v>
      </c>
      <c r="J200" s="58" t="str">
        <f>[1]D!J96</f>
        <v>X</v>
      </c>
      <c r="K200" s="58" t="str">
        <f>[1]D!K96</f>
        <v>X</v>
      </c>
      <c r="L200" s="31">
        <f>[1]D!L96</f>
        <v>3</v>
      </c>
      <c r="M200" s="31">
        <f>[1]D!M96</f>
        <v>3</v>
      </c>
      <c r="N200" s="31">
        <f>[1]D!N96</f>
        <v>3</v>
      </c>
      <c r="O200" s="31">
        <f>[1]D!O96</f>
        <v>3</v>
      </c>
      <c r="P200" s="33">
        <f>[1]D!P96</f>
        <v>3</v>
      </c>
      <c r="Q200" s="33">
        <f>[1]D!Q96</f>
        <v>3</v>
      </c>
      <c r="R200" s="58" t="str">
        <f>[1]D!R96</f>
        <v>X</v>
      </c>
      <c r="S200" s="58" t="str">
        <f>[1]D!S96</f>
        <v>X</v>
      </c>
      <c r="T200" s="31">
        <f>[1]D!T96</f>
        <v>2</v>
      </c>
      <c r="U200" s="31">
        <f>[1]D!U96</f>
        <v>2</v>
      </c>
      <c r="V200" s="31">
        <f>[1]D!V96</f>
        <v>2</v>
      </c>
      <c r="W200" s="31">
        <f>[1]D!W96</f>
        <v>2</v>
      </c>
      <c r="X200" s="33">
        <f>[1]D!X96</f>
        <v>2</v>
      </c>
      <c r="Y200" s="33">
        <f>[1]D!Y96</f>
        <v>2</v>
      </c>
      <c r="Z200" s="58" t="str">
        <f>[1]D!Z96</f>
        <v>X</v>
      </c>
      <c r="AA200" s="58" t="str">
        <f>[1]D!AA96</f>
        <v>X</v>
      </c>
      <c r="AB200" s="31">
        <f>[1]D!AB96</f>
        <v>1</v>
      </c>
      <c r="AC200" s="31">
        <f>[1]D!AC96</f>
        <v>1</v>
      </c>
      <c r="AD200" s="31">
        <f>[1]D!AD96</f>
        <v>1</v>
      </c>
      <c r="AE200" s="31">
        <f>[1]D!AE96</f>
        <v>1</v>
      </c>
      <c r="AF200" s="1"/>
      <c r="AH200" s="16">
        <f t="shared" si="24"/>
        <v>0</v>
      </c>
      <c r="AI200" s="16">
        <f t="shared" si="25"/>
        <v>0</v>
      </c>
    </row>
    <row r="201" spans="1:35" ht="20.100000000000001" customHeight="1">
      <c r="A201" s="18" t="str">
        <f>ÖSSZES!$A$77</f>
        <v>Kiss Gyula</v>
      </c>
      <c r="B201" s="58" t="str">
        <f>[1]D!B97</f>
        <v>X</v>
      </c>
      <c r="C201" s="58" t="str">
        <f>[1]D!C97</f>
        <v>X</v>
      </c>
      <c r="D201" s="31">
        <f>[1]D!D97</f>
        <v>1</v>
      </c>
      <c r="E201" s="31">
        <f>[1]D!E97</f>
        <v>1</v>
      </c>
      <c r="F201" s="31">
        <f>[1]D!F97</f>
        <v>1</v>
      </c>
      <c r="G201" s="31">
        <f>[1]D!G97</f>
        <v>1</v>
      </c>
      <c r="H201" s="33">
        <f>[1]D!H97</f>
        <v>1</v>
      </c>
      <c r="I201" s="33">
        <f>[1]D!I97</f>
        <v>1</v>
      </c>
      <c r="J201" s="58" t="str">
        <f>[1]D!J97</f>
        <v>X</v>
      </c>
      <c r="K201" s="58" t="str">
        <f>[1]D!K97</f>
        <v>X</v>
      </c>
      <c r="L201" s="31">
        <f>[1]D!L97</f>
        <v>3</v>
      </c>
      <c r="M201" s="31">
        <f>[1]D!M97</f>
        <v>3</v>
      </c>
      <c r="N201" s="31">
        <f>[1]D!N97</f>
        <v>3</v>
      </c>
      <c r="O201" s="31">
        <f>[1]D!O97</f>
        <v>3</v>
      </c>
      <c r="P201" s="33">
        <f>[1]D!P97</f>
        <v>3</v>
      </c>
      <c r="Q201" s="33">
        <f>[1]D!Q97</f>
        <v>3</v>
      </c>
      <c r="R201" s="58" t="str">
        <f>[1]D!R97</f>
        <v>X</v>
      </c>
      <c r="S201" s="58" t="str">
        <f>[1]D!S97</f>
        <v>X</v>
      </c>
      <c r="T201" s="31">
        <f>[1]D!T97</f>
        <v>2</v>
      </c>
      <c r="U201" s="31">
        <f>[1]D!U97</f>
        <v>2</v>
      </c>
      <c r="V201" s="31">
        <f>[1]D!V97</f>
        <v>2</v>
      </c>
      <c r="W201" s="31">
        <f>[1]D!W97</f>
        <v>2</v>
      </c>
      <c r="X201" s="33">
        <f>[1]D!X97</f>
        <v>2</v>
      </c>
      <c r="Y201" s="33">
        <f>[1]D!Y97</f>
        <v>2</v>
      </c>
      <c r="Z201" s="58" t="str">
        <f>[1]D!Z97</f>
        <v>X</v>
      </c>
      <c r="AA201" s="58" t="str">
        <f>[1]D!AA97</f>
        <v>X</v>
      </c>
      <c r="AB201" s="31">
        <f>[1]D!AB97</f>
        <v>1</v>
      </c>
      <c r="AC201" s="31">
        <f>[1]D!AC97</f>
        <v>1</v>
      </c>
      <c r="AD201" s="31">
        <f>[1]D!AD97</f>
        <v>1</v>
      </c>
      <c r="AE201" s="31">
        <f>[1]D!AE97</f>
        <v>1</v>
      </c>
      <c r="AF201" s="1"/>
      <c r="AH201" s="16">
        <f t="shared" si="24"/>
        <v>0</v>
      </c>
      <c r="AI201" s="16">
        <f t="shared" si="25"/>
        <v>0</v>
      </c>
    </row>
    <row r="202" spans="1:35" ht="20.100000000000001" customHeight="1">
      <c r="A202" s="18" t="str">
        <f>ÖSSZES!$A$78</f>
        <v>Nagy István</v>
      </c>
      <c r="B202" s="58" t="str">
        <f>[1]D!B98</f>
        <v>X</v>
      </c>
      <c r="C202" s="58" t="str">
        <f>[1]D!C98</f>
        <v>X</v>
      </c>
      <c r="D202" s="31">
        <f>[1]D!D98</f>
        <v>1</v>
      </c>
      <c r="E202" s="31">
        <f>[1]D!E98</f>
        <v>1</v>
      </c>
      <c r="F202" s="31">
        <f>[1]D!F98</f>
        <v>1</v>
      </c>
      <c r="G202" s="31">
        <f>[1]D!G98</f>
        <v>1</v>
      </c>
      <c r="H202" s="33">
        <f>[1]D!H98</f>
        <v>1</v>
      </c>
      <c r="I202" s="33">
        <f>[1]D!I98</f>
        <v>1</v>
      </c>
      <c r="J202" s="58" t="str">
        <f>[1]D!J98</f>
        <v>X</v>
      </c>
      <c r="K202" s="58" t="str">
        <f>[1]D!K98</f>
        <v>X</v>
      </c>
      <c r="L202" s="31">
        <f>[1]D!L98</f>
        <v>3</v>
      </c>
      <c r="M202" s="31">
        <f>[1]D!M98</f>
        <v>3</v>
      </c>
      <c r="N202" s="31">
        <f>[1]D!N98</f>
        <v>3</v>
      </c>
      <c r="O202" s="31">
        <f>[1]D!O98</f>
        <v>3</v>
      </c>
      <c r="P202" s="33">
        <f>[1]D!P98</f>
        <v>3</v>
      </c>
      <c r="Q202" s="33">
        <f>[1]D!Q98</f>
        <v>3</v>
      </c>
      <c r="R202" s="58" t="str">
        <f>[1]D!R98</f>
        <v>X</v>
      </c>
      <c r="S202" s="58" t="str">
        <f>[1]D!S98</f>
        <v>X</v>
      </c>
      <c r="T202" s="31">
        <f>[1]D!T98</f>
        <v>2</v>
      </c>
      <c r="U202" s="31">
        <f>[1]D!U98</f>
        <v>2</v>
      </c>
      <c r="V202" s="31">
        <f>[1]D!V98</f>
        <v>2</v>
      </c>
      <c r="W202" s="31">
        <f>[1]D!W98</f>
        <v>2</v>
      </c>
      <c r="X202" s="33">
        <f>[1]D!X98</f>
        <v>2</v>
      </c>
      <c r="Y202" s="33">
        <f>[1]D!Y98</f>
        <v>2</v>
      </c>
      <c r="Z202" s="58" t="str">
        <f>[1]D!Z98</f>
        <v>X</v>
      </c>
      <c r="AA202" s="58" t="str">
        <f>[1]D!AA98</f>
        <v>X</v>
      </c>
      <c r="AB202" s="31">
        <f>[1]D!AB98</f>
        <v>1</v>
      </c>
      <c r="AC202" s="31">
        <f>[1]D!AC98</f>
        <v>1</v>
      </c>
      <c r="AD202" s="31">
        <f>[1]D!AD98</f>
        <v>1</v>
      </c>
      <c r="AE202" s="31">
        <f>[1]D!AE98</f>
        <v>1</v>
      </c>
      <c r="AF202" s="1"/>
      <c r="AH202" s="16">
        <f t="shared" si="24"/>
        <v>0</v>
      </c>
      <c r="AI202" s="16">
        <f t="shared" si="25"/>
        <v>0</v>
      </c>
    </row>
    <row r="203" spans="1:35" ht="20.100000000000001" hidden="1" customHeight="1">
      <c r="A203" s="18" t="str">
        <f>ÖSSZES!$A$79</f>
        <v>Fényi László</v>
      </c>
      <c r="B203" s="58"/>
      <c r="C203" s="58"/>
      <c r="D203" s="31"/>
      <c r="E203" s="31"/>
      <c r="F203" s="31"/>
      <c r="G203" s="31"/>
      <c r="H203" s="33"/>
      <c r="I203" s="33"/>
      <c r="J203" s="58"/>
      <c r="K203" s="58"/>
      <c r="L203" s="31"/>
      <c r="M203" s="31"/>
      <c r="N203" s="31"/>
      <c r="O203" s="31"/>
      <c r="P203" s="33"/>
      <c r="Q203" s="33"/>
      <c r="R203" s="58"/>
      <c r="S203" s="58"/>
      <c r="T203" s="31"/>
      <c r="U203" s="31"/>
      <c r="V203" s="31"/>
      <c r="W203" s="31"/>
      <c r="X203" s="33"/>
      <c r="Y203" s="33"/>
      <c r="Z203" s="58"/>
      <c r="AA203" s="58"/>
      <c r="AB203" s="31"/>
      <c r="AC203" s="31"/>
      <c r="AD203" s="31"/>
      <c r="AE203" s="31"/>
      <c r="AF203" s="1"/>
      <c r="AH203" s="16">
        <f t="shared" si="24"/>
        <v>0</v>
      </c>
      <c r="AI203" s="16">
        <f t="shared" si="25"/>
        <v>0</v>
      </c>
    </row>
    <row r="204" spans="1:35" ht="20.100000000000001" hidden="1" customHeight="1">
      <c r="A204" s="18" t="str">
        <f>ÖSSZES!$A$80</f>
        <v>Név9</v>
      </c>
      <c r="B204" s="58" t="s">
        <v>2</v>
      </c>
      <c r="C204" s="58" t="s">
        <v>2</v>
      </c>
      <c r="D204" s="31"/>
      <c r="E204" s="31"/>
      <c r="F204" s="31"/>
      <c r="G204" s="31"/>
      <c r="H204" s="33"/>
      <c r="I204" s="33"/>
      <c r="J204" s="58" t="s">
        <v>2</v>
      </c>
      <c r="K204" s="58" t="s">
        <v>2</v>
      </c>
      <c r="L204" s="31"/>
      <c r="M204" s="31"/>
      <c r="N204" s="31"/>
      <c r="O204" s="31"/>
      <c r="P204" s="33"/>
      <c r="Q204" s="33"/>
      <c r="R204" s="58" t="s">
        <v>2</v>
      </c>
      <c r="S204" s="58" t="s">
        <v>2</v>
      </c>
      <c r="T204" s="31"/>
      <c r="U204" s="31"/>
      <c r="V204" s="31"/>
      <c r="W204" s="31"/>
      <c r="X204" s="33"/>
      <c r="Y204" s="33"/>
      <c r="Z204" s="58" t="s">
        <v>2</v>
      </c>
      <c r="AA204" s="58" t="s">
        <v>2</v>
      </c>
      <c r="AB204" s="31"/>
      <c r="AC204" s="31"/>
      <c r="AD204" s="31"/>
      <c r="AE204" s="31"/>
      <c r="AF204" s="1"/>
      <c r="AH204" s="16">
        <f t="shared" si="24"/>
        <v>0</v>
      </c>
      <c r="AI204" s="16">
        <f t="shared" si="25"/>
        <v>0</v>
      </c>
    </row>
    <row r="205" spans="1:35" ht="20.100000000000001" hidden="1" customHeight="1">
      <c r="A205" s="18" t="str">
        <f>ÖSSZES!$A$81</f>
        <v>Név10</v>
      </c>
      <c r="B205" s="58" t="s">
        <v>2</v>
      </c>
      <c r="C205" s="58" t="s">
        <v>2</v>
      </c>
      <c r="D205" s="31"/>
      <c r="E205" s="31"/>
      <c r="F205" s="31"/>
      <c r="G205" s="31"/>
      <c r="H205" s="33"/>
      <c r="I205" s="33"/>
      <c r="J205" s="58" t="s">
        <v>2</v>
      </c>
      <c r="K205" s="58" t="s">
        <v>2</v>
      </c>
      <c r="L205" s="31"/>
      <c r="M205" s="31"/>
      <c r="N205" s="31"/>
      <c r="O205" s="31"/>
      <c r="P205" s="33"/>
      <c r="Q205" s="33"/>
      <c r="R205" s="58" t="s">
        <v>2</v>
      </c>
      <c r="S205" s="58" t="s">
        <v>2</v>
      </c>
      <c r="T205" s="31"/>
      <c r="U205" s="31"/>
      <c r="V205" s="31"/>
      <c r="W205" s="31"/>
      <c r="X205" s="33"/>
      <c r="Y205" s="33"/>
      <c r="Z205" s="58" t="s">
        <v>2</v>
      </c>
      <c r="AA205" s="58" t="s">
        <v>2</v>
      </c>
      <c r="AB205" s="31"/>
      <c r="AC205" s="31"/>
      <c r="AD205" s="31"/>
      <c r="AE205" s="31"/>
      <c r="AF205" s="1"/>
      <c r="AH205" s="16">
        <f t="shared" si="24"/>
        <v>0</v>
      </c>
      <c r="AI205" s="16">
        <f t="shared" si="25"/>
        <v>0</v>
      </c>
    </row>
    <row r="206" spans="1:35" ht="20.100000000000001" hidden="1" customHeight="1">
      <c r="A206" s="18" t="str">
        <f>ÖSSZES!$A$82</f>
        <v>Név11</v>
      </c>
      <c r="B206" s="58" t="s">
        <v>2</v>
      </c>
      <c r="C206" s="58" t="s">
        <v>2</v>
      </c>
      <c r="D206" s="31"/>
      <c r="E206" s="31"/>
      <c r="F206" s="31"/>
      <c r="G206" s="31"/>
      <c r="H206" s="33"/>
      <c r="I206" s="33"/>
      <c r="J206" s="58" t="s">
        <v>2</v>
      </c>
      <c r="K206" s="58" t="s">
        <v>2</v>
      </c>
      <c r="L206" s="31"/>
      <c r="M206" s="31"/>
      <c r="N206" s="31"/>
      <c r="O206" s="31"/>
      <c r="P206" s="33"/>
      <c r="Q206" s="33"/>
      <c r="R206" s="58" t="s">
        <v>2</v>
      </c>
      <c r="S206" s="58" t="s">
        <v>2</v>
      </c>
      <c r="T206" s="31"/>
      <c r="U206" s="31"/>
      <c r="V206" s="31"/>
      <c r="W206" s="31"/>
      <c r="X206" s="33"/>
      <c r="Y206" s="33"/>
      <c r="Z206" s="58" t="s">
        <v>2</v>
      </c>
      <c r="AA206" s="58" t="s">
        <v>2</v>
      </c>
      <c r="AB206" s="31"/>
      <c r="AC206" s="31"/>
      <c r="AD206" s="31"/>
      <c r="AE206" s="31"/>
      <c r="AF206" s="1"/>
      <c r="AH206" s="16">
        <f t="shared" si="24"/>
        <v>0</v>
      </c>
      <c r="AI206" s="16">
        <f t="shared" si="25"/>
        <v>0</v>
      </c>
    </row>
    <row r="207" spans="1:35" ht="20.100000000000001" hidden="1" customHeight="1">
      <c r="A207" s="18" t="str">
        <f>ÖSSZES!$A$83</f>
        <v>Név12</v>
      </c>
      <c r="B207" s="58" t="s">
        <v>2</v>
      </c>
      <c r="C207" s="58" t="s">
        <v>2</v>
      </c>
      <c r="D207" s="31"/>
      <c r="E207" s="31"/>
      <c r="F207" s="31"/>
      <c r="G207" s="31"/>
      <c r="H207" s="33"/>
      <c r="I207" s="33"/>
      <c r="J207" s="58" t="s">
        <v>2</v>
      </c>
      <c r="K207" s="58" t="s">
        <v>2</v>
      </c>
      <c r="L207" s="31"/>
      <c r="M207" s="31"/>
      <c r="N207" s="31"/>
      <c r="O207" s="31"/>
      <c r="P207" s="33"/>
      <c r="Q207" s="33"/>
      <c r="R207" s="58" t="s">
        <v>2</v>
      </c>
      <c r="S207" s="58" t="s">
        <v>2</v>
      </c>
      <c r="T207" s="31"/>
      <c r="U207" s="31"/>
      <c r="V207" s="31"/>
      <c r="W207" s="31"/>
      <c r="X207" s="33"/>
      <c r="Y207" s="33"/>
      <c r="Z207" s="58" t="s">
        <v>2</v>
      </c>
      <c r="AA207" s="58" t="s">
        <v>2</v>
      </c>
      <c r="AB207" s="31"/>
      <c r="AC207" s="31"/>
      <c r="AD207" s="31"/>
      <c r="AE207" s="31"/>
      <c r="AF207" s="1"/>
      <c r="AH207" s="16">
        <f t="shared" si="24"/>
        <v>0</v>
      </c>
      <c r="AI207" s="16">
        <f t="shared" si="25"/>
        <v>0</v>
      </c>
    </row>
    <row r="208" spans="1:35" ht="20.100000000000001" hidden="1" customHeight="1">
      <c r="A208" s="18" t="str">
        <f>ÖSSZES!$A$84</f>
        <v>Név13</v>
      </c>
      <c r="B208" s="58" t="s">
        <v>2</v>
      </c>
      <c r="C208" s="58" t="s">
        <v>2</v>
      </c>
      <c r="D208" s="31"/>
      <c r="E208" s="31"/>
      <c r="F208" s="31"/>
      <c r="G208" s="31"/>
      <c r="H208" s="33"/>
      <c r="I208" s="33"/>
      <c r="J208" s="58" t="s">
        <v>2</v>
      </c>
      <c r="K208" s="58" t="s">
        <v>2</v>
      </c>
      <c r="L208" s="31"/>
      <c r="M208" s="31"/>
      <c r="N208" s="31"/>
      <c r="O208" s="31"/>
      <c r="P208" s="33"/>
      <c r="Q208" s="33"/>
      <c r="R208" s="58" t="s">
        <v>2</v>
      </c>
      <c r="S208" s="58" t="s">
        <v>2</v>
      </c>
      <c r="T208" s="31"/>
      <c r="U208" s="31"/>
      <c r="V208" s="31"/>
      <c r="W208" s="31"/>
      <c r="X208" s="33"/>
      <c r="Y208" s="33"/>
      <c r="Z208" s="58" t="s">
        <v>2</v>
      </c>
      <c r="AA208" s="58" t="s">
        <v>2</v>
      </c>
      <c r="AB208" s="31"/>
      <c r="AC208" s="31"/>
      <c r="AD208" s="31"/>
      <c r="AE208" s="31"/>
      <c r="AF208" s="1"/>
      <c r="AH208" s="16">
        <f t="shared" si="24"/>
        <v>0</v>
      </c>
      <c r="AI208" s="16">
        <f t="shared" si="25"/>
        <v>0</v>
      </c>
    </row>
    <row r="209" spans="1:35" ht="20.100000000000001" hidden="1" customHeight="1">
      <c r="A209" s="18" t="str">
        <f>ÖSSZES!$A$85</f>
        <v>Név14</v>
      </c>
      <c r="B209" s="58" t="s">
        <v>2</v>
      </c>
      <c r="C209" s="58" t="s">
        <v>2</v>
      </c>
      <c r="D209" s="31"/>
      <c r="E209" s="31"/>
      <c r="F209" s="31"/>
      <c r="G209" s="31"/>
      <c r="H209" s="33"/>
      <c r="I209" s="33"/>
      <c r="J209" s="58" t="s">
        <v>2</v>
      </c>
      <c r="K209" s="58" t="s">
        <v>2</v>
      </c>
      <c r="L209" s="31"/>
      <c r="M209" s="31"/>
      <c r="N209" s="31"/>
      <c r="O209" s="31"/>
      <c r="P209" s="33"/>
      <c r="Q209" s="33"/>
      <c r="R209" s="58" t="s">
        <v>2</v>
      </c>
      <c r="S209" s="58" t="s">
        <v>2</v>
      </c>
      <c r="T209" s="31"/>
      <c r="U209" s="31"/>
      <c r="V209" s="31"/>
      <c r="W209" s="31"/>
      <c r="X209" s="33"/>
      <c r="Y209" s="33"/>
      <c r="Z209" s="58" t="s">
        <v>2</v>
      </c>
      <c r="AA209" s="58" t="s">
        <v>2</v>
      </c>
      <c r="AB209" s="31"/>
      <c r="AC209" s="31"/>
      <c r="AD209" s="31"/>
      <c r="AE209" s="31"/>
      <c r="AF209" s="1"/>
      <c r="AH209" s="16">
        <f t="shared" si="24"/>
        <v>0</v>
      </c>
      <c r="AI209" s="16">
        <f t="shared" si="25"/>
        <v>0</v>
      </c>
    </row>
    <row r="210" spans="1:35" ht="20.100000000000001" hidden="1" customHeight="1">
      <c r="A210" s="18" t="str">
        <f>ÖSSZES!$A$86</f>
        <v>Név15</v>
      </c>
      <c r="B210" s="58" t="s">
        <v>2</v>
      </c>
      <c r="C210" s="58" t="s">
        <v>2</v>
      </c>
      <c r="D210" s="31"/>
      <c r="E210" s="31"/>
      <c r="F210" s="31"/>
      <c r="G210" s="31"/>
      <c r="H210" s="33"/>
      <c r="I210" s="33"/>
      <c r="J210" s="58" t="s">
        <v>2</v>
      </c>
      <c r="K210" s="58" t="s">
        <v>2</v>
      </c>
      <c r="L210" s="31"/>
      <c r="M210" s="31"/>
      <c r="N210" s="31"/>
      <c r="O210" s="31"/>
      <c r="P210" s="33"/>
      <c r="Q210" s="33"/>
      <c r="R210" s="58" t="s">
        <v>2</v>
      </c>
      <c r="S210" s="58" t="s">
        <v>2</v>
      </c>
      <c r="T210" s="31"/>
      <c r="U210" s="31"/>
      <c r="V210" s="31"/>
      <c r="W210" s="31"/>
      <c r="X210" s="33"/>
      <c r="Y210" s="33"/>
      <c r="Z210" s="58" t="s">
        <v>2</v>
      </c>
      <c r="AA210" s="58" t="s">
        <v>2</v>
      </c>
      <c r="AB210" s="31"/>
      <c r="AC210" s="31"/>
      <c r="AD210" s="31"/>
      <c r="AE210" s="31"/>
      <c r="AF210" s="1"/>
      <c r="AH210" s="16">
        <f t="shared" si="24"/>
        <v>0</v>
      </c>
      <c r="AI210" s="16">
        <f t="shared" si="25"/>
        <v>0</v>
      </c>
    </row>
    <row r="211" spans="1:35" ht="20.100000000000001" hidden="1" customHeight="1">
      <c r="A211" s="18" t="str">
        <f>ÖSSZES!$A$87</f>
        <v>Név16</v>
      </c>
      <c r="B211" s="58" t="s">
        <v>2</v>
      </c>
      <c r="C211" s="58" t="s">
        <v>2</v>
      </c>
      <c r="D211" s="31"/>
      <c r="E211" s="31"/>
      <c r="F211" s="31"/>
      <c r="G211" s="31"/>
      <c r="H211" s="33"/>
      <c r="I211" s="33"/>
      <c r="J211" s="58" t="s">
        <v>2</v>
      </c>
      <c r="K211" s="58" t="s">
        <v>2</v>
      </c>
      <c r="L211" s="31"/>
      <c r="M211" s="31"/>
      <c r="N211" s="31"/>
      <c r="O211" s="31"/>
      <c r="P211" s="33"/>
      <c r="Q211" s="33"/>
      <c r="R211" s="58" t="s">
        <v>2</v>
      </c>
      <c r="S211" s="58" t="s">
        <v>2</v>
      </c>
      <c r="T211" s="31"/>
      <c r="U211" s="31"/>
      <c r="V211" s="31"/>
      <c r="W211" s="31"/>
      <c r="X211" s="33"/>
      <c r="Y211" s="33"/>
      <c r="Z211" s="58" t="s">
        <v>2</v>
      </c>
      <c r="AA211" s="58" t="s">
        <v>2</v>
      </c>
      <c r="AB211" s="31"/>
      <c r="AC211" s="31"/>
      <c r="AD211" s="31"/>
      <c r="AE211" s="31"/>
      <c r="AF211" s="1"/>
      <c r="AH211" s="16">
        <f t="shared" si="24"/>
        <v>0</v>
      </c>
      <c r="AI211" s="16">
        <f t="shared" si="25"/>
        <v>0</v>
      </c>
    </row>
    <row r="212" spans="1:35" ht="20.100000000000001" hidden="1" customHeight="1">
      <c r="A212" s="18" t="str">
        <f>ÖSSZES!$A$88</f>
        <v>Név17</v>
      </c>
      <c r="B212" s="58" t="s">
        <v>2</v>
      </c>
      <c r="C212" s="58" t="s">
        <v>2</v>
      </c>
      <c r="D212" s="31"/>
      <c r="E212" s="31"/>
      <c r="F212" s="31"/>
      <c r="G212" s="31"/>
      <c r="H212" s="33"/>
      <c r="I212" s="33"/>
      <c r="J212" s="58" t="s">
        <v>2</v>
      </c>
      <c r="K212" s="58" t="s">
        <v>2</v>
      </c>
      <c r="L212" s="31"/>
      <c r="M212" s="31"/>
      <c r="N212" s="31"/>
      <c r="O212" s="31"/>
      <c r="P212" s="33"/>
      <c r="Q212" s="33"/>
      <c r="R212" s="58" t="s">
        <v>2</v>
      </c>
      <c r="S212" s="58" t="s">
        <v>2</v>
      </c>
      <c r="T212" s="31"/>
      <c r="U212" s="31"/>
      <c r="V212" s="31"/>
      <c r="W212" s="31"/>
      <c r="X212" s="33"/>
      <c r="Y212" s="33"/>
      <c r="Z212" s="58" t="s">
        <v>2</v>
      </c>
      <c r="AA212" s="58" t="s">
        <v>2</v>
      </c>
      <c r="AB212" s="31"/>
      <c r="AC212" s="31"/>
      <c r="AD212" s="31"/>
      <c r="AE212" s="31"/>
      <c r="AF212" s="1"/>
      <c r="AH212" s="16">
        <f t="shared" si="24"/>
        <v>0</v>
      </c>
      <c r="AI212" s="16">
        <f t="shared" si="25"/>
        <v>0</v>
      </c>
    </row>
    <row r="213" spans="1:35" ht="20.100000000000001" hidden="1" customHeight="1">
      <c r="A213" s="18" t="str">
        <f>ÖSSZES!$A$89</f>
        <v>Név18</v>
      </c>
      <c r="B213" s="58" t="s">
        <v>2</v>
      </c>
      <c r="C213" s="58" t="s">
        <v>2</v>
      </c>
      <c r="D213" s="31"/>
      <c r="E213" s="31"/>
      <c r="F213" s="31"/>
      <c r="G213" s="31"/>
      <c r="H213" s="33"/>
      <c r="I213" s="33"/>
      <c r="J213" s="58" t="s">
        <v>2</v>
      </c>
      <c r="K213" s="58" t="s">
        <v>2</v>
      </c>
      <c r="L213" s="31"/>
      <c r="M213" s="31"/>
      <c r="N213" s="31"/>
      <c r="O213" s="31"/>
      <c r="P213" s="33"/>
      <c r="Q213" s="33"/>
      <c r="R213" s="58" t="s">
        <v>2</v>
      </c>
      <c r="S213" s="58" t="s">
        <v>2</v>
      </c>
      <c r="T213" s="31"/>
      <c r="U213" s="31"/>
      <c r="V213" s="31"/>
      <c r="W213" s="31"/>
      <c r="X213" s="33"/>
      <c r="Y213" s="33"/>
      <c r="Z213" s="58" t="s">
        <v>2</v>
      </c>
      <c r="AA213" s="58" t="s">
        <v>2</v>
      </c>
      <c r="AB213" s="31"/>
      <c r="AC213" s="31"/>
      <c r="AD213" s="31"/>
      <c r="AE213" s="31"/>
      <c r="AF213" s="1"/>
      <c r="AH213" s="16">
        <f t="shared" si="24"/>
        <v>0</v>
      </c>
      <c r="AI213" s="16">
        <f t="shared" si="25"/>
        <v>0</v>
      </c>
    </row>
    <row r="214" spans="1:35" ht="20.100000000000001" hidden="1" customHeight="1">
      <c r="A214" s="18" t="str">
        <f>ÖSSZES!$A$90</f>
        <v>Név19</v>
      </c>
      <c r="B214" s="58" t="s">
        <v>2</v>
      </c>
      <c r="C214" s="58" t="s">
        <v>2</v>
      </c>
      <c r="D214" s="31"/>
      <c r="E214" s="31"/>
      <c r="F214" s="31"/>
      <c r="G214" s="31"/>
      <c r="H214" s="33"/>
      <c r="I214" s="33"/>
      <c r="J214" s="58" t="s">
        <v>2</v>
      </c>
      <c r="K214" s="58" t="s">
        <v>2</v>
      </c>
      <c r="L214" s="31"/>
      <c r="M214" s="31"/>
      <c r="N214" s="31"/>
      <c r="O214" s="31"/>
      <c r="P214" s="33"/>
      <c r="Q214" s="33"/>
      <c r="R214" s="58" t="s">
        <v>2</v>
      </c>
      <c r="S214" s="58" t="s">
        <v>2</v>
      </c>
      <c r="T214" s="31"/>
      <c r="U214" s="31"/>
      <c r="V214" s="31"/>
      <c r="W214" s="31"/>
      <c r="X214" s="33"/>
      <c r="Y214" s="33"/>
      <c r="Z214" s="58" t="s">
        <v>2</v>
      </c>
      <c r="AA214" s="58" t="s">
        <v>2</v>
      </c>
      <c r="AB214" s="31"/>
      <c r="AC214" s="31"/>
      <c r="AD214" s="31"/>
      <c r="AE214" s="31"/>
      <c r="AF214" s="1"/>
      <c r="AH214" s="16">
        <f t="shared" si="24"/>
        <v>0</v>
      </c>
      <c r="AI214" s="16">
        <f t="shared" si="25"/>
        <v>0</v>
      </c>
    </row>
    <row r="215" spans="1:35" ht="20.100000000000001" hidden="1" customHeight="1">
      <c r="A215" s="18" t="str">
        <f>ÖSSZES!$A$91</f>
        <v>Név20</v>
      </c>
      <c r="B215" s="58" t="s">
        <v>2</v>
      </c>
      <c r="C215" s="58" t="s">
        <v>2</v>
      </c>
      <c r="D215" s="31"/>
      <c r="E215" s="31"/>
      <c r="F215" s="31"/>
      <c r="G215" s="31"/>
      <c r="H215" s="33"/>
      <c r="I215" s="33"/>
      <c r="J215" s="58" t="s">
        <v>2</v>
      </c>
      <c r="K215" s="58" t="s">
        <v>2</v>
      </c>
      <c r="L215" s="31"/>
      <c r="M215" s="31"/>
      <c r="N215" s="31"/>
      <c r="O215" s="31"/>
      <c r="P215" s="33"/>
      <c r="Q215" s="33"/>
      <c r="R215" s="58" t="s">
        <v>2</v>
      </c>
      <c r="S215" s="58" t="s">
        <v>2</v>
      </c>
      <c r="T215" s="31"/>
      <c r="U215" s="31"/>
      <c r="V215" s="31"/>
      <c r="W215" s="31"/>
      <c r="X215" s="33"/>
      <c r="Y215" s="33"/>
      <c r="Z215" s="58" t="s">
        <v>2</v>
      </c>
      <c r="AA215" s="58" t="s">
        <v>2</v>
      </c>
      <c r="AB215" s="31"/>
      <c r="AC215" s="31"/>
      <c r="AD215" s="31"/>
      <c r="AE215" s="31"/>
      <c r="AF215" s="1"/>
      <c r="AH215" s="16">
        <f t="shared" si="24"/>
        <v>0</v>
      </c>
      <c r="AI215" s="16">
        <f t="shared" si="25"/>
        <v>0</v>
      </c>
    </row>
    <row r="216" spans="1:35" ht="20.100000000000001" customHeight="1"/>
    <row r="217" spans="1:35" s="6" customFormat="1" ht="20.100000000000001" customHeight="1">
      <c r="A217" s="91" t="s">
        <v>14</v>
      </c>
      <c r="B217" s="17">
        <v>1</v>
      </c>
      <c r="C217" s="17">
        <v>2</v>
      </c>
      <c r="D217" s="17">
        <v>3</v>
      </c>
      <c r="E217" s="17">
        <v>4</v>
      </c>
      <c r="F217" s="17">
        <v>5</v>
      </c>
      <c r="G217" s="17">
        <v>6</v>
      </c>
      <c r="H217" s="17">
        <v>7</v>
      </c>
      <c r="I217" s="17">
        <v>8</v>
      </c>
      <c r="J217" s="17">
        <v>9</v>
      </c>
      <c r="K217" s="17">
        <v>10</v>
      </c>
      <c r="L217" s="17">
        <v>11</v>
      </c>
      <c r="M217" s="17">
        <v>12</v>
      </c>
      <c r="N217" s="17">
        <v>13</v>
      </c>
      <c r="O217" s="17">
        <v>14</v>
      </c>
      <c r="P217" s="17">
        <v>15</v>
      </c>
      <c r="Q217" s="17">
        <v>16</v>
      </c>
      <c r="R217" s="17">
        <v>17</v>
      </c>
      <c r="S217" s="17">
        <v>18</v>
      </c>
      <c r="T217" s="17">
        <v>19</v>
      </c>
      <c r="U217" s="17">
        <v>20</v>
      </c>
      <c r="V217" s="17">
        <v>21</v>
      </c>
      <c r="W217" s="17">
        <v>22</v>
      </c>
      <c r="X217" s="19">
        <v>23</v>
      </c>
      <c r="Y217" s="17">
        <v>24</v>
      </c>
      <c r="Z217" s="17">
        <v>25</v>
      </c>
      <c r="AA217" s="17">
        <v>26</v>
      </c>
      <c r="AB217" s="17">
        <v>27</v>
      </c>
      <c r="AC217" s="17">
        <v>28</v>
      </c>
      <c r="AD217" s="17">
        <v>29</v>
      </c>
      <c r="AE217" s="17">
        <v>30</v>
      </c>
      <c r="AF217" s="17">
        <v>31</v>
      </c>
      <c r="AH217" s="93" t="s">
        <v>18</v>
      </c>
      <c r="AI217" s="93" t="s">
        <v>19</v>
      </c>
    </row>
    <row r="218" spans="1:35" ht="20.100000000000001" customHeight="1">
      <c r="A218" s="96"/>
      <c r="B218" s="10" t="str">
        <f>'2020'!B76</f>
        <v>Cs</v>
      </c>
      <c r="C218" s="10" t="str">
        <f>'2020'!C76</f>
        <v>P</v>
      </c>
      <c r="D218" s="10" t="str">
        <f>'2020'!D76</f>
        <v>Szo</v>
      </c>
      <c r="E218" s="10" t="str">
        <f>'2020'!E76</f>
        <v>V</v>
      </c>
      <c r="F218" s="10" t="str">
        <f>'2020'!F76</f>
        <v>H</v>
      </c>
      <c r="G218" s="10" t="str">
        <f>'2020'!G76</f>
        <v>K</v>
      </c>
      <c r="H218" s="10" t="str">
        <f>'2020'!H76</f>
        <v>Sze</v>
      </c>
      <c r="I218" s="10" t="str">
        <f>'2020'!I76</f>
        <v>Cs</v>
      </c>
      <c r="J218" s="10" t="str">
        <f>'2020'!J76</f>
        <v>P</v>
      </c>
      <c r="K218" s="10" t="str">
        <f>'2020'!K76</f>
        <v>Szo</v>
      </c>
      <c r="L218" s="10" t="str">
        <f>'2020'!L76</f>
        <v>V</v>
      </c>
      <c r="M218" s="10" t="str">
        <f>'2020'!M76</f>
        <v>H</v>
      </c>
      <c r="N218" s="10" t="str">
        <f>'2020'!N76</f>
        <v>K</v>
      </c>
      <c r="O218" s="10" t="str">
        <f>'2020'!O76</f>
        <v>Sze</v>
      </c>
      <c r="P218" s="10" t="str">
        <f>'2020'!P76</f>
        <v>Cs</v>
      </c>
      <c r="Q218" s="10" t="str">
        <f>'2020'!Q76</f>
        <v>P</v>
      </c>
      <c r="R218" s="10" t="str">
        <f>'2020'!R76</f>
        <v>Szo</v>
      </c>
      <c r="S218" s="10" t="str">
        <f>'2020'!S76</f>
        <v>V</v>
      </c>
      <c r="T218" s="10" t="str">
        <f>'2020'!T76</f>
        <v>H</v>
      </c>
      <c r="U218" s="10" t="str">
        <f>'2020'!U76</f>
        <v>K</v>
      </c>
      <c r="V218" s="10" t="str">
        <f>'2020'!V76</f>
        <v>Sze</v>
      </c>
      <c r="W218" s="10" t="str">
        <f>'2020'!W76</f>
        <v>Cs</v>
      </c>
      <c r="X218" s="10" t="str">
        <f>'2020'!X76</f>
        <v>P</v>
      </c>
      <c r="Y218" s="10" t="str">
        <f>'2020'!Y76</f>
        <v>Szo</v>
      </c>
      <c r="Z218" s="10" t="str">
        <f>'2020'!Z76</f>
        <v>V</v>
      </c>
      <c r="AA218" s="10" t="str">
        <f>'2020'!AA76</f>
        <v>H</v>
      </c>
      <c r="AB218" s="10" t="str">
        <f>'2020'!AB76</f>
        <v>K</v>
      </c>
      <c r="AC218" s="10" t="str">
        <f>'2020'!AC76</f>
        <v>Sze</v>
      </c>
      <c r="AD218" s="10" t="str">
        <f>'2020'!AD76</f>
        <v>Cs</v>
      </c>
      <c r="AE218" s="10" t="str">
        <f>'2020'!AE76</f>
        <v>P</v>
      </c>
      <c r="AF218" s="10" t="str">
        <f>'2020'!AF76</f>
        <v>Szo</v>
      </c>
      <c r="AH218" s="94"/>
      <c r="AI218" s="94"/>
    </row>
    <row r="219" spans="1:35" ht="20.100000000000001" customHeight="1">
      <c r="A219" s="96"/>
      <c r="B219" s="10">
        <f>'2020'!B80</f>
        <v>1</v>
      </c>
      <c r="C219" s="10">
        <f>'2020'!C80</f>
        <v>1</v>
      </c>
      <c r="D219" s="10" t="str">
        <f>'2020'!D80</f>
        <v>X</v>
      </c>
      <c r="E219" s="10" t="str">
        <f>'2020'!E80</f>
        <v>X</v>
      </c>
      <c r="F219" s="10">
        <f>'2020'!F80</f>
        <v>3</v>
      </c>
      <c r="G219" s="10">
        <f>'2020'!G80</f>
        <v>3</v>
      </c>
      <c r="H219" s="10">
        <f>'2020'!H80</f>
        <v>3</v>
      </c>
      <c r="I219" s="10">
        <f>'2020'!I80</f>
        <v>3</v>
      </c>
      <c r="J219" s="10">
        <f>'2020'!J80</f>
        <v>3</v>
      </c>
      <c r="K219" s="10">
        <f>'2020'!K80</f>
        <v>3</v>
      </c>
      <c r="L219" s="10" t="str">
        <f>'2020'!L80</f>
        <v>X</v>
      </c>
      <c r="M219" s="10" t="str">
        <f>'2020'!M80</f>
        <v>X</v>
      </c>
      <c r="N219" s="10">
        <f>'2020'!N80</f>
        <v>2</v>
      </c>
      <c r="O219" s="10">
        <f>'2020'!O80</f>
        <v>2</v>
      </c>
      <c r="P219" s="10">
        <f>'2020'!P80</f>
        <v>2</v>
      </c>
      <c r="Q219" s="10">
        <f>'2020'!Q80</f>
        <v>2</v>
      </c>
      <c r="R219" s="10">
        <f>'2020'!R80</f>
        <v>2</v>
      </c>
      <c r="S219" s="10">
        <f>'2020'!S80</f>
        <v>2</v>
      </c>
      <c r="T219" s="10" t="str">
        <f>'2020'!T80</f>
        <v>X</v>
      </c>
      <c r="U219" s="10" t="str">
        <f>'2020'!U80</f>
        <v>X</v>
      </c>
      <c r="V219" s="10">
        <f>'2020'!V80</f>
        <v>1</v>
      </c>
      <c r="W219" s="10">
        <f>'2020'!W80</f>
        <v>1</v>
      </c>
      <c r="X219" s="10">
        <f>'2020'!X80</f>
        <v>1</v>
      </c>
      <c r="Y219" s="10">
        <f>'2020'!Y80</f>
        <v>1</v>
      </c>
      <c r="Z219" s="10">
        <f>'2020'!Z80</f>
        <v>1</v>
      </c>
      <c r="AA219" s="10">
        <f>'2020'!AA80</f>
        <v>1</v>
      </c>
      <c r="AB219" s="10" t="str">
        <f>'2020'!AB80</f>
        <v>X</v>
      </c>
      <c r="AC219" s="10" t="str">
        <f>'2020'!AC80</f>
        <v>X</v>
      </c>
      <c r="AD219" s="10">
        <f>'2020'!AD80</f>
        <v>3</v>
      </c>
      <c r="AE219" s="10">
        <f>'2020'!AE80</f>
        <v>3</v>
      </c>
      <c r="AF219" s="10">
        <f>'2020'!AF80</f>
        <v>3</v>
      </c>
      <c r="AH219" s="94"/>
      <c r="AI219" s="94"/>
    </row>
    <row r="220" spans="1:35" ht="20.100000000000001" customHeight="1">
      <c r="A220" s="18" t="str">
        <f>ÖSSZES!$A$72</f>
        <v>Daku Gábor</v>
      </c>
      <c r="B220" s="33">
        <f>[1]D!B103</f>
        <v>1</v>
      </c>
      <c r="C220" s="33">
        <f>[1]D!C103</f>
        <v>1</v>
      </c>
      <c r="D220" s="58" t="str">
        <f>[1]D!D103</f>
        <v>X</v>
      </c>
      <c r="E220" s="58" t="str">
        <f>[1]D!E103</f>
        <v>X</v>
      </c>
      <c r="F220" s="14">
        <f>[1]D!F103</f>
        <v>3</v>
      </c>
      <c r="G220" s="14">
        <f>[1]D!G103</f>
        <v>3</v>
      </c>
      <c r="H220" s="14">
        <f>[1]D!H103</f>
        <v>3</v>
      </c>
      <c r="I220" s="14">
        <f>[1]D!I103</f>
        <v>3</v>
      </c>
      <c r="J220" s="33">
        <f>[1]D!J103</f>
        <v>3</v>
      </c>
      <c r="K220" s="33">
        <f>[1]D!K103</f>
        <v>3</v>
      </c>
      <c r="L220" s="58" t="str">
        <f>[1]D!L103</f>
        <v>X</v>
      </c>
      <c r="M220" s="58" t="str">
        <f>[1]D!M103</f>
        <v>X</v>
      </c>
      <c r="N220" s="14">
        <f>[1]D!N103</f>
        <v>2</v>
      </c>
      <c r="O220" s="14">
        <f>[1]D!O103</f>
        <v>2</v>
      </c>
      <c r="P220" s="14">
        <f>[1]D!P103</f>
        <v>2</v>
      </c>
      <c r="Q220" s="14">
        <f>[1]D!Q103</f>
        <v>2</v>
      </c>
      <c r="R220" s="33">
        <f>[1]D!R103</f>
        <v>2</v>
      </c>
      <c r="S220" s="33">
        <f>[1]D!S103</f>
        <v>2</v>
      </c>
      <c r="T220" s="58" t="str">
        <f>[1]D!T103</f>
        <v>X</v>
      </c>
      <c r="U220" s="58" t="str">
        <f>[1]D!U103</f>
        <v>X</v>
      </c>
      <c r="V220" s="14">
        <f>[1]D!V103</f>
        <v>1</v>
      </c>
      <c r="W220" s="14">
        <f>[1]D!W103</f>
        <v>1</v>
      </c>
      <c r="X220" s="60">
        <f>[1]D!X103</f>
        <v>1</v>
      </c>
      <c r="Y220" s="14">
        <f>[1]D!Y103</f>
        <v>1</v>
      </c>
      <c r="Z220" s="33">
        <f>[1]D!Z103</f>
        <v>1</v>
      </c>
      <c r="AA220" s="33">
        <f>[1]D!AA103</f>
        <v>1</v>
      </c>
      <c r="AB220" s="58" t="str">
        <f>[1]D!AB103</f>
        <v>X</v>
      </c>
      <c r="AC220" s="58" t="str">
        <f>[1]D!AC103</f>
        <v>X</v>
      </c>
      <c r="AD220" s="14">
        <f>[1]D!AD103</f>
        <v>3</v>
      </c>
      <c r="AE220" s="14">
        <f>[1]D!AE103</f>
        <v>3</v>
      </c>
      <c r="AF220" s="14">
        <f>[1]D!AF103</f>
        <v>3</v>
      </c>
      <c r="AH220" s="16">
        <f>1*COUNTIF(A220:AF220,"+")</f>
        <v>0</v>
      </c>
      <c r="AI220" s="16">
        <f t="shared" ref="AI220" si="26">1*COUNTIF(B220:AF220,"szf")</f>
        <v>0</v>
      </c>
    </row>
    <row r="221" spans="1:35" ht="20.100000000000001" customHeight="1">
      <c r="A221" s="18" t="str">
        <f>ÖSSZES!$A$73</f>
        <v>Borbély Csaba</v>
      </c>
      <c r="B221" s="33">
        <f>[1]D!B104</f>
        <v>1</v>
      </c>
      <c r="C221" s="33">
        <f>[1]D!C104</f>
        <v>1</v>
      </c>
      <c r="D221" s="58" t="str">
        <f>[1]D!D104</f>
        <v>X</v>
      </c>
      <c r="E221" s="58" t="str">
        <f>[1]D!E104</f>
        <v>X</v>
      </c>
      <c r="F221" s="14">
        <f>[1]D!F104</f>
        <v>3</v>
      </c>
      <c r="G221" s="14">
        <f>[1]D!G104</f>
        <v>3</v>
      </c>
      <c r="H221" s="14">
        <f>[1]D!H104</f>
        <v>3</v>
      </c>
      <c r="I221" s="14">
        <f>[1]D!I104</f>
        <v>3</v>
      </c>
      <c r="J221" s="33">
        <f>[1]D!J104</f>
        <v>3</v>
      </c>
      <c r="K221" s="33">
        <f>[1]D!K104</f>
        <v>3</v>
      </c>
      <c r="L221" s="58" t="str">
        <f>[1]D!L104</f>
        <v>X</v>
      </c>
      <c r="M221" s="58" t="str">
        <f>[1]D!M104</f>
        <v>X</v>
      </c>
      <c r="N221" s="14">
        <f>[1]D!N104</f>
        <v>2</v>
      </c>
      <c r="O221" s="14">
        <f>[1]D!O104</f>
        <v>2</v>
      </c>
      <c r="P221" s="14">
        <f>[1]D!P104</f>
        <v>2</v>
      </c>
      <c r="Q221" s="14">
        <f>[1]D!Q104</f>
        <v>2</v>
      </c>
      <c r="R221" s="33">
        <f>[1]D!R104</f>
        <v>2</v>
      </c>
      <c r="S221" s="33">
        <f>[1]D!S104</f>
        <v>2</v>
      </c>
      <c r="T221" s="58" t="str">
        <f>[1]D!T104</f>
        <v>X</v>
      </c>
      <c r="U221" s="58" t="str">
        <f>[1]D!U104</f>
        <v>X</v>
      </c>
      <c r="V221" s="14">
        <f>[1]D!V104</f>
        <v>1</v>
      </c>
      <c r="W221" s="14">
        <f>[1]D!W104</f>
        <v>1</v>
      </c>
      <c r="X221" s="60">
        <f>[1]D!X104</f>
        <v>1</v>
      </c>
      <c r="Y221" s="14">
        <f>[1]D!Y104</f>
        <v>1</v>
      </c>
      <c r="Z221" s="33">
        <f>[1]D!Z104</f>
        <v>1</v>
      </c>
      <c r="AA221" s="33">
        <f>[1]D!AA104</f>
        <v>1</v>
      </c>
      <c r="AB221" s="58" t="str">
        <f>[1]D!AB104</f>
        <v>X</v>
      </c>
      <c r="AC221" s="58" t="str">
        <f>[1]D!AC104</f>
        <v>X</v>
      </c>
      <c r="AD221" s="14">
        <f>[1]D!AD104</f>
        <v>3</v>
      </c>
      <c r="AE221" s="14">
        <f>[1]D!AE104</f>
        <v>3</v>
      </c>
      <c r="AF221" s="14">
        <f>[1]D!AF104</f>
        <v>3</v>
      </c>
      <c r="AH221" s="16">
        <f t="shared" ref="AH221:AH239" si="27">1*COUNTIF(A221:AF221,"+")</f>
        <v>0</v>
      </c>
      <c r="AI221" s="16">
        <f t="shared" ref="AI221:AI239" si="28">1*COUNTIF(B221:AF221,"szf")</f>
        <v>0</v>
      </c>
    </row>
    <row r="222" spans="1:35" ht="20.100000000000001" customHeight="1">
      <c r="A222" s="18" t="str">
        <f>ÖSSZES!$A$74</f>
        <v>Erdei Bálint</v>
      </c>
      <c r="B222" s="33">
        <f>[1]D!B105</f>
        <v>1</v>
      </c>
      <c r="C222" s="33">
        <f>[1]D!C105</f>
        <v>1</v>
      </c>
      <c r="D222" s="58" t="str">
        <f>[1]D!D105</f>
        <v>X</v>
      </c>
      <c r="E222" s="58" t="str">
        <f>[1]D!E105</f>
        <v>X</v>
      </c>
      <c r="F222" s="14">
        <f>[1]D!F105</f>
        <v>3</v>
      </c>
      <c r="G222" s="14">
        <f>[1]D!G105</f>
        <v>3</v>
      </c>
      <c r="H222" s="14">
        <f>[1]D!H105</f>
        <v>3</v>
      </c>
      <c r="I222" s="14">
        <f>[1]D!I105</f>
        <v>3</v>
      </c>
      <c r="J222" s="33">
        <f>[1]D!J105</f>
        <v>3</v>
      </c>
      <c r="K222" s="33">
        <f>[1]D!K105</f>
        <v>3</v>
      </c>
      <c r="L222" s="58" t="str">
        <f>[1]D!L105</f>
        <v>X</v>
      </c>
      <c r="M222" s="58" t="str">
        <f>[1]D!M105</f>
        <v>X</v>
      </c>
      <c r="N222" s="14">
        <f>[1]D!N105</f>
        <v>2</v>
      </c>
      <c r="O222" s="14">
        <f>[1]D!O105</f>
        <v>2</v>
      </c>
      <c r="P222" s="14">
        <f>[1]D!P105</f>
        <v>2</v>
      </c>
      <c r="Q222" s="14">
        <f>[1]D!Q105</f>
        <v>2</v>
      </c>
      <c r="R222" s="33">
        <f>[1]D!R105</f>
        <v>2</v>
      </c>
      <c r="S222" s="33">
        <f>[1]D!S105</f>
        <v>2</v>
      </c>
      <c r="T222" s="58" t="str">
        <f>[1]D!T105</f>
        <v>X</v>
      </c>
      <c r="U222" s="58" t="str">
        <f>[1]D!U105</f>
        <v>X</v>
      </c>
      <c r="V222" s="14">
        <f>[1]D!V105</f>
        <v>1</v>
      </c>
      <c r="W222" s="14">
        <f>[1]D!W105</f>
        <v>1</v>
      </c>
      <c r="X222" s="60">
        <f>[1]D!X105</f>
        <v>1</v>
      </c>
      <c r="Y222" s="14">
        <f>[1]D!Y105</f>
        <v>1</v>
      </c>
      <c r="Z222" s="33">
        <f>[1]D!Z105</f>
        <v>1</v>
      </c>
      <c r="AA222" s="33">
        <f>[1]D!AA105</f>
        <v>1</v>
      </c>
      <c r="AB222" s="58" t="str">
        <f>[1]D!AB105</f>
        <v>X</v>
      </c>
      <c r="AC222" s="58" t="str">
        <f>[1]D!AC105</f>
        <v>X</v>
      </c>
      <c r="AD222" s="14">
        <f>[1]D!AD105</f>
        <v>3</v>
      </c>
      <c r="AE222" s="14">
        <f>[1]D!AE105</f>
        <v>3</v>
      </c>
      <c r="AF222" s="14">
        <f>[1]D!AF105</f>
        <v>3</v>
      </c>
      <c r="AH222" s="16">
        <f t="shared" si="27"/>
        <v>0</v>
      </c>
      <c r="AI222" s="16">
        <f t="shared" si="28"/>
        <v>0</v>
      </c>
    </row>
    <row r="223" spans="1:35" ht="20.100000000000001" customHeight="1">
      <c r="A223" s="18" t="str">
        <f>ÖSSZES!$A$75</f>
        <v>Fábián Gábor</v>
      </c>
      <c r="B223" s="33">
        <f>[1]D!B106</f>
        <v>1</v>
      </c>
      <c r="C223" s="33">
        <f>[1]D!C106</f>
        <v>1</v>
      </c>
      <c r="D223" s="58" t="str">
        <f>[1]D!D106</f>
        <v>X</v>
      </c>
      <c r="E223" s="58" t="str">
        <f>[1]D!E106</f>
        <v>X</v>
      </c>
      <c r="F223" s="14">
        <f>[1]D!F106</f>
        <v>3</v>
      </c>
      <c r="G223" s="14">
        <f>[1]D!G106</f>
        <v>3</v>
      </c>
      <c r="H223" s="14">
        <f>[1]D!H106</f>
        <v>3</v>
      </c>
      <c r="I223" s="14">
        <f>[1]D!I106</f>
        <v>3</v>
      </c>
      <c r="J223" s="33">
        <f>[1]D!J106</f>
        <v>3</v>
      </c>
      <c r="K223" s="33">
        <f>[1]D!K106</f>
        <v>3</v>
      </c>
      <c r="L223" s="58" t="str">
        <f>[1]D!L106</f>
        <v>X</v>
      </c>
      <c r="M223" s="58" t="str">
        <f>[1]D!M106</f>
        <v>X</v>
      </c>
      <c r="N223" s="14">
        <f>[1]D!N106</f>
        <v>2</v>
      </c>
      <c r="O223" s="14">
        <f>[1]D!O106</f>
        <v>2</v>
      </c>
      <c r="P223" s="14">
        <f>[1]D!P106</f>
        <v>2</v>
      </c>
      <c r="Q223" s="14">
        <f>[1]D!Q106</f>
        <v>2</v>
      </c>
      <c r="R223" s="33">
        <f>[1]D!R106</f>
        <v>2</v>
      </c>
      <c r="S223" s="33">
        <f>[1]D!S106</f>
        <v>2</v>
      </c>
      <c r="T223" s="58" t="str">
        <f>[1]D!T106</f>
        <v>X</v>
      </c>
      <c r="U223" s="58" t="str">
        <f>[1]D!U106</f>
        <v>X</v>
      </c>
      <c r="V223" s="14">
        <f>[1]D!V106</f>
        <v>1</v>
      </c>
      <c r="W223" s="14">
        <f>[1]D!W106</f>
        <v>1</v>
      </c>
      <c r="X223" s="60">
        <f>[1]D!X106</f>
        <v>1</v>
      </c>
      <c r="Y223" s="14">
        <f>[1]D!Y106</f>
        <v>1</v>
      </c>
      <c r="Z223" s="33">
        <f>[1]D!Z106</f>
        <v>1</v>
      </c>
      <c r="AA223" s="33">
        <f>[1]D!AA106</f>
        <v>1</v>
      </c>
      <c r="AB223" s="58" t="str">
        <f>[1]D!AB106</f>
        <v>X</v>
      </c>
      <c r="AC223" s="58" t="str">
        <f>[1]D!AC106</f>
        <v>X</v>
      </c>
      <c r="AD223" s="14">
        <f>[1]D!AD106</f>
        <v>3</v>
      </c>
      <c r="AE223" s="14">
        <f>[1]D!AE106</f>
        <v>3</v>
      </c>
      <c r="AF223" s="14">
        <f>[1]D!AF106</f>
        <v>3</v>
      </c>
      <c r="AH223" s="16">
        <f t="shared" si="27"/>
        <v>0</v>
      </c>
      <c r="AI223" s="16">
        <f t="shared" si="28"/>
        <v>0</v>
      </c>
    </row>
    <row r="224" spans="1:35" ht="20.100000000000001" customHeight="1">
      <c r="A224" s="18" t="str">
        <f>ÖSSZES!$A$76</f>
        <v>Gellei Zsolt</v>
      </c>
      <c r="B224" s="33">
        <f>[1]D!B107</f>
        <v>1</v>
      </c>
      <c r="C224" s="33">
        <f>[1]D!C107</f>
        <v>1</v>
      </c>
      <c r="D224" s="58" t="str">
        <f>[1]D!D107</f>
        <v>X</v>
      </c>
      <c r="E224" s="58" t="str">
        <f>[1]D!E107</f>
        <v>X</v>
      </c>
      <c r="F224" s="14">
        <f>[1]D!F107</f>
        <v>3</v>
      </c>
      <c r="G224" s="14">
        <f>[1]D!G107</f>
        <v>3</v>
      </c>
      <c r="H224" s="14">
        <f>[1]D!H107</f>
        <v>3</v>
      </c>
      <c r="I224" s="14">
        <f>[1]D!I107</f>
        <v>3</v>
      </c>
      <c r="J224" s="33">
        <f>[1]D!J107</f>
        <v>3</v>
      </c>
      <c r="K224" s="33">
        <f>[1]D!K107</f>
        <v>3</v>
      </c>
      <c r="L224" s="58" t="str">
        <f>[1]D!L107</f>
        <v>X</v>
      </c>
      <c r="M224" s="58" t="str">
        <f>[1]D!M107</f>
        <v>X</v>
      </c>
      <c r="N224" s="14">
        <f>[1]D!N107</f>
        <v>2</v>
      </c>
      <c r="O224" s="14">
        <f>[1]D!O107</f>
        <v>2</v>
      </c>
      <c r="P224" s="14">
        <f>[1]D!P107</f>
        <v>2</v>
      </c>
      <c r="Q224" s="14">
        <f>[1]D!Q107</f>
        <v>2</v>
      </c>
      <c r="R224" s="33">
        <f>[1]D!R107</f>
        <v>2</v>
      </c>
      <c r="S224" s="33">
        <f>[1]D!S107</f>
        <v>2</v>
      </c>
      <c r="T224" s="58" t="str">
        <f>[1]D!T107</f>
        <v>X</v>
      </c>
      <c r="U224" s="58" t="str">
        <f>[1]D!U107</f>
        <v>X</v>
      </c>
      <c r="V224" s="14">
        <f>[1]D!V107</f>
        <v>1</v>
      </c>
      <c r="W224" s="14">
        <f>[1]D!W107</f>
        <v>1</v>
      </c>
      <c r="X224" s="60">
        <f>[1]D!X107</f>
        <v>1</v>
      </c>
      <c r="Y224" s="14">
        <f>[1]D!Y107</f>
        <v>1</v>
      </c>
      <c r="Z224" s="33">
        <f>[1]D!Z107</f>
        <v>1</v>
      </c>
      <c r="AA224" s="33">
        <f>[1]D!AA107</f>
        <v>1</v>
      </c>
      <c r="AB224" s="58" t="str">
        <f>[1]D!AB107</f>
        <v>X</v>
      </c>
      <c r="AC224" s="58" t="str">
        <f>[1]D!AC107</f>
        <v>X</v>
      </c>
      <c r="AD224" s="14">
        <f>[1]D!AD107</f>
        <v>3</v>
      </c>
      <c r="AE224" s="14">
        <f>[1]D!AE107</f>
        <v>3</v>
      </c>
      <c r="AF224" s="14">
        <f>[1]D!AF107</f>
        <v>3</v>
      </c>
      <c r="AH224" s="16">
        <f t="shared" si="27"/>
        <v>0</v>
      </c>
      <c r="AI224" s="16">
        <f t="shared" si="28"/>
        <v>0</v>
      </c>
    </row>
    <row r="225" spans="1:35" ht="20.100000000000001" customHeight="1">
      <c r="A225" s="18" t="str">
        <f>ÖSSZES!$A$77</f>
        <v>Kiss Gyula</v>
      </c>
      <c r="B225" s="33">
        <f>[1]D!B108</f>
        <v>1</v>
      </c>
      <c r="C225" s="33">
        <f>[1]D!C108</f>
        <v>1</v>
      </c>
      <c r="D225" s="58" t="str">
        <f>[1]D!D108</f>
        <v>X</v>
      </c>
      <c r="E225" s="58" t="str">
        <f>[1]D!E108</f>
        <v>X</v>
      </c>
      <c r="F225" s="14">
        <f>[1]D!F108</f>
        <v>3</v>
      </c>
      <c r="G225" s="14">
        <f>[1]D!G108</f>
        <v>3</v>
      </c>
      <c r="H225" s="14">
        <f>[1]D!H108</f>
        <v>3</v>
      </c>
      <c r="I225" s="14">
        <f>[1]D!I108</f>
        <v>3</v>
      </c>
      <c r="J225" s="33">
        <f>[1]D!J108</f>
        <v>3</v>
      </c>
      <c r="K225" s="33">
        <f>[1]D!K108</f>
        <v>3</v>
      </c>
      <c r="L225" s="58" t="str">
        <f>[1]D!L108</f>
        <v>X</v>
      </c>
      <c r="M225" s="58" t="str">
        <f>[1]D!M108</f>
        <v>X</v>
      </c>
      <c r="N225" s="14">
        <f>[1]D!N108</f>
        <v>2</v>
      </c>
      <c r="O225" s="14">
        <f>[1]D!O108</f>
        <v>2</v>
      </c>
      <c r="P225" s="14">
        <f>[1]D!P108</f>
        <v>2</v>
      </c>
      <c r="Q225" s="14">
        <f>[1]D!Q108</f>
        <v>2</v>
      </c>
      <c r="R225" s="33">
        <f>[1]D!R108</f>
        <v>2</v>
      </c>
      <c r="S225" s="33">
        <f>[1]D!S108</f>
        <v>2</v>
      </c>
      <c r="T225" s="58" t="str">
        <f>[1]D!T108</f>
        <v>X</v>
      </c>
      <c r="U225" s="58" t="str">
        <f>[1]D!U108</f>
        <v>X</v>
      </c>
      <c r="V225" s="14">
        <f>[1]D!V108</f>
        <v>1</v>
      </c>
      <c r="W225" s="14">
        <f>[1]D!W108</f>
        <v>1</v>
      </c>
      <c r="X225" s="60">
        <f>[1]D!X108</f>
        <v>1</v>
      </c>
      <c r="Y225" s="14">
        <f>[1]D!Y108</f>
        <v>1</v>
      </c>
      <c r="Z225" s="33">
        <f>[1]D!Z108</f>
        <v>1</v>
      </c>
      <c r="AA225" s="33">
        <f>[1]D!AA108</f>
        <v>1</v>
      </c>
      <c r="AB225" s="58" t="str">
        <f>[1]D!AB108</f>
        <v>X</v>
      </c>
      <c r="AC225" s="58" t="str">
        <f>[1]D!AC108</f>
        <v>X</v>
      </c>
      <c r="AD225" s="14">
        <f>[1]D!AD108</f>
        <v>3</v>
      </c>
      <c r="AE225" s="14">
        <f>[1]D!AE108</f>
        <v>3</v>
      </c>
      <c r="AF225" s="14">
        <f>[1]D!AF108</f>
        <v>3</v>
      </c>
      <c r="AH225" s="16">
        <f t="shared" si="27"/>
        <v>0</v>
      </c>
      <c r="AI225" s="16">
        <f t="shared" si="28"/>
        <v>0</v>
      </c>
    </row>
    <row r="226" spans="1:35" ht="20.100000000000001" customHeight="1">
      <c r="A226" s="18" t="str">
        <f>ÖSSZES!$A$78</f>
        <v>Nagy István</v>
      </c>
      <c r="B226" s="33">
        <f>[1]D!B109</f>
        <v>1</v>
      </c>
      <c r="C226" s="33">
        <f>[1]D!C109</f>
        <v>1</v>
      </c>
      <c r="D226" s="58" t="str">
        <f>[1]D!D109</f>
        <v>X</v>
      </c>
      <c r="E226" s="58" t="str">
        <f>[1]D!E109</f>
        <v>X</v>
      </c>
      <c r="F226" s="14">
        <f>[1]D!F109</f>
        <v>3</v>
      </c>
      <c r="G226" s="14">
        <f>[1]D!G109</f>
        <v>3</v>
      </c>
      <c r="H226" s="14">
        <f>[1]D!H109</f>
        <v>3</v>
      </c>
      <c r="I226" s="14">
        <f>[1]D!I109</f>
        <v>3</v>
      </c>
      <c r="J226" s="33">
        <f>[1]D!J109</f>
        <v>3</v>
      </c>
      <c r="K226" s="33">
        <f>[1]D!K109</f>
        <v>3</v>
      </c>
      <c r="L226" s="58" t="str">
        <f>[1]D!L109</f>
        <v>X</v>
      </c>
      <c r="M226" s="58" t="str">
        <f>[1]D!M109</f>
        <v>X</v>
      </c>
      <c r="N226" s="14">
        <f>[1]D!N109</f>
        <v>2</v>
      </c>
      <c r="O226" s="14">
        <f>[1]D!O109</f>
        <v>2</v>
      </c>
      <c r="P226" s="14">
        <f>[1]D!P109</f>
        <v>2</v>
      </c>
      <c r="Q226" s="14">
        <f>[1]D!Q109</f>
        <v>2</v>
      </c>
      <c r="R226" s="33">
        <f>[1]D!R109</f>
        <v>2</v>
      </c>
      <c r="S226" s="33">
        <f>[1]D!S109</f>
        <v>2</v>
      </c>
      <c r="T226" s="58" t="str">
        <f>[1]D!T109</f>
        <v>X</v>
      </c>
      <c r="U226" s="58" t="str">
        <f>[1]D!U109</f>
        <v>X</v>
      </c>
      <c r="V226" s="14">
        <f>[1]D!V109</f>
        <v>1</v>
      </c>
      <c r="W226" s="14">
        <f>[1]D!W109</f>
        <v>1</v>
      </c>
      <c r="X226" s="60">
        <f>[1]D!X109</f>
        <v>1</v>
      </c>
      <c r="Y226" s="14">
        <f>[1]D!Y109</f>
        <v>1</v>
      </c>
      <c r="Z226" s="33">
        <f>[1]D!Z109</f>
        <v>1</v>
      </c>
      <c r="AA226" s="33">
        <f>[1]D!AA109</f>
        <v>1</v>
      </c>
      <c r="AB226" s="58" t="str">
        <f>[1]D!AB109</f>
        <v>X</v>
      </c>
      <c r="AC226" s="58" t="str">
        <f>[1]D!AC109</f>
        <v>X</v>
      </c>
      <c r="AD226" s="14">
        <f>[1]D!AD109</f>
        <v>3</v>
      </c>
      <c r="AE226" s="14">
        <f>[1]D!AE109</f>
        <v>3</v>
      </c>
      <c r="AF226" s="14">
        <f>[1]D!AF109</f>
        <v>3</v>
      </c>
      <c r="AH226" s="16">
        <f t="shared" si="27"/>
        <v>0</v>
      </c>
      <c r="AI226" s="16">
        <f t="shared" si="28"/>
        <v>0</v>
      </c>
    </row>
    <row r="227" spans="1:35" ht="20.100000000000001" hidden="1" customHeight="1">
      <c r="A227" s="18" t="str">
        <f>ÖSSZES!$A$79</f>
        <v>Fényi László</v>
      </c>
      <c r="B227" s="33"/>
      <c r="C227" s="33"/>
      <c r="D227" s="58"/>
      <c r="E227" s="58"/>
      <c r="F227" s="14"/>
      <c r="G227" s="14"/>
      <c r="H227" s="14"/>
      <c r="I227" s="14"/>
      <c r="J227" s="33"/>
      <c r="K227" s="33"/>
      <c r="L227" s="58"/>
      <c r="M227" s="58"/>
      <c r="N227" s="14"/>
      <c r="O227" s="14"/>
      <c r="P227" s="14"/>
      <c r="Q227" s="14"/>
      <c r="R227" s="33"/>
      <c r="S227" s="33"/>
      <c r="T227" s="58"/>
      <c r="U227" s="58"/>
      <c r="V227" s="14"/>
      <c r="W227" s="14"/>
      <c r="X227" s="60"/>
      <c r="Y227" s="14"/>
      <c r="Z227" s="33"/>
      <c r="AA227" s="33"/>
      <c r="AB227" s="58"/>
      <c r="AC227" s="58"/>
      <c r="AD227" s="14"/>
      <c r="AE227" s="14"/>
      <c r="AF227" s="14"/>
      <c r="AH227" s="16">
        <f t="shared" si="27"/>
        <v>0</v>
      </c>
      <c r="AI227" s="16">
        <f t="shared" si="28"/>
        <v>0</v>
      </c>
    </row>
    <row r="228" spans="1:35" ht="20.100000000000001" hidden="1" customHeight="1">
      <c r="A228" s="18" t="str">
        <f>ÖSSZES!$A$80</f>
        <v>Név9</v>
      </c>
      <c r="B228" s="33"/>
      <c r="C228" s="33"/>
      <c r="D228" s="58" t="s">
        <v>2</v>
      </c>
      <c r="E228" s="58" t="s">
        <v>2</v>
      </c>
      <c r="F228" s="14"/>
      <c r="G228" s="14"/>
      <c r="H228" s="14"/>
      <c r="I228" s="14"/>
      <c r="J228" s="33"/>
      <c r="K228" s="33"/>
      <c r="L228" s="58" t="s">
        <v>2</v>
      </c>
      <c r="M228" s="58" t="s">
        <v>2</v>
      </c>
      <c r="N228" s="14"/>
      <c r="O228" s="14"/>
      <c r="P228" s="14"/>
      <c r="Q228" s="14"/>
      <c r="R228" s="33"/>
      <c r="S228" s="33"/>
      <c r="T228" s="58" t="s">
        <v>2</v>
      </c>
      <c r="U228" s="58" t="s">
        <v>2</v>
      </c>
      <c r="V228" s="14"/>
      <c r="W228" s="14"/>
      <c r="X228" s="60"/>
      <c r="Y228" s="14"/>
      <c r="Z228" s="33"/>
      <c r="AA228" s="33"/>
      <c r="AB228" s="58" t="s">
        <v>2</v>
      </c>
      <c r="AC228" s="58" t="s">
        <v>2</v>
      </c>
      <c r="AD228" s="14"/>
      <c r="AE228" s="14"/>
      <c r="AF228" s="14"/>
      <c r="AH228" s="16">
        <f t="shared" si="27"/>
        <v>0</v>
      </c>
      <c r="AI228" s="16">
        <f t="shared" si="28"/>
        <v>0</v>
      </c>
    </row>
    <row r="229" spans="1:35" ht="20.100000000000001" hidden="1" customHeight="1">
      <c r="A229" s="18" t="str">
        <f>ÖSSZES!$A$81</f>
        <v>Név10</v>
      </c>
      <c r="B229" s="33"/>
      <c r="C229" s="33"/>
      <c r="D229" s="58" t="s">
        <v>2</v>
      </c>
      <c r="E229" s="58" t="s">
        <v>2</v>
      </c>
      <c r="F229" s="14"/>
      <c r="G229" s="14"/>
      <c r="H229" s="14"/>
      <c r="I229" s="14"/>
      <c r="J229" s="33"/>
      <c r="K229" s="33"/>
      <c r="L229" s="58" t="s">
        <v>2</v>
      </c>
      <c r="M229" s="58" t="s">
        <v>2</v>
      </c>
      <c r="N229" s="14"/>
      <c r="O229" s="14"/>
      <c r="P229" s="14"/>
      <c r="Q229" s="14"/>
      <c r="R229" s="33"/>
      <c r="S229" s="33"/>
      <c r="T229" s="58" t="s">
        <v>2</v>
      </c>
      <c r="U229" s="58" t="s">
        <v>2</v>
      </c>
      <c r="V229" s="14"/>
      <c r="W229" s="14"/>
      <c r="X229" s="60"/>
      <c r="Y229" s="14"/>
      <c r="Z229" s="33"/>
      <c r="AA229" s="33"/>
      <c r="AB229" s="58" t="s">
        <v>2</v>
      </c>
      <c r="AC229" s="58" t="s">
        <v>2</v>
      </c>
      <c r="AD229" s="14"/>
      <c r="AE229" s="14"/>
      <c r="AF229" s="14"/>
      <c r="AH229" s="16">
        <f t="shared" si="27"/>
        <v>0</v>
      </c>
      <c r="AI229" s="16">
        <f t="shared" si="28"/>
        <v>0</v>
      </c>
    </row>
    <row r="230" spans="1:35" ht="20.100000000000001" hidden="1" customHeight="1">
      <c r="A230" s="18" t="str">
        <f>ÖSSZES!$A$82</f>
        <v>Név11</v>
      </c>
      <c r="B230" s="33"/>
      <c r="C230" s="33"/>
      <c r="D230" s="58" t="s">
        <v>2</v>
      </c>
      <c r="E230" s="58" t="s">
        <v>2</v>
      </c>
      <c r="F230" s="14"/>
      <c r="G230" s="14"/>
      <c r="H230" s="14"/>
      <c r="I230" s="14"/>
      <c r="J230" s="33"/>
      <c r="K230" s="33"/>
      <c r="L230" s="58" t="s">
        <v>2</v>
      </c>
      <c r="M230" s="58" t="s">
        <v>2</v>
      </c>
      <c r="N230" s="14"/>
      <c r="O230" s="14"/>
      <c r="P230" s="14"/>
      <c r="Q230" s="14"/>
      <c r="R230" s="33"/>
      <c r="S230" s="33"/>
      <c r="T230" s="58" t="s">
        <v>2</v>
      </c>
      <c r="U230" s="58" t="s">
        <v>2</v>
      </c>
      <c r="V230" s="14"/>
      <c r="W230" s="14"/>
      <c r="X230" s="60"/>
      <c r="Y230" s="14"/>
      <c r="Z230" s="33"/>
      <c r="AA230" s="33"/>
      <c r="AB230" s="58" t="s">
        <v>2</v>
      </c>
      <c r="AC230" s="58" t="s">
        <v>2</v>
      </c>
      <c r="AD230" s="14"/>
      <c r="AE230" s="14"/>
      <c r="AF230" s="14"/>
      <c r="AH230" s="16">
        <f t="shared" si="27"/>
        <v>0</v>
      </c>
      <c r="AI230" s="16">
        <f t="shared" si="28"/>
        <v>0</v>
      </c>
    </row>
    <row r="231" spans="1:35" ht="20.100000000000001" hidden="1" customHeight="1">
      <c r="A231" s="18" t="str">
        <f>ÖSSZES!$A$83</f>
        <v>Név12</v>
      </c>
      <c r="B231" s="33"/>
      <c r="C231" s="33"/>
      <c r="D231" s="58" t="s">
        <v>2</v>
      </c>
      <c r="E231" s="58" t="s">
        <v>2</v>
      </c>
      <c r="F231" s="14"/>
      <c r="G231" s="14"/>
      <c r="H231" s="14"/>
      <c r="I231" s="14"/>
      <c r="J231" s="33"/>
      <c r="K231" s="33"/>
      <c r="L231" s="58" t="s">
        <v>2</v>
      </c>
      <c r="M231" s="58" t="s">
        <v>2</v>
      </c>
      <c r="N231" s="14"/>
      <c r="O231" s="14"/>
      <c r="P231" s="14"/>
      <c r="Q231" s="14"/>
      <c r="R231" s="33"/>
      <c r="S231" s="33"/>
      <c r="T231" s="58" t="s">
        <v>2</v>
      </c>
      <c r="U231" s="58" t="s">
        <v>2</v>
      </c>
      <c r="V231" s="14"/>
      <c r="W231" s="14"/>
      <c r="X231" s="60"/>
      <c r="Y231" s="14"/>
      <c r="Z231" s="33"/>
      <c r="AA231" s="33"/>
      <c r="AB231" s="58" t="s">
        <v>2</v>
      </c>
      <c r="AC231" s="58" t="s">
        <v>2</v>
      </c>
      <c r="AD231" s="14"/>
      <c r="AE231" s="14"/>
      <c r="AF231" s="14"/>
      <c r="AH231" s="16">
        <f t="shared" si="27"/>
        <v>0</v>
      </c>
      <c r="AI231" s="16">
        <f t="shared" si="28"/>
        <v>0</v>
      </c>
    </row>
    <row r="232" spans="1:35" ht="20.100000000000001" hidden="1" customHeight="1">
      <c r="A232" s="18" t="str">
        <f>ÖSSZES!$A$84</f>
        <v>Név13</v>
      </c>
      <c r="B232" s="33"/>
      <c r="C232" s="33"/>
      <c r="D232" s="58" t="s">
        <v>2</v>
      </c>
      <c r="E232" s="58" t="s">
        <v>2</v>
      </c>
      <c r="F232" s="14"/>
      <c r="G232" s="14"/>
      <c r="H232" s="14"/>
      <c r="I232" s="14"/>
      <c r="J232" s="33"/>
      <c r="K232" s="33"/>
      <c r="L232" s="58" t="s">
        <v>2</v>
      </c>
      <c r="M232" s="58" t="s">
        <v>2</v>
      </c>
      <c r="N232" s="14"/>
      <c r="O232" s="14"/>
      <c r="P232" s="14"/>
      <c r="Q232" s="14"/>
      <c r="R232" s="33"/>
      <c r="S232" s="33"/>
      <c r="T232" s="58" t="s">
        <v>2</v>
      </c>
      <c r="U232" s="58" t="s">
        <v>2</v>
      </c>
      <c r="V232" s="14"/>
      <c r="W232" s="14"/>
      <c r="X232" s="60"/>
      <c r="Y232" s="14"/>
      <c r="Z232" s="33"/>
      <c r="AA232" s="33"/>
      <c r="AB232" s="58" t="s">
        <v>2</v>
      </c>
      <c r="AC232" s="58" t="s">
        <v>2</v>
      </c>
      <c r="AD232" s="14"/>
      <c r="AE232" s="14"/>
      <c r="AF232" s="14"/>
      <c r="AH232" s="16">
        <f t="shared" si="27"/>
        <v>0</v>
      </c>
      <c r="AI232" s="16">
        <f t="shared" si="28"/>
        <v>0</v>
      </c>
    </row>
    <row r="233" spans="1:35" ht="20.100000000000001" hidden="1" customHeight="1">
      <c r="A233" s="18" t="str">
        <f>ÖSSZES!$A$85</f>
        <v>Név14</v>
      </c>
      <c r="B233" s="33"/>
      <c r="C233" s="33"/>
      <c r="D233" s="58" t="s">
        <v>2</v>
      </c>
      <c r="E233" s="58" t="s">
        <v>2</v>
      </c>
      <c r="F233" s="14"/>
      <c r="G233" s="14"/>
      <c r="H233" s="14"/>
      <c r="I233" s="14"/>
      <c r="J233" s="33"/>
      <c r="K233" s="33"/>
      <c r="L233" s="58" t="s">
        <v>2</v>
      </c>
      <c r="M233" s="58" t="s">
        <v>2</v>
      </c>
      <c r="N233" s="14"/>
      <c r="O233" s="14"/>
      <c r="P233" s="14"/>
      <c r="Q233" s="14"/>
      <c r="R233" s="33"/>
      <c r="S233" s="33"/>
      <c r="T233" s="58" t="s">
        <v>2</v>
      </c>
      <c r="U233" s="58" t="s">
        <v>2</v>
      </c>
      <c r="V233" s="14"/>
      <c r="W233" s="14"/>
      <c r="X233" s="60"/>
      <c r="Y233" s="14"/>
      <c r="Z233" s="33"/>
      <c r="AA233" s="33"/>
      <c r="AB233" s="58" t="s">
        <v>2</v>
      </c>
      <c r="AC233" s="58" t="s">
        <v>2</v>
      </c>
      <c r="AD233" s="14"/>
      <c r="AE233" s="14"/>
      <c r="AF233" s="14"/>
      <c r="AH233" s="16">
        <f t="shared" si="27"/>
        <v>0</v>
      </c>
      <c r="AI233" s="16">
        <f t="shared" si="28"/>
        <v>0</v>
      </c>
    </row>
    <row r="234" spans="1:35" ht="20.100000000000001" hidden="1" customHeight="1">
      <c r="A234" s="18" t="str">
        <f>ÖSSZES!$A$86</f>
        <v>Név15</v>
      </c>
      <c r="B234" s="33"/>
      <c r="C234" s="33"/>
      <c r="D234" s="58" t="s">
        <v>2</v>
      </c>
      <c r="E234" s="58" t="s">
        <v>2</v>
      </c>
      <c r="F234" s="14"/>
      <c r="G234" s="14"/>
      <c r="H234" s="14"/>
      <c r="I234" s="14"/>
      <c r="J234" s="33"/>
      <c r="K234" s="33"/>
      <c r="L234" s="58" t="s">
        <v>2</v>
      </c>
      <c r="M234" s="58" t="s">
        <v>2</v>
      </c>
      <c r="N234" s="14"/>
      <c r="O234" s="14"/>
      <c r="P234" s="14"/>
      <c r="Q234" s="14"/>
      <c r="R234" s="33"/>
      <c r="S234" s="33"/>
      <c r="T234" s="58" t="s">
        <v>2</v>
      </c>
      <c r="U234" s="58" t="s">
        <v>2</v>
      </c>
      <c r="V234" s="14"/>
      <c r="W234" s="14"/>
      <c r="X234" s="60"/>
      <c r="Y234" s="14"/>
      <c r="Z234" s="33"/>
      <c r="AA234" s="33"/>
      <c r="AB234" s="58" t="s">
        <v>2</v>
      </c>
      <c r="AC234" s="58" t="s">
        <v>2</v>
      </c>
      <c r="AD234" s="14"/>
      <c r="AE234" s="14"/>
      <c r="AF234" s="14"/>
      <c r="AH234" s="16">
        <f t="shared" si="27"/>
        <v>0</v>
      </c>
      <c r="AI234" s="16">
        <f t="shared" si="28"/>
        <v>0</v>
      </c>
    </row>
    <row r="235" spans="1:35" ht="20.100000000000001" hidden="1" customHeight="1">
      <c r="A235" s="18" t="str">
        <f>ÖSSZES!$A$87</f>
        <v>Név16</v>
      </c>
      <c r="B235" s="33"/>
      <c r="C235" s="33"/>
      <c r="D235" s="58" t="s">
        <v>2</v>
      </c>
      <c r="E235" s="58" t="s">
        <v>2</v>
      </c>
      <c r="F235" s="14"/>
      <c r="G235" s="14"/>
      <c r="H235" s="14"/>
      <c r="I235" s="14"/>
      <c r="J235" s="33"/>
      <c r="K235" s="33"/>
      <c r="L235" s="58" t="s">
        <v>2</v>
      </c>
      <c r="M235" s="58" t="s">
        <v>2</v>
      </c>
      <c r="N235" s="14"/>
      <c r="O235" s="14"/>
      <c r="P235" s="14"/>
      <c r="Q235" s="14"/>
      <c r="R235" s="33"/>
      <c r="S235" s="33"/>
      <c r="T235" s="58" t="s">
        <v>2</v>
      </c>
      <c r="U235" s="58" t="s">
        <v>2</v>
      </c>
      <c r="V235" s="14"/>
      <c r="W235" s="14"/>
      <c r="X235" s="60"/>
      <c r="Y235" s="14"/>
      <c r="Z235" s="33"/>
      <c r="AA235" s="33"/>
      <c r="AB235" s="58" t="s">
        <v>2</v>
      </c>
      <c r="AC235" s="58" t="s">
        <v>2</v>
      </c>
      <c r="AD235" s="14"/>
      <c r="AE235" s="14"/>
      <c r="AF235" s="14"/>
      <c r="AH235" s="16">
        <f t="shared" si="27"/>
        <v>0</v>
      </c>
      <c r="AI235" s="16">
        <f t="shared" si="28"/>
        <v>0</v>
      </c>
    </row>
    <row r="236" spans="1:35" ht="20.100000000000001" hidden="1" customHeight="1">
      <c r="A236" s="18" t="str">
        <f>ÖSSZES!$A$88</f>
        <v>Név17</v>
      </c>
      <c r="B236" s="33"/>
      <c r="C236" s="33"/>
      <c r="D236" s="58" t="s">
        <v>2</v>
      </c>
      <c r="E236" s="58" t="s">
        <v>2</v>
      </c>
      <c r="F236" s="14"/>
      <c r="G236" s="14"/>
      <c r="H236" s="14"/>
      <c r="I236" s="14"/>
      <c r="J236" s="33"/>
      <c r="K236" s="33"/>
      <c r="L236" s="58" t="s">
        <v>2</v>
      </c>
      <c r="M236" s="58" t="s">
        <v>2</v>
      </c>
      <c r="N236" s="14"/>
      <c r="O236" s="14"/>
      <c r="P236" s="14"/>
      <c r="Q236" s="14"/>
      <c r="R236" s="33"/>
      <c r="S236" s="33"/>
      <c r="T236" s="58" t="s">
        <v>2</v>
      </c>
      <c r="U236" s="58" t="s">
        <v>2</v>
      </c>
      <c r="V236" s="14"/>
      <c r="W236" s="14"/>
      <c r="X236" s="60"/>
      <c r="Y236" s="14"/>
      <c r="Z236" s="33"/>
      <c r="AA236" s="33"/>
      <c r="AB236" s="58" t="s">
        <v>2</v>
      </c>
      <c r="AC236" s="58" t="s">
        <v>2</v>
      </c>
      <c r="AD236" s="14"/>
      <c r="AE236" s="14"/>
      <c r="AF236" s="14"/>
      <c r="AH236" s="16">
        <f t="shared" si="27"/>
        <v>0</v>
      </c>
      <c r="AI236" s="16">
        <f t="shared" si="28"/>
        <v>0</v>
      </c>
    </row>
    <row r="237" spans="1:35" ht="20.100000000000001" hidden="1" customHeight="1">
      <c r="A237" s="18" t="str">
        <f>ÖSSZES!$A$89</f>
        <v>Név18</v>
      </c>
      <c r="B237" s="33"/>
      <c r="C237" s="33"/>
      <c r="D237" s="58" t="s">
        <v>2</v>
      </c>
      <c r="E237" s="58" t="s">
        <v>2</v>
      </c>
      <c r="F237" s="14"/>
      <c r="G237" s="14"/>
      <c r="H237" s="14"/>
      <c r="I237" s="14"/>
      <c r="J237" s="33"/>
      <c r="K237" s="33"/>
      <c r="L237" s="58" t="s">
        <v>2</v>
      </c>
      <c r="M237" s="58" t="s">
        <v>2</v>
      </c>
      <c r="N237" s="14"/>
      <c r="O237" s="14"/>
      <c r="P237" s="14"/>
      <c r="Q237" s="14"/>
      <c r="R237" s="33"/>
      <c r="S237" s="33"/>
      <c r="T237" s="58" t="s">
        <v>2</v>
      </c>
      <c r="U237" s="58" t="s">
        <v>2</v>
      </c>
      <c r="V237" s="14"/>
      <c r="W237" s="14"/>
      <c r="X237" s="60"/>
      <c r="Y237" s="14"/>
      <c r="Z237" s="33"/>
      <c r="AA237" s="33"/>
      <c r="AB237" s="58" t="s">
        <v>2</v>
      </c>
      <c r="AC237" s="58" t="s">
        <v>2</v>
      </c>
      <c r="AD237" s="14"/>
      <c r="AE237" s="14"/>
      <c r="AF237" s="14"/>
      <c r="AH237" s="16">
        <f t="shared" si="27"/>
        <v>0</v>
      </c>
      <c r="AI237" s="16">
        <f t="shared" si="28"/>
        <v>0</v>
      </c>
    </row>
    <row r="238" spans="1:35" ht="20.100000000000001" hidden="1" customHeight="1">
      <c r="A238" s="18" t="str">
        <f>ÖSSZES!$A$90</f>
        <v>Név19</v>
      </c>
      <c r="B238" s="33"/>
      <c r="C238" s="33"/>
      <c r="D238" s="58" t="s">
        <v>2</v>
      </c>
      <c r="E238" s="58" t="s">
        <v>2</v>
      </c>
      <c r="F238" s="14"/>
      <c r="G238" s="14"/>
      <c r="H238" s="14"/>
      <c r="I238" s="14"/>
      <c r="J238" s="33"/>
      <c r="K238" s="33"/>
      <c r="L238" s="58" t="s">
        <v>2</v>
      </c>
      <c r="M238" s="58" t="s">
        <v>2</v>
      </c>
      <c r="N238" s="14"/>
      <c r="O238" s="14"/>
      <c r="P238" s="14"/>
      <c r="Q238" s="14"/>
      <c r="R238" s="33"/>
      <c r="S238" s="33"/>
      <c r="T238" s="58" t="s">
        <v>2</v>
      </c>
      <c r="U238" s="58" t="s">
        <v>2</v>
      </c>
      <c r="V238" s="14"/>
      <c r="W238" s="14"/>
      <c r="X238" s="60"/>
      <c r="Y238" s="14"/>
      <c r="Z238" s="33"/>
      <c r="AA238" s="33"/>
      <c r="AB238" s="58" t="s">
        <v>2</v>
      </c>
      <c r="AC238" s="58" t="s">
        <v>2</v>
      </c>
      <c r="AD238" s="14"/>
      <c r="AE238" s="14"/>
      <c r="AF238" s="14"/>
      <c r="AH238" s="16">
        <f t="shared" si="27"/>
        <v>0</v>
      </c>
      <c r="AI238" s="16">
        <f t="shared" si="28"/>
        <v>0</v>
      </c>
    </row>
    <row r="239" spans="1:35" ht="20.100000000000001" hidden="1" customHeight="1">
      <c r="A239" s="18" t="str">
        <f>ÖSSZES!$A$91</f>
        <v>Név20</v>
      </c>
      <c r="B239" s="33"/>
      <c r="C239" s="33"/>
      <c r="D239" s="58" t="s">
        <v>2</v>
      </c>
      <c r="E239" s="58" t="s">
        <v>2</v>
      </c>
      <c r="F239" s="14"/>
      <c r="G239" s="14"/>
      <c r="H239" s="14"/>
      <c r="I239" s="14"/>
      <c r="J239" s="33"/>
      <c r="K239" s="33"/>
      <c r="L239" s="58" t="s">
        <v>2</v>
      </c>
      <c r="M239" s="58" t="s">
        <v>2</v>
      </c>
      <c r="N239" s="14"/>
      <c r="O239" s="14"/>
      <c r="P239" s="14"/>
      <c r="Q239" s="14"/>
      <c r="R239" s="33"/>
      <c r="S239" s="33"/>
      <c r="T239" s="58" t="s">
        <v>2</v>
      </c>
      <c r="U239" s="58" t="s">
        <v>2</v>
      </c>
      <c r="V239" s="14"/>
      <c r="W239" s="14"/>
      <c r="X239" s="60"/>
      <c r="Y239" s="14"/>
      <c r="Z239" s="33"/>
      <c r="AA239" s="33"/>
      <c r="AB239" s="58" t="s">
        <v>2</v>
      </c>
      <c r="AC239" s="58" t="s">
        <v>2</v>
      </c>
      <c r="AD239" s="14"/>
      <c r="AE239" s="14"/>
      <c r="AF239" s="14"/>
      <c r="AH239" s="16">
        <f t="shared" si="27"/>
        <v>0</v>
      </c>
      <c r="AI239" s="16">
        <f t="shared" si="28"/>
        <v>0</v>
      </c>
    </row>
    <row r="240" spans="1:35" ht="20.100000000000001" customHeight="1">
      <c r="A240" s="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H240" s="9"/>
      <c r="AI240" s="9"/>
    </row>
    <row r="241" spans="1:35" s="6" customFormat="1" ht="20.100000000000001" customHeight="1">
      <c r="A241" s="91" t="s">
        <v>15</v>
      </c>
      <c r="B241" s="19">
        <v>1</v>
      </c>
      <c r="C241" s="17">
        <v>2</v>
      </c>
      <c r="D241" s="17">
        <v>3</v>
      </c>
      <c r="E241" s="17">
        <v>4</v>
      </c>
      <c r="F241" s="17">
        <v>5</v>
      </c>
      <c r="G241" s="17">
        <v>6</v>
      </c>
      <c r="H241" s="17">
        <v>7</v>
      </c>
      <c r="I241" s="17">
        <v>8</v>
      </c>
      <c r="J241" s="17">
        <v>9</v>
      </c>
      <c r="K241" s="17">
        <v>10</v>
      </c>
      <c r="L241" s="17">
        <v>11</v>
      </c>
      <c r="M241" s="17">
        <v>12</v>
      </c>
      <c r="N241" s="17">
        <v>13</v>
      </c>
      <c r="O241" s="17">
        <v>14</v>
      </c>
      <c r="P241" s="17">
        <v>15</v>
      </c>
      <c r="Q241" s="17">
        <v>16</v>
      </c>
      <c r="R241" s="17">
        <v>17</v>
      </c>
      <c r="S241" s="17">
        <v>18</v>
      </c>
      <c r="T241" s="17">
        <v>19</v>
      </c>
      <c r="U241" s="17">
        <v>20</v>
      </c>
      <c r="V241" s="17">
        <v>21</v>
      </c>
      <c r="W241" s="17">
        <v>22</v>
      </c>
      <c r="X241" s="17">
        <v>23</v>
      </c>
      <c r="Y241" s="17">
        <v>24</v>
      </c>
      <c r="Z241" s="17">
        <v>25</v>
      </c>
      <c r="AA241" s="17">
        <v>26</v>
      </c>
      <c r="AB241" s="17">
        <v>27</v>
      </c>
      <c r="AC241" s="17">
        <v>28</v>
      </c>
      <c r="AD241" s="17">
        <v>29</v>
      </c>
      <c r="AE241" s="17">
        <v>30</v>
      </c>
      <c r="AH241" s="93" t="s">
        <v>18</v>
      </c>
      <c r="AI241" s="93" t="s">
        <v>19</v>
      </c>
    </row>
    <row r="242" spans="1:35" ht="20.100000000000001" customHeight="1">
      <c r="A242" s="96"/>
      <c r="B242" s="10" t="str">
        <f>'2020'!B84</f>
        <v>V</v>
      </c>
      <c r="C242" s="10" t="str">
        <f>'2020'!C84</f>
        <v>H</v>
      </c>
      <c r="D242" s="10" t="str">
        <f>'2020'!D84</f>
        <v>K</v>
      </c>
      <c r="E242" s="10" t="str">
        <f>'2020'!E84</f>
        <v>Sze</v>
      </c>
      <c r="F242" s="10" t="str">
        <f>'2020'!F84</f>
        <v>Cs</v>
      </c>
      <c r="G242" s="10" t="str">
        <f>'2020'!G84</f>
        <v>P</v>
      </c>
      <c r="H242" s="10" t="str">
        <f>'2020'!H84</f>
        <v>Szo</v>
      </c>
      <c r="I242" s="10" t="str">
        <f>'2020'!I84</f>
        <v>V</v>
      </c>
      <c r="J242" s="10" t="str">
        <f>'2020'!J84</f>
        <v>H</v>
      </c>
      <c r="K242" s="10" t="str">
        <f>'2020'!K84</f>
        <v>K</v>
      </c>
      <c r="L242" s="10" t="str">
        <f>'2020'!L84</f>
        <v>Sze</v>
      </c>
      <c r="M242" s="10" t="str">
        <f>'2020'!M84</f>
        <v>Cs</v>
      </c>
      <c r="N242" s="10" t="str">
        <f>'2020'!N84</f>
        <v>P</v>
      </c>
      <c r="O242" s="10" t="str">
        <f>'2020'!O84</f>
        <v>Szo</v>
      </c>
      <c r="P242" s="10" t="str">
        <f>'2020'!P84</f>
        <v>V</v>
      </c>
      <c r="Q242" s="10" t="str">
        <f>'2020'!Q84</f>
        <v>H</v>
      </c>
      <c r="R242" s="10" t="str">
        <f>'2020'!R84</f>
        <v>K</v>
      </c>
      <c r="S242" s="10" t="str">
        <f>'2020'!S84</f>
        <v>Sze</v>
      </c>
      <c r="T242" s="10" t="str">
        <f>'2020'!T84</f>
        <v>Cs</v>
      </c>
      <c r="U242" s="10" t="str">
        <f>'2020'!U84</f>
        <v>P</v>
      </c>
      <c r="V242" s="10" t="str">
        <f>'2020'!V84</f>
        <v>Szo</v>
      </c>
      <c r="W242" s="10" t="str">
        <f>'2020'!W84</f>
        <v>V</v>
      </c>
      <c r="X242" s="10" t="str">
        <f>'2020'!X84</f>
        <v>H</v>
      </c>
      <c r="Y242" s="10" t="str">
        <f>'2020'!Y84</f>
        <v>K</v>
      </c>
      <c r="Z242" s="10" t="str">
        <f>'2020'!Z84</f>
        <v>Sze</v>
      </c>
      <c r="AA242" s="10" t="str">
        <f>'2020'!AA84</f>
        <v>Cs</v>
      </c>
      <c r="AB242" s="10" t="str">
        <f>'2020'!AB84</f>
        <v>P</v>
      </c>
      <c r="AC242" s="10" t="str">
        <f>'2020'!AC84</f>
        <v>Szo</v>
      </c>
      <c r="AD242" s="10" t="str">
        <f>'2020'!AD84</f>
        <v>V</v>
      </c>
      <c r="AE242" s="10" t="str">
        <f>'2020'!AE84</f>
        <v>H</v>
      </c>
      <c r="AF242" s="1"/>
      <c r="AH242" s="94"/>
      <c r="AI242" s="94"/>
    </row>
    <row r="243" spans="1:35" ht="20.100000000000001" customHeight="1">
      <c r="A243" s="96"/>
      <c r="B243" s="10">
        <f>'2020'!B88</f>
        <v>3</v>
      </c>
      <c r="C243" s="10">
        <f>'2020'!C88</f>
        <v>3</v>
      </c>
      <c r="D243" s="10">
        <f>'2020'!D88</f>
        <v>3</v>
      </c>
      <c r="E243" s="10" t="str">
        <f>'2020'!E88</f>
        <v>X</v>
      </c>
      <c r="F243" s="10" t="str">
        <f>'2020'!F88</f>
        <v>X</v>
      </c>
      <c r="G243" s="10">
        <f>'2020'!G88</f>
        <v>2</v>
      </c>
      <c r="H243" s="10">
        <f>'2020'!H88</f>
        <v>2</v>
      </c>
      <c r="I243" s="10">
        <f>'2020'!I88</f>
        <v>2</v>
      </c>
      <c r="J243" s="10">
        <f>'2020'!J88</f>
        <v>2</v>
      </c>
      <c r="K243" s="10">
        <f>'2020'!K88</f>
        <v>2</v>
      </c>
      <c r="L243" s="10">
        <f>'2020'!L88</f>
        <v>2</v>
      </c>
      <c r="M243" s="10" t="str">
        <f>'2020'!M88</f>
        <v>X</v>
      </c>
      <c r="N243" s="10" t="str">
        <f>'2020'!N88</f>
        <v>X</v>
      </c>
      <c r="O243" s="10">
        <f>'2020'!O88</f>
        <v>1</v>
      </c>
      <c r="P243" s="10">
        <f>'2020'!P88</f>
        <v>1</v>
      </c>
      <c r="Q243" s="10">
        <f>'2020'!Q88</f>
        <v>1</v>
      </c>
      <c r="R243" s="10">
        <f>'2020'!R88</f>
        <v>1</v>
      </c>
      <c r="S243" s="10">
        <f>'2020'!S88</f>
        <v>1</v>
      </c>
      <c r="T243" s="10">
        <f>'2020'!T88</f>
        <v>1</v>
      </c>
      <c r="U243" s="10" t="str">
        <f>'2020'!U88</f>
        <v>X</v>
      </c>
      <c r="V243" s="10" t="str">
        <f>'2020'!V88</f>
        <v>X</v>
      </c>
      <c r="W243" s="10">
        <f>'2020'!W88</f>
        <v>3</v>
      </c>
      <c r="X243" s="10">
        <f>'2020'!X88</f>
        <v>3</v>
      </c>
      <c r="Y243" s="10">
        <f>'2020'!Y88</f>
        <v>3</v>
      </c>
      <c r="Z243" s="10">
        <f>'2020'!Z88</f>
        <v>3</v>
      </c>
      <c r="AA243" s="10">
        <f>'2020'!AA88</f>
        <v>3</v>
      </c>
      <c r="AB243" s="10">
        <f>'2020'!AB88</f>
        <v>3</v>
      </c>
      <c r="AC243" s="10" t="str">
        <f>'2020'!AC88</f>
        <v>X</v>
      </c>
      <c r="AD243" s="10" t="str">
        <f>'2020'!AD88</f>
        <v>X</v>
      </c>
      <c r="AE243" s="10">
        <f>'2020'!AE88</f>
        <v>2</v>
      </c>
      <c r="AF243" s="1"/>
      <c r="AH243" s="94"/>
      <c r="AI243" s="94"/>
    </row>
    <row r="244" spans="1:35" ht="20.100000000000001" customHeight="1">
      <c r="A244" s="18" t="str">
        <f>ÖSSZES!$A$72</f>
        <v>Daku Gábor</v>
      </c>
      <c r="B244" s="60">
        <f>[1]D!B114</f>
        <v>3</v>
      </c>
      <c r="C244" s="33">
        <f>[1]D!C114</f>
        <v>3</v>
      </c>
      <c r="D244" s="33">
        <f>[1]D!D114</f>
        <v>3</v>
      </c>
      <c r="E244" s="58" t="str">
        <f>[1]D!E114</f>
        <v>X</v>
      </c>
      <c r="F244" s="58" t="str">
        <f>[1]D!F114</f>
        <v>X</v>
      </c>
      <c r="G244" s="14">
        <f>[1]D!G114</f>
        <v>2</v>
      </c>
      <c r="H244" s="14">
        <f>[1]D!H114</f>
        <v>2</v>
      </c>
      <c r="I244" s="14">
        <f>[1]D!I114</f>
        <v>2</v>
      </c>
      <c r="J244" s="14">
        <f>[1]D!J114</f>
        <v>2</v>
      </c>
      <c r="K244" s="33">
        <f>[1]D!K114</f>
        <v>2</v>
      </c>
      <c r="L244" s="33">
        <f>[1]D!L114</f>
        <v>2</v>
      </c>
      <c r="M244" s="58" t="str">
        <f>[1]D!M114</f>
        <v>X</v>
      </c>
      <c r="N244" s="58" t="str">
        <f>[1]D!N114</f>
        <v>X</v>
      </c>
      <c r="O244" s="14">
        <f>[1]D!O114</f>
        <v>1</v>
      </c>
      <c r="P244" s="14">
        <f>[1]D!P114</f>
        <v>1</v>
      </c>
      <c r="Q244" s="14">
        <f>[1]D!Q114</f>
        <v>1</v>
      </c>
      <c r="R244" s="14">
        <f>[1]D!R114</f>
        <v>1</v>
      </c>
      <c r="S244" s="33">
        <f>[1]D!S114</f>
        <v>1</v>
      </c>
      <c r="T244" s="33">
        <f>[1]D!T114</f>
        <v>1</v>
      </c>
      <c r="U244" s="58" t="str">
        <f>[1]D!U114</f>
        <v>X</v>
      </c>
      <c r="V244" s="58" t="str">
        <f>[1]D!V114</f>
        <v>X</v>
      </c>
      <c r="W244" s="14">
        <f>[1]D!W114</f>
        <v>3</v>
      </c>
      <c r="X244" s="14">
        <f>[1]D!X114</f>
        <v>3</v>
      </c>
      <c r="Y244" s="14">
        <f>[1]D!Y114</f>
        <v>3</v>
      </c>
      <c r="Z244" s="14">
        <f>[1]D!Z114</f>
        <v>3</v>
      </c>
      <c r="AA244" s="33">
        <f>[1]D!AA114</f>
        <v>3</v>
      </c>
      <c r="AB244" s="33">
        <f>[1]D!AB114</f>
        <v>3</v>
      </c>
      <c r="AC244" s="58" t="str">
        <f>[1]D!AC114</f>
        <v>X</v>
      </c>
      <c r="AD244" s="58" t="str">
        <f>[1]D!AD114</f>
        <v>X</v>
      </c>
      <c r="AE244" s="14">
        <f>[1]D!AE114</f>
        <v>2</v>
      </c>
      <c r="AF244" s="1"/>
      <c r="AH244" s="16">
        <f>1*COUNTIF(A244:AF244,"+")</f>
        <v>0</v>
      </c>
      <c r="AI244" s="16">
        <f t="shared" ref="AI244" si="29">1*COUNTIF(B244:AF244,"szf")</f>
        <v>0</v>
      </c>
    </row>
    <row r="245" spans="1:35" ht="20.100000000000001" customHeight="1">
      <c r="A245" s="18" t="str">
        <f>ÖSSZES!$A$73</f>
        <v>Borbély Csaba</v>
      </c>
      <c r="B245" s="60">
        <f>[1]D!B115</f>
        <v>3</v>
      </c>
      <c r="C245" s="33">
        <f>[1]D!C115</f>
        <v>3</v>
      </c>
      <c r="D245" s="33">
        <f>[1]D!D115</f>
        <v>3</v>
      </c>
      <c r="E245" s="58" t="str">
        <f>[1]D!E115</f>
        <v>X</v>
      </c>
      <c r="F245" s="58" t="str">
        <f>[1]D!F115</f>
        <v>X</v>
      </c>
      <c r="G245" s="14">
        <f>[1]D!G115</f>
        <v>2</v>
      </c>
      <c r="H245" s="14">
        <f>[1]D!H115</f>
        <v>2</v>
      </c>
      <c r="I245" s="14">
        <f>[1]D!I115</f>
        <v>2</v>
      </c>
      <c r="J245" s="14">
        <f>[1]D!J115</f>
        <v>2</v>
      </c>
      <c r="K245" s="33">
        <f>[1]D!K115</f>
        <v>2</v>
      </c>
      <c r="L245" s="33">
        <f>[1]D!L115</f>
        <v>2</v>
      </c>
      <c r="M245" s="58" t="str">
        <f>[1]D!M115</f>
        <v>X</v>
      </c>
      <c r="N245" s="58" t="str">
        <f>[1]D!N115</f>
        <v>X</v>
      </c>
      <c r="O245" s="14">
        <f>[1]D!O115</f>
        <v>1</v>
      </c>
      <c r="P245" s="14">
        <f>[1]D!P115</f>
        <v>1</v>
      </c>
      <c r="Q245" s="14">
        <f>[1]D!Q115</f>
        <v>1</v>
      </c>
      <c r="R245" s="14">
        <f>[1]D!R115</f>
        <v>1</v>
      </c>
      <c r="S245" s="33">
        <f>[1]D!S115</f>
        <v>1</v>
      </c>
      <c r="T245" s="33">
        <f>[1]D!T115</f>
        <v>1</v>
      </c>
      <c r="U245" s="58" t="str">
        <f>[1]D!U115</f>
        <v>X</v>
      </c>
      <c r="V245" s="58" t="str">
        <f>[1]D!V115</f>
        <v>X</v>
      </c>
      <c r="W245" s="14">
        <f>[1]D!W115</f>
        <v>3</v>
      </c>
      <c r="X245" s="14">
        <f>[1]D!X115</f>
        <v>3</v>
      </c>
      <c r="Y245" s="14">
        <f>[1]D!Y115</f>
        <v>3</v>
      </c>
      <c r="Z245" s="14">
        <f>[1]D!Z115</f>
        <v>3</v>
      </c>
      <c r="AA245" s="33">
        <f>[1]D!AA115</f>
        <v>3</v>
      </c>
      <c r="AB245" s="33">
        <f>[1]D!AB115</f>
        <v>3</v>
      </c>
      <c r="AC245" s="58" t="str">
        <f>[1]D!AC115</f>
        <v>X</v>
      </c>
      <c r="AD245" s="58" t="str">
        <f>[1]D!AD115</f>
        <v>X</v>
      </c>
      <c r="AE245" s="14">
        <f>[1]D!AE115</f>
        <v>2</v>
      </c>
      <c r="AF245" s="1"/>
      <c r="AH245" s="16">
        <f t="shared" ref="AH245:AH263" si="30">1*COUNTIF(A245:AF245,"+")</f>
        <v>0</v>
      </c>
      <c r="AI245" s="16">
        <f t="shared" ref="AI245:AI263" si="31">1*COUNTIF(B245:AF245,"szf")</f>
        <v>0</v>
      </c>
    </row>
    <row r="246" spans="1:35" ht="20.100000000000001" customHeight="1">
      <c r="A246" s="18" t="str">
        <f>ÖSSZES!$A$74</f>
        <v>Erdei Bálint</v>
      </c>
      <c r="B246" s="60">
        <f>[1]D!B116</f>
        <v>3</v>
      </c>
      <c r="C246" s="33">
        <f>[1]D!C116</f>
        <v>3</v>
      </c>
      <c r="D246" s="33">
        <f>[1]D!D116</f>
        <v>3</v>
      </c>
      <c r="E246" s="58" t="str">
        <f>[1]D!E116</f>
        <v>X</v>
      </c>
      <c r="F246" s="58" t="str">
        <f>[1]D!F116</f>
        <v>X</v>
      </c>
      <c r="G246" s="14">
        <f>[1]D!G116</f>
        <v>2</v>
      </c>
      <c r="H246" s="14">
        <f>[1]D!H116</f>
        <v>2</v>
      </c>
      <c r="I246" s="14">
        <f>[1]D!I116</f>
        <v>2</v>
      </c>
      <c r="J246" s="14">
        <f>[1]D!J116</f>
        <v>2</v>
      </c>
      <c r="K246" s="33">
        <f>[1]D!K116</f>
        <v>2</v>
      </c>
      <c r="L246" s="33">
        <f>[1]D!L116</f>
        <v>2</v>
      </c>
      <c r="M246" s="58" t="str">
        <f>[1]D!M116</f>
        <v>X</v>
      </c>
      <c r="N246" s="58" t="str">
        <f>[1]D!N116</f>
        <v>X</v>
      </c>
      <c r="O246" s="14">
        <f>[1]D!O116</f>
        <v>1</v>
      </c>
      <c r="P246" s="14">
        <f>[1]D!P116</f>
        <v>1</v>
      </c>
      <c r="Q246" s="14">
        <f>[1]D!Q116</f>
        <v>1</v>
      </c>
      <c r="R246" s="14">
        <f>[1]D!R116</f>
        <v>1</v>
      </c>
      <c r="S246" s="33">
        <f>[1]D!S116</f>
        <v>1</v>
      </c>
      <c r="T246" s="33">
        <f>[1]D!T116</f>
        <v>1</v>
      </c>
      <c r="U246" s="58" t="str">
        <f>[1]D!U116</f>
        <v>X</v>
      </c>
      <c r="V246" s="58" t="str">
        <f>[1]D!V116</f>
        <v>X</v>
      </c>
      <c r="W246" s="14">
        <f>[1]D!W116</f>
        <v>3</v>
      </c>
      <c r="X246" s="14">
        <f>[1]D!X116</f>
        <v>3</v>
      </c>
      <c r="Y246" s="14">
        <f>[1]D!Y116</f>
        <v>3</v>
      </c>
      <c r="Z246" s="14">
        <f>[1]D!Z116</f>
        <v>3</v>
      </c>
      <c r="AA246" s="33">
        <f>[1]D!AA116</f>
        <v>3</v>
      </c>
      <c r="AB246" s="33">
        <f>[1]D!AB116</f>
        <v>3</v>
      </c>
      <c r="AC246" s="58" t="str">
        <f>[1]D!AC116</f>
        <v>X</v>
      </c>
      <c r="AD246" s="58" t="str">
        <f>[1]D!AD116</f>
        <v>X</v>
      </c>
      <c r="AE246" s="14">
        <f>[1]D!AE116</f>
        <v>2</v>
      </c>
      <c r="AF246" s="1"/>
      <c r="AH246" s="16">
        <f t="shared" si="30"/>
        <v>0</v>
      </c>
      <c r="AI246" s="16">
        <f t="shared" si="31"/>
        <v>0</v>
      </c>
    </row>
    <row r="247" spans="1:35" ht="20.100000000000001" customHeight="1">
      <c r="A247" s="18" t="str">
        <f>ÖSSZES!$A$75</f>
        <v>Fábián Gábor</v>
      </c>
      <c r="B247" s="60">
        <f>[1]D!B117</f>
        <v>3</v>
      </c>
      <c r="C247" s="33">
        <f>[1]D!C117</f>
        <v>3</v>
      </c>
      <c r="D247" s="33">
        <f>[1]D!D117</f>
        <v>3</v>
      </c>
      <c r="E247" s="58" t="str">
        <f>[1]D!E117</f>
        <v>X</v>
      </c>
      <c r="F247" s="58" t="str">
        <f>[1]D!F117</f>
        <v>X</v>
      </c>
      <c r="G247" s="14">
        <f>[1]D!G117</f>
        <v>2</v>
      </c>
      <c r="H247" s="14">
        <f>[1]D!H117</f>
        <v>2</v>
      </c>
      <c r="I247" s="14">
        <f>[1]D!I117</f>
        <v>2</v>
      </c>
      <c r="J247" s="14">
        <f>[1]D!J117</f>
        <v>2</v>
      </c>
      <c r="K247" s="33">
        <f>[1]D!K117</f>
        <v>2</v>
      </c>
      <c r="L247" s="33">
        <f>[1]D!L117</f>
        <v>2</v>
      </c>
      <c r="M247" s="58" t="str">
        <f>[1]D!M117</f>
        <v>X</v>
      </c>
      <c r="N247" s="58" t="str">
        <f>[1]D!N117</f>
        <v>X</v>
      </c>
      <c r="O247" s="14">
        <f>[1]D!O117</f>
        <v>1</v>
      </c>
      <c r="P247" s="14">
        <f>[1]D!P117</f>
        <v>1</v>
      </c>
      <c r="Q247" s="14">
        <f>[1]D!Q117</f>
        <v>1</v>
      </c>
      <c r="R247" s="14">
        <f>[1]D!R117</f>
        <v>1</v>
      </c>
      <c r="S247" s="33">
        <f>[1]D!S117</f>
        <v>1</v>
      </c>
      <c r="T247" s="33">
        <f>[1]D!T117</f>
        <v>1</v>
      </c>
      <c r="U247" s="58" t="str">
        <f>[1]D!U117</f>
        <v>X</v>
      </c>
      <c r="V247" s="58" t="str">
        <f>[1]D!V117</f>
        <v>X</v>
      </c>
      <c r="W247" s="14">
        <f>[1]D!W117</f>
        <v>3</v>
      </c>
      <c r="X247" s="14">
        <f>[1]D!X117</f>
        <v>3</v>
      </c>
      <c r="Y247" s="14">
        <f>[1]D!Y117</f>
        <v>3</v>
      </c>
      <c r="Z247" s="14">
        <f>[1]D!Z117</f>
        <v>3</v>
      </c>
      <c r="AA247" s="33">
        <f>[1]D!AA117</f>
        <v>3</v>
      </c>
      <c r="AB247" s="33">
        <f>[1]D!AB117</f>
        <v>3</v>
      </c>
      <c r="AC247" s="58" t="str">
        <f>[1]D!AC117</f>
        <v>X</v>
      </c>
      <c r="AD247" s="58" t="str">
        <f>[1]D!AD117</f>
        <v>X</v>
      </c>
      <c r="AE247" s="14">
        <f>[1]D!AE117</f>
        <v>2</v>
      </c>
      <c r="AF247" s="1"/>
      <c r="AH247" s="16">
        <f t="shared" si="30"/>
        <v>0</v>
      </c>
      <c r="AI247" s="16">
        <f t="shared" si="31"/>
        <v>0</v>
      </c>
    </row>
    <row r="248" spans="1:35" ht="20.100000000000001" customHeight="1">
      <c r="A248" s="18" t="str">
        <f>ÖSSZES!$A$76</f>
        <v>Gellei Zsolt</v>
      </c>
      <c r="B248" s="60">
        <f>[1]D!B118</f>
        <v>3</v>
      </c>
      <c r="C248" s="33">
        <f>[1]D!C118</f>
        <v>3</v>
      </c>
      <c r="D248" s="33">
        <f>[1]D!D118</f>
        <v>3</v>
      </c>
      <c r="E248" s="58" t="str">
        <f>[1]D!E118</f>
        <v>X</v>
      </c>
      <c r="F248" s="58" t="str">
        <f>[1]D!F118</f>
        <v>X</v>
      </c>
      <c r="G248" s="14">
        <f>[1]D!G118</f>
        <v>2</v>
      </c>
      <c r="H248" s="14">
        <f>[1]D!H118</f>
        <v>2</v>
      </c>
      <c r="I248" s="14">
        <f>[1]D!I118</f>
        <v>2</v>
      </c>
      <c r="J248" s="14">
        <f>[1]D!J118</f>
        <v>2</v>
      </c>
      <c r="K248" s="33">
        <f>[1]D!K118</f>
        <v>2</v>
      </c>
      <c r="L248" s="33">
        <f>[1]D!L118</f>
        <v>2</v>
      </c>
      <c r="M248" s="58" t="str">
        <f>[1]D!M118</f>
        <v>X</v>
      </c>
      <c r="N248" s="58" t="str">
        <f>[1]D!N118</f>
        <v>X</v>
      </c>
      <c r="O248" s="14">
        <f>[1]D!O118</f>
        <v>1</v>
      </c>
      <c r="P248" s="14">
        <f>[1]D!P118</f>
        <v>1</v>
      </c>
      <c r="Q248" s="14">
        <f>[1]D!Q118</f>
        <v>1</v>
      </c>
      <c r="R248" s="14">
        <f>[1]D!R118</f>
        <v>1</v>
      </c>
      <c r="S248" s="33">
        <f>[1]D!S118</f>
        <v>1</v>
      </c>
      <c r="T248" s="33">
        <f>[1]D!T118</f>
        <v>1</v>
      </c>
      <c r="U248" s="58" t="str">
        <f>[1]D!U118</f>
        <v>X</v>
      </c>
      <c r="V248" s="58" t="str">
        <f>[1]D!V118</f>
        <v>X</v>
      </c>
      <c r="W248" s="14">
        <f>[1]D!W118</f>
        <v>3</v>
      </c>
      <c r="X248" s="14">
        <f>[1]D!X118</f>
        <v>3</v>
      </c>
      <c r="Y248" s="14">
        <f>[1]D!Y118</f>
        <v>3</v>
      </c>
      <c r="Z248" s="14">
        <f>[1]D!Z118</f>
        <v>3</v>
      </c>
      <c r="AA248" s="33">
        <f>[1]D!AA118</f>
        <v>3</v>
      </c>
      <c r="AB248" s="33">
        <f>[1]D!AB118</f>
        <v>3</v>
      </c>
      <c r="AC248" s="58" t="str">
        <f>[1]D!AC118</f>
        <v>X</v>
      </c>
      <c r="AD248" s="58" t="str">
        <f>[1]D!AD118</f>
        <v>X</v>
      </c>
      <c r="AE248" s="14">
        <f>[1]D!AE118</f>
        <v>2</v>
      </c>
      <c r="AF248" s="1"/>
      <c r="AH248" s="16">
        <f t="shared" si="30"/>
        <v>0</v>
      </c>
      <c r="AI248" s="16">
        <f t="shared" si="31"/>
        <v>0</v>
      </c>
    </row>
    <row r="249" spans="1:35" ht="20.100000000000001" customHeight="1">
      <c r="A249" s="18" t="str">
        <f>ÖSSZES!$A$77</f>
        <v>Kiss Gyula</v>
      </c>
      <c r="B249" s="60">
        <f>[1]D!B119</f>
        <v>3</v>
      </c>
      <c r="C249" s="33">
        <f>[1]D!C119</f>
        <v>3</v>
      </c>
      <c r="D249" s="33">
        <f>[1]D!D119</f>
        <v>3</v>
      </c>
      <c r="E249" s="58" t="str">
        <f>[1]D!E119</f>
        <v>X</v>
      </c>
      <c r="F249" s="58" t="str">
        <f>[1]D!F119</f>
        <v>X</v>
      </c>
      <c r="G249" s="14">
        <f>[1]D!G119</f>
        <v>2</v>
      </c>
      <c r="H249" s="14">
        <f>[1]D!H119</f>
        <v>2</v>
      </c>
      <c r="I249" s="14">
        <f>[1]D!I119</f>
        <v>2</v>
      </c>
      <c r="J249" s="14">
        <f>[1]D!J119</f>
        <v>2</v>
      </c>
      <c r="K249" s="33">
        <f>[1]D!K119</f>
        <v>2</v>
      </c>
      <c r="L249" s="33">
        <f>[1]D!L119</f>
        <v>2</v>
      </c>
      <c r="M249" s="58" t="str">
        <f>[1]D!M119</f>
        <v>X</v>
      </c>
      <c r="N249" s="58" t="str">
        <f>[1]D!N119</f>
        <v>X</v>
      </c>
      <c r="O249" s="14">
        <f>[1]D!O119</f>
        <v>1</v>
      </c>
      <c r="P249" s="14">
        <f>[1]D!P119</f>
        <v>1</v>
      </c>
      <c r="Q249" s="14">
        <f>[1]D!Q119</f>
        <v>1</v>
      </c>
      <c r="R249" s="14">
        <f>[1]D!R119</f>
        <v>1</v>
      </c>
      <c r="S249" s="33">
        <f>[1]D!S119</f>
        <v>1</v>
      </c>
      <c r="T249" s="33">
        <f>[1]D!T119</f>
        <v>1</v>
      </c>
      <c r="U249" s="58" t="str">
        <f>[1]D!U119</f>
        <v>X</v>
      </c>
      <c r="V249" s="58" t="str">
        <f>[1]D!V119</f>
        <v>X</v>
      </c>
      <c r="W249" s="14">
        <f>[1]D!W119</f>
        <v>3</v>
      </c>
      <c r="X249" s="14">
        <f>[1]D!X119</f>
        <v>3</v>
      </c>
      <c r="Y249" s="14">
        <f>[1]D!Y119</f>
        <v>3</v>
      </c>
      <c r="Z249" s="14">
        <f>[1]D!Z119</f>
        <v>3</v>
      </c>
      <c r="AA249" s="33">
        <f>[1]D!AA119</f>
        <v>3</v>
      </c>
      <c r="AB249" s="33">
        <f>[1]D!AB119</f>
        <v>3</v>
      </c>
      <c r="AC249" s="58" t="str">
        <f>[1]D!AC119</f>
        <v>X</v>
      </c>
      <c r="AD249" s="58" t="str">
        <f>[1]D!AD119</f>
        <v>X</v>
      </c>
      <c r="AE249" s="14">
        <f>[1]D!AE119</f>
        <v>2</v>
      </c>
      <c r="AF249" s="1"/>
      <c r="AH249" s="16">
        <f t="shared" si="30"/>
        <v>0</v>
      </c>
      <c r="AI249" s="16">
        <f t="shared" si="31"/>
        <v>0</v>
      </c>
    </row>
    <row r="250" spans="1:35" ht="20.100000000000001" customHeight="1">
      <c r="A250" s="18" t="str">
        <f>ÖSSZES!$A$78</f>
        <v>Nagy István</v>
      </c>
      <c r="B250" s="60">
        <f>[1]D!B120</f>
        <v>3</v>
      </c>
      <c r="C250" s="33">
        <f>[1]D!C120</f>
        <v>3</v>
      </c>
      <c r="D250" s="33">
        <f>[1]D!D120</f>
        <v>3</v>
      </c>
      <c r="E250" s="58" t="str">
        <f>[1]D!E120</f>
        <v>X</v>
      </c>
      <c r="F250" s="58" t="str">
        <f>[1]D!F120</f>
        <v>X</v>
      </c>
      <c r="G250" s="14">
        <f>[1]D!G120</f>
        <v>2</v>
      </c>
      <c r="H250" s="14">
        <f>[1]D!H120</f>
        <v>2</v>
      </c>
      <c r="I250" s="14">
        <f>[1]D!I120</f>
        <v>2</v>
      </c>
      <c r="J250" s="14">
        <f>[1]D!J120</f>
        <v>2</v>
      </c>
      <c r="K250" s="33">
        <f>[1]D!K120</f>
        <v>2</v>
      </c>
      <c r="L250" s="33">
        <f>[1]D!L120</f>
        <v>2</v>
      </c>
      <c r="M250" s="58" t="str">
        <f>[1]D!M120</f>
        <v>X</v>
      </c>
      <c r="N250" s="58" t="str">
        <f>[1]D!N120</f>
        <v>X</v>
      </c>
      <c r="O250" s="14">
        <f>[1]D!O120</f>
        <v>1</v>
      </c>
      <c r="P250" s="14">
        <f>[1]D!P120</f>
        <v>1</v>
      </c>
      <c r="Q250" s="14">
        <f>[1]D!Q120</f>
        <v>1</v>
      </c>
      <c r="R250" s="14">
        <f>[1]D!R120</f>
        <v>1</v>
      </c>
      <c r="S250" s="33">
        <f>[1]D!S120</f>
        <v>1</v>
      </c>
      <c r="T250" s="33">
        <f>[1]D!T120</f>
        <v>1</v>
      </c>
      <c r="U250" s="58" t="str">
        <f>[1]D!U120</f>
        <v>X</v>
      </c>
      <c r="V250" s="58" t="str">
        <f>[1]D!V120</f>
        <v>X</v>
      </c>
      <c r="W250" s="14">
        <f>[1]D!W120</f>
        <v>3</v>
      </c>
      <c r="X250" s="14">
        <f>[1]D!X120</f>
        <v>3</v>
      </c>
      <c r="Y250" s="14">
        <f>[1]D!Y120</f>
        <v>3</v>
      </c>
      <c r="Z250" s="14">
        <f>[1]D!Z120</f>
        <v>3</v>
      </c>
      <c r="AA250" s="33">
        <f>[1]D!AA120</f>
        <v>3</v>
      </c>
      <c r="AB250" s="33">
        <f>[1]D!AB120</f>
        <v>3</v>
      </c>
      <c r="AC250" s="58" t="str">
        <f>[1]D!AC120</f>
        <v>X</v>
      </c>
      <c r="AD250" s="58" t="str">
        <f>[1]D!AD120</f>
        <v>X</v>
      </c>
      <c r="AE250" s="14">
        <f>[1]D!AE120</f>
        <v>2</v>
      </c>
      <c r="AF250" s="1"/>
      <c r="AH250" s="16">
        <f t="shared" si="30"/>
        <v>0</v>
      </c>
      <c r="AI250" s="16">
        <f t="shared" si="31"/>
        <v>0</v>
      </c>
    </row>
    <row r="251" spans="1:35" ht="20.100000000000001" hidden="1" customHeight="1">
      <c r="A251" s="18" t="str">
        <f>ÖSSZES!$A$79</f>
        <v>Fényi László</v>
      </c>
      <c r="B251" s="60"/>
      <c r="C251" s="33"/>
      <c r="D251" s="33"/>
      <c r="E251" s="58"/>
      <c r="F251" s="58"/>
      <c r="G251" s="14"/>
      <c r="H251" s="14"/>
      <c r="I251" s="14"/>
      <c r="J251" s="14"/>
      <c r="K251" s="33"/>
      <c r="L251" s="33"/>
      <c r="M251" s="58"/>
      <c r="N251" s="58"/>
      <c r="O251" s="14"/>
      <c r="P251" s="14"/>
      <c r="Q251" s="14"/>
      <c r="R251" s="14"/>
      <c r="S251" s="33"/>
      <c r="T251" s="33"/>
      <c r="U251" s="58"/>
      <c r="V251" s="58"/>
      <c r="W251" s="14"/>
      <c r="X251" s="14"/>
      <c r="Y251" s="14"/>
      <c r="Z251" s="14"/>
      <c r="AA251" s="33"/>
      <c r="AB251" s="33"/>
      <c r="AC251" s="58"/>
      <c r="AD251" s="58"/>
      <c r="AE251" s="14"/>
      <c r="AF251" s="1"/>
      <c r="AH251" s="16">
        <f t="shared" si="30"/>
        <v>0</v>
      </c>
      <c r="AI251" s="16">
        <f t="shared" si="31"/>
        <v>0</v>
      </c>
    </row>
    <row r="252" spans="1:35" ht="20.100000000000001" hidden="1" customHeight="1">
      <c r="A252" s="18" t="str">
        <f>ÖSSZES!$A$80</f>
        <v>Név9</v>
      </c>
      <c r="B252" s="60"/>
      <c r="C252" s="33"/>
      <c r="D252" s="33"/>
      <c r="E252" s="58" t="s">
        <v>2</v>
      </c>
      <c r="F252" s="58" t="s">
        <v>2</v>
      </c>
      <c r="G252" s="14"/>
      <c r="H252" s="14"/>
      <c r="I252" s="14"/>
      <c r="J252" s="14"/>
      <c r="K252" s="33"/>
      <c r="L252" s="33"/>
      <c r="M252" s="58" t="s">
        <v>2</v>
      </c>
      <c r="N252" s="58" t="s">
        <v>2</v>
      </c>
      <c r="O252" s="14"/>
      <c r="P252" s="14"/>
      <c r="Q252" s="14"/>
      <c r="R252" s="14"/>
      <c r="S252" s="33"/>
      <c r="T252" s="33"/>
      <c r="U252" s="58" t="s">
        <v>2</v>
      </c>
      <c r="V252" s="58" t="s">
        <v>2</v>
      </c>
      <c r="W252" s="14"/>
      <c r="X252" s="14"/>
      <c r="Y252" s="14"/>
      <c r="Z252" s="14"/>
      <c r="AA252" s="33"/>
      <c r="AB252" s="33"/>
      <c r="AC252" s="58" t="s">
        <v>2</v>
      </c>
      <c r="AD252" s="58" t="s">
        <v>2</v>
      </c>
      <c r="AE252" s="14"/>
      <c r="AF252" s="1"/>
      <c r="AH252" s="16">
        <f t="shared" si="30"/>
        <v>0</v>
      </c>
      <c r="AI252" s="16">
        <f t="shared" si="31"/>
        <v>0</v>
      </c>
    </row>
    <row r="253" spans="1:35" ht="20.100000000000001" hidden="1" customHeight="1">
      <c r="A253" s="18" t="str">
        <f>ÖSSZES!$A$81</f>
        <v>Név10</v>
      </c>
      <c r="B253" s="60"/>
      <c r="C253" s="33"/>
      <c r="D253" s="33"/>
      <c r="E253" s="58" t="s">
        <v>2</v>
      </c>
      <c r="F253" s="58" t="s">
        <v>2</v>
      </c>
      <c r="G253" s="14"/>
      <c r="H253" s="14"/>
      <c r="I253" s="14"/>
      <c r="J253" s="14"/>
      <c r="K253" s="33"/>
      <c r="L253" s="33"/>
      <c r="M253" s="58" t="s">
        <v>2</v>
      </c>
      <c r="N253" s="58" t="s">
        <v>2</v>
      </c>
      <c r="O253" s="14"/>
      <c r="P253" s="14"/>
      <c r="Q253" s="14"/>
      <c r="R253" s="14"/>
      <c r="S253" s="33"/>
      <c r="T253" s="33"/>
      <c r="U253" s="58" t="s">
        <v>2</v>
      </c>
      <c r="V253" s="58" t="s">
        <v>2</v>
      </c>
      <c r="W253" s="14"/>
      <c r="X253" s="14"/>
      <c r="Y253" s="14"/>
      <c r="Z253" s="14"/>
      <c r="AA253" s="33"/>
      <c r="AB253" s="33"/>
      <c r="AC253" s="58" t="s">
        <v>2</v>
      </c>
      <c r="AD253" s="58" t="s">
        <v>2</v>
      </c>
      <c r="AE253" s="14"/>
      <c r="AF253" s="1"/>
      <c r="AH253" s="16">
        <f t="shared" si="30"/>
        <v>0</v>
      </c>
      <c r="AI253" s="16">
        <f t="shared" si="31"/>
        <v>0</v>
      </c>
    </row>
    <row r="254" spans="1:35" ht="20.100000000000001" hidden="1" customHeight="1">
      <c r="A254" s="18" t="str">
        <f>ÖSSZES!$A$82</f>
        <v>Név11</v>
      </c>
      <c r="B254" s="60"/>
      <c r="C254" s="33"/>
      <c r="D254" s="33"/>
      <c r="E254" s="58" t="s">
        <v>2</v>
      </c>
      <c r="F254" s="58" t="s">
        <v>2</v>
      </c>
      <c r="G254" s="14"/>
      <c r="H254" s="14"/>
      <c r="I254" s="14"/>
      <c r="J254" s="14"/>
      <c r="K254" s="33"/>
      <c r="L254" s="33"/>
      <c r="M254" s="58" t="s">
        <v>2</v>
      </c>
      <c r="N254" s="58" t="s">
        <v>2</v>
      </c>
      <c r="O254" s="14"/>
      <c r="P254" s="14"/>
      <c r="Q254" s="14"/>
      <c r="R254" s="14"/>
      <c r="S254" s="33"/>
      <c r="T254" s="33"/>
      <c r="U254" s="58" t="s">
        <v>2</v>
      </c>
      <c r="V254" s="58" t="s">
        <v>2</v>
      </c>
      <c r="W254" s="14"/>
      <c r="X254" s="14"/>
      <c r="Y254" s="14"/>
      <c r="Z254" s="14"/>
      <c r="AA254" s="33"/>
      <c r="AB254" s="33"/>
      <c r="AC254" s="58" t="s">
        <v>2</v>
      </c>
      <c r="AD254" s="58" t="s">
        <v>2</v>
      </c>
      <c r="AE254" s="14"/>
      <c r="AF254" s="1"/>
      <c r="AH254" s="16">
        <f t="shared" si="30"/>
        <v>0</v>
      </c>
      <c r="AI254" s="16">
        <f t="shared" si="31"/>
        <v>0</v>
      </c>
    </row>
    <row r="255" spans="1:35" ht="20.100000000000001" hidden="1" customHeight="1">
      <c r="A255" s="18" t="str">
        <f>ÖSSZES!$A$83</f>
        <v>Név12</v>
      </c>
      <c r="B255" s="60"/>
      <c r="C255" s="33"/>
      <c r="D255" s="33"/>
      <c r="E255" s="58" t="s">
        <v>2</v>
      </c>
      <c r="F255" s="58" t="s">
        <v>2</v>
      </c>
      <c r="G255" s="14"/>
      <c r="H255" s="14"/>
      <c r="I255" s="14"/>
      <c r="J255" s="14"/>
      <c r="K255" s="33"/>
      <c r="L255" s="33"/>
      <c r="M255" s="58" t="s">
        <v>2</v>
      </c>
      <c r="N255" s="58" t="s">
        <v>2</v>
      </c>
      <c r="O255" s="14"/>
      <c r="P255" s="14"/>
      <c r="Q255" s="14"/>
      <c r="R255" s="14"/>
      <c r="S255" s="33"/>
      <c r="T255" s="33"/>
      <c r="U255" s="58" t="s">
        <v>2</v>
      </c>
      <c r="V255" s="58" t="s">
        <v>2</v>
      </c>
      <c r="W255" s="14"/>
      <c r="X255" s="14"/>
      <c r="Y255" s="14"/>
      <c r="Z255" s="14"/>
      <c r="AA255" s="33"/>
      <c r="AB255" s="33"/>
      <c r="AC255" s="58" t="s">
        <v>2</v>
      </c>
      <c r="AD255" s="58" t="s">
        <v>2</v>
      </c>
      <c r="AE255" s="14"/>
      <c r="AF255" s="1"/>
      <c r="AH255" s="16">
        <f t="shared" si="30"/>
        <v>0</v>
      </c>
      <c r="AI255" s="16">
        <f t="shared" si="31"/>
        <v>0</v>
      </c>
    </row>
    <row r="256" spans="1:35" ht="20.100000000000001" hidden="1" customHeight="1">
      <c r="A256" s="18" t="str">
        <f>ÖSSZES!$A$84</f>
        <v>Név13</v>
      </c>
      <c r="B256" s="60"/>
      <c r="C256" s="33"/>
      <c r="D256" s="33"/>
      <c r="E256" s="58" t="s">
        <v>2</v>
      </c>
      <c r="F256" s="58" t="s">
        <v>2</v>
      </c>
      <c r="G256" s="14"/>
      <c r="H256" s="14"/>
      <c r="I256" s="14"/>
      <c r="J256" s="14"/>
      <c r="K256" s="33"/>
      <c r="L256" s="33"/>
      <c r="M256" s="58" t="s">
        <v>2</v>
      </c>
      <c r="N256" s="58" t="s">
        <v>2</v>
      </c>
      <c r="O256" s="14"/>
      <c r="P256" s="14"/>
      <c r="Q256" s="14"/>
      <c r="R256" s="14"/>
      <c r="S256" s="33"/>
      <c r="T256" s="33"/>
      <c r="U256" s="58" t="s">
        <v>2</v>
      </c>
      <c r="V256" s="58" t="s">
        <v>2</v>
      </c>
      <c r="W256" s="14"/>
      <c r="X256" s="14"/>
      <c r="Y256" s="14"/>
      <c r="Z256" s="14"/>
      <c r="AA256" s="33"/>
      <c r="AB256" s="33"/>
      <c r="AC256" s="58" t="s">
        <v>2</v>
      </c>
      <c r="AD256" s="58" t="s">
        <v>2</v>
      </c>
      <c r="AE256" s="14"/>
      <c r="AF256" s="1"/>
      <c r="AH256" s="16">
        <f t="shared" si="30"/>
        <v>0</v>
      </c>
      <c r="AI256" s="16">
        <f t="shared" si="31"/>
        <v>0</v>
      </c>
    </row>
    <row r="257" spans="1:35" ht="20.100000000000001" hidden="1" customHeight="1">
      <c r="A257" s="18" t="str">
        <f>ÖSSZES!$A$85</f>
        <v>Név14</v>
      </c>
      <c r="B257" s="60"/>
      <c r="C257" s="33"/>
      <c r="D257" s="33"/>
      <c r="E257" s="58" t="s">
        <v>2</v>
      </c>
      <c r="F257" s="58" t="s">
        <v>2</v>
      </c>
      <c r="G257" s="14"/>
      <c r="H257" s="14"/>
      <c r="I257" s="14"/>
      <c r="J257" s="14"/>
      <c r="K257" s="33"/>
      <c r="L257" s="33"/>
      <c r="M257" s="58" t="s">
        <v>2</v>
      </c>
      <c r="N257" s="58" t="s">
        <v>2</v>
      </c>
      <c r="O257" s="14"/>
      <c r="P257" s="14"/>
      <c r="Q257" s="14"/>
      <c r="R257" s="14"/>
      <c r="S257" s="33"/>
      <c r="T257" s="33"/>
      <c r="U257" s="58" t="s">
        <v>2</v>
      </c>
      <c r="V257" s="58" t="s">
        <v>2</v>
      </c>
      <c r="W257" s="14"/>
      <c r="X257" s="14"/>
      <c r="Y257" s="14"/>
      <c r="Z257" s="14"/>
      <c r="AA257" s="33"/>
      <c r="AB257" s="33"/>
      <c r="AC257" s="58" t="s">
        <v>2</v>
      </c>
      <c r="AD257" s="58" t="s">
        <v>2</v>
      </c>
      <c r="AE257" s="14"/>
      <c r="AF257" s="1"/>
      <c r="AH257" s="16">
        <f t="shared" si="30"/>
        <v>0</v>
      </c>
      <c r="AI257" s="16">
        <f t="shared" si="31"/>
        <v>0</v>
      </c>
    </row>
    <row r="258" spans="1:35" ht="20.100000000000001" hidden="1" customHeight="1">
      <c r="A258" s="18" t="str">
        <f>ÖSSZES!$A$86</f>
        <v>Név15</v>
      </c>
      <c r="B258" s="60"/>
      <c r="C258" s="33"/>
      <c r="D258" s="33"/>
      <c r="E258" s="58" t="s">
        <v>2</v>
      </c>
      <c r="F258" s="58" t="s">
        <v>2</v>
      </c>
      <c r="G258" s="14"/>
      <c r="H258" s="14"/>
      <c r="I258" s="14"/>
      <c r="J258" s="14"/>
      <c r="K258" s="33"/>
      <c r="L258" s="33"/>
      <c r="M258" s="58" t="s">
        <v>2</v>
      </c>
      <c r="N258" s="58" t="s">
        <v>2</v>
      </c>
      <c r="O258" s="14"/>
      <c r="P258" s="14"/>
      <c r="Q258" s="14"/>
      <c r="R258" s="14"/>
      <c r="S258" s="33"/>
      <c r="T258" s="33"/>
      <c r="U258" s="58" t="s">
        <v>2</v>
      </c>
      <c r="V258" s="58" t="s">
        <v>2</v>
      </c>
      <c r="W258" s="14"/>
      <c r="X258" s="14"/>
      <c r="Y258" s="14"/>
      <c r="Z258" s="14"/>
      <c r="AA258" s="33"/>
      <c r="AB258" s="33"/>
      <c r="AC258" s="58" t="s">
        <v>2</v>
      </c>
      <c r="AD258" s="58" t="s">
        <v>2</v>
      </c>
      <c r="AE258" s="14"/>
      <c r="AF258" s="1"/>
      <c r="AH258" s="16">
        <f t="shared" si="30"/>
        <v>0</v>
      </c>
      <c r="AI258" s="16">
        <f t="shared" si="31"/>
        <v>0</v>
      </c>
    </row>
    <row r="259" spans="1:35" ht="20.100000000000001" hidden="1" customHeight="1">
      <c r="A259" s="18" t="str">
        <f>ÖSSZES!$A$87</f>
        <v>Név16</v>
      </c>
      <c r="B259" s="60"/>
      <c r="C259" s="33"/>
      <c r="D259" s="33"/>
      <c r="E259" s="58" t="s">
        <v>2</v>
      </c>
      <c r="F259" s="58" t="s">
        <v>2</v>
      </c>
      <c r="G259" s="14"/>
      <c r="H259" s="14"/>
      <c r="I259" s="14"/>
      <c r="J259" s="14"/>
      <c r="K259" s="33"/>
      <c r="L259" s="33"/>
      <c r="M259" s="58" t="s">
        <v>2</v>
      </c>
      <c r="N259" s="58" t="s">
        <v>2</v>
      </c>
      <c r="O259" s="14"/>
      <c r="P259" s="14"/>
      <c r="Q259" s="14"/>
      <c r="R259" s="14"/>
      <c r="S259" s="33"/>
      <c r="T259" s="33"/>
      <c r="U259" s="58" t="s">
        <v>2</v>
      </c>
      <c r="V259" s="58" t="s">
        <v>2</v>
      </c>
      <c r="W259" s="14"/>
      <c r="X259" s="14"/>
      <c r="Y259" s="14"/>
      <c r="Z259" s="14"/>
      <c r="AA259" s="33"/>
      <c r="AB259" s="33"/>
      <c r="AC259" s="58" t="s">
        <v>2</v>
      </c>
      <c r="AD259" s="58" t="s">
        <v>2</v>
      </c>
      <c r="AE259" s="14"/>
      <c r="AF259" s="1"/>
      <c r="AH259" s="16">
        <f t="shared" si="30"/>
        <v>0</v>
      </c>
      <c r="AI259" s="16">
        <f t="shared" si="31"/>
        <v>0</v>
      </c>
    </row>
    <row r="260" spans="1:35" ht="20.100000000000001" hidden="1" customHeight="1">
      <c r="A260" s="18" t="str">
        <f>ÖSSZES!$A$88</f>
        <v>Név17</v>
      </c>
      <c r="B260" s="60"/>
      <c r="C260" s="33"/>
      <c r="D260" s="33"/>
      <c r="E260" s="58" t="s">
        <v>2</v>
      </c>
      <c r="F260" s="58" t="s">
        <v>2</v>
      </c>
      <c r="G260" s="14"/>
      <c r="H260" s="14"/>
      <c r="I260" s="14"/>
      <c r="J260" s="14"/>
      <c r="K260" s="33"/>
      <c r="L260" s="33"/>
      <c r="M260" s="58" t="s">
        <v>2</v>
      </c>
      <c r="N260" s="58" t="s">
        <v>2</v>
      </c>
      <c r="O260" s="14"/>
      <c r="P260" s="14"/>
      <c r="Q260" s="14"/>
      <c r="R260" s="14"/>
      <c r="S260" s="33"/>
      <c r="T260" s="33"/>
      <c r="U260" s="58" t="s">
        <v>2</v>
      </c>
      <c r="V260" s="58" t="s">
        <v>2</v>
      </c>
      <c r="W260" s="14"/>
      <c r="X260" s="14"/>
      <c r="Y260" s="14"/>
      <c r="Z260" s="14"/>
      <c r="AA260" s="33"/>
      <c r="AB260" s="33"/>
      <c r="AC260" s="58" t="s">
        <v>2</v>
      </c>
      <c r="AD260" s="58" t="s">
        <v>2</v>
      </c>
      <c r="AE260" s="14"/>
      <c r="AF260" s="1"/>
      <c r="AH260" s="16">
        <f t="shared" si="30"/>
        <v>0</v>
      </c>
      <c r="AI260" s="16">
        <f t="shared" si="31"/>
        <v>0</v>
      </c>
    </row>
    <row r="261" spans="1:35" ht="20.100000000000001" hidden="1" customHeight="1">
      <c r="A261" s="18" t="str">
        <f>ÖSSZES!$A$89</f>
        <v>Név18</v>
      </c>
      <c r="B261" s="60"/>
      <c r="C261" s="33"/>
      <c r="D261" s="33"/>
      <c r="E261" s="58" t="s">
        <v>2</v>
      </c>
      <c r="F261" s="58" t="s">
        <v>2</v>
      </c>
      <c r="G261" s="14"/>
      <c r="H261" s="14"/>
      <c r="I261" s="14"/>
      <c r="J261" s="14"/>
      <c r="K261" s="33"/>
      <c r="L261" s="33"/>
      <c r="M261" s="58" t="s">
        <v>2</v>
      </c>
      <c r="N261" s="58" t="s">
        <v>2</v>
      </c>
      <c r="O261" s="14"/>
      <c r="P261" s="14"/>
      <c r="Q261" s="14"/>
      <c r="R261" s="14"/>
      <c r="S261" s="33"/>
      <c r="T261" s="33"/>
      <c r="U261" s="58" t="s">
        <v>2</v>
      </c>
      <c r="V261" s="58" t="s">
        <v>2</v>
      </c>
      <c r="W261" s="14"/>
      <c r="X261" s="14"/>
      <c r="Y261" s="14"/>
      <c r="Z261" s="14"/>
      <c r="AA261" s="33"/>
      <c r="AB261" s="33"/>
      <c r="AC261" s="58" t="s">
        <v>2</v>
      </c>
      <c r="AD261" s="58" t="s">
        <v>2</v>
      </c>
      <c r="AE261" s="14"/>
      <c r="AF261" s="1"/>
      <c r="AH261" s="16">
        <f t="shared" si="30"/>
        <v>0</v>
      </c>
      <c r="AI261" s="16">
        <f t="shared" si="31"/>
        <v>0</v>
      </c>
    </row>
    <row r="262" spans="1:35" ht="20.100000000000001" hidden="1" customHeight="1">
      <c r="A262" s="18" t="str">
        <f>ÖSSZES!$A$90</f>
        <v>Név19</v>
      </c>
      <c r="B262" s="60"/>
      <c r="C262" s="33"/>
      <c r="D262" s="33"/>
      <c r="E262" s="58" t="s">
        <v>2</v>
      </c>
      <c r="F262" s="58" t="s">
        <v>2</v>
      </c>
      <c r="G262" s="14"/>
      <c r="H262" s="14"/>
      <c r="I262" s="14"/>
      <c r="J262" s="14"/>
      <c r="K262" s="33"/>
      <c r="L262" s="33"/>
      <c r="M262" s="58" t="s">
        <v>2</v>
      </c>
      <c r="N262" s="58" t="s">
        <v>2</v>
      </c>
      <c r="O262" s="14"/>
      <c r="P262" s="14"/>
      <c r="Q262" s="14"/>
      <c r="R262" s="14"/>
      <c r="S262" s="33"/>
      <c r="T262" s="33"/>
      <c r="U262" s="58" t="s">
        <v>2</v>
      </c>
      <c r="V262" s="58" t="s">
        <v>2</v>
      </c>
      <c r="W262" s="14"/>
      <c r="X262" s="14"/>
      <c r="Y262" s="14"/>
      <c r="Z262" s="14"/>
      <c r="AA262" s="33"/>
      <c r="AB262" s="33"/>
      <c r="AC262" s="58" t="s">
        <v>2</v>
      </c>
      <c r="AD262" s="58" t="s">
        <v>2</v>
      </c>
      <c r="AE262" s="14"/>
      <c r="AF262" s="1"/>
      <c r="AH262" s="16">
        <f t="shared" si="30"/>
        <v>0</v>
      </c>
      <c r="AI262" s="16">
        <f t="shared" si="31"/>
        <v>0</v>
      </c>
    </row>
    <row r="263" spans="1:35" ht="20.100000000000001" hidden="1" customHeight="1">
      <c r="A263" s="18" t="str">
        <f>ÖSSZES!$A$91</f>
        <v>Név20</v>
      </c>
      <c r="B263" s="60"/>
      <c r="C263" s="33"/>
      <c r="D263" s="33"/>
      <c r="E263" s="58" t="s">
        <v>2</v>
      </c>
      <c r="F263" s="58" t="s">
        <v>2</v>
      </c>
      <c r="G263" s="14"/>
      <c r="H263" s="14"/>
      <c r="I263" s="14"/>
      <c r="J263" s="14"/>
      <c r="K263" s="33"/>
      <c r="L263" s="33"/>
      <c r="M263" s="58" t="s">
        <v>2</v>
      </c>
      <c r="N263" s="58" t="s">
        <v>2</v>
      </c>
      <c r="O263" s="14"/>
      <c r="P263" s="14"/>
      <c r="Q263" s="14"/>
      <c r="R263" s="14"/>
      <c r="S263" s="33"/>
      <c r="T263" s="33"/>
      <c r="U263" s="58" t="s">
        <v>2</v>
      </c>
      <c r="V263" s="58" t="s">
        <v>2</v>
      </c>
      <c r="W263" s="14"/>
      <c r="X263" s="14"/>
      <c r="Y263" s="14"/>
      <c r="Z263" s="14"/>
      <c r="AA263" s="33"/>
      <c r="AB263" s="33"/>
      <c r="AC263" s="58" t="s">
        <v>2</v>
      </c>
      <c r="AD263" s="58" t="s">
        <v>2</v>
      </c>
      <c r="AE263" s="14"/>
      <c r="AF263" s="1"/>
      <c r="AH263" s="16">
        <f t="shared" si="30"/>
        <v>0</v>
      </c>
      <c r="AI263" s="16">
        <f t="shared" si="31"/>
        <v>0</v>
      </c>
    </row>
    <row r="264" spans="1:35" s="13" customFormat="1" ht="20.100000000000001" customHeight="1">
      <c r="A264" s="1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H264" s="9"/>
      <c r="AI264" s="9"/>
    </row>
    <row r="265" spans="1:35" s="6" customFormat="1" ht="20.100000000000001" customHeight="1">
      <c r="A265" s="91" t="s">
        <v>16</v>
      </c>
      <c r="B265" s="17">
        <v>1</v>
      </c>
      <c r="C265" s="17">
        <v>2</v>
      </c>
      <c r="D265" s="17">
        <v>3</v>
      </c>
      <c r="E265" s="17">
        <v>4</v>
      </c>
      <c r="F265" s="17">
        <v>5</v>
      </c>
      <c r="G265" s="17">
        <v>6</v>
      </c>
      <c r="H265" s="17">
        <v>7</v>
      </c>
      <c r="I265" s="17">
        <v>8</v>
      </c>
      <c r="J265" s="17">
        <v>9</v>
      </c>
      <c r="K265" s="17">
        <v>10</v>
      </c>
      <c r="L265" s="17">
        <v>11</v>
      </c>
      <c r="M265" s="17">
        <v>12</v>
      </c>
      <c r="N265" s="17">
        <v>13</v>
      </c>
      <c r="O265" s="17">
        <v>14</v>
      </c>
      <c r="P265" s="17">
        <v>15</v>
      </c>
      <c r="Q265" s="17">
        <v>16</v>
      </c>
      <c r="R265" s="17">
        <v>17</v>
      </c>
      <c r="S265" s="17">
        <v>18</v>
      </c>
      <c r="T265" s="17">
        <v>19</v>
      </c>
      <c r="U265" s="17">
        <v>20</v>
      </c>
      <c r="V265" s="17">
        <v>21</v>
      </c>
      <c r="W265" s="17">
        <v>22</v>
      </c>
      <c r="X265" s="17">
        <v>23</v>
      </c>
      <c r="Y265" s="17">
        <v>24</v>
      </c>
      <c r="Z265" s="19">
        <v>25</v>
      </c>
      <c r="AA265" s="19">
        <v>26</v>
      </c>
      <c r="AB265" s="17">
        <v>27</v>
      </c>
      <c r="AC265" s="17">
        <v>28</v>
      </c>
      <c r="AD265" s="17">
        <v>29</v>
      </c>
      <c r="AE265" s="17">
        <v>30</v>
      </c>
      <c r="AF265" s="17">
        <v>31</v>
      </c>
      <c r="AH265" s="93" t="s">
        <v>18</v>
      </c>
      <c r="AI265" s="93" t="s">
        <v>19</v>
      </c>
    </row>
    <row r="266" spans="1:35" ht="20.100000000000001" customHeight="1">
      <c r="A266" s="96"/>
      <c r="B266" s="10" t="str">
        <f>'2020'!B92</f>
        <v>K</v>
      </c>
      <c r="C266" s="10" t="str">
        <f>'2020'!C92</f>
        <v>Sze</v>
      </c>
      <c r="D266" s="10" t="str">
        <f>'2020'!D92</f>
        <v>Cs</v>
      </c>
      <c r="E266" s="10" t="str">
        <f>'2020'!E92</f>
        <v>P</v>
      </c>
      <c r="F266" s="10" t="str">
        <f>'2020'!F92</f>
        <v>Szo</v>
      </c>
      <c r="G266" s="10" t="str">
        <f>'2020'!G92</f>
        <v>V</v>
      </c>
      <c r="H266" s="10" t="str">
        <f>'2020'!H92</f>
        <v>H</v>
      </c>
      <c r="I266" s="10" t="str">
        <f>'2020'!I92</f>
        <v>K</v>
      </c>
      <c r="J266" s="10" t="str">
        <f>'2020'!J92</f>
        <v>Sze</v>
      </c>
      <c r="K266" s="10" t="str">
        <f>'2020'!K92</f>
        <v>Cs</v>
      </c>
      <c r="L266" s="10" t="str">
        <f>'2020'!L92</f>
        <v>P</v>
      </c>
      <c r="M266" s="10" t="str">
        <f>'2020'!M92</f>
        <v>Szo</v>
      </c>
      <c r="N266" s="10" t="str">
        <f>'2020'!N92</f>
        <v>V</v>
      </c>
      <c r="O266" s="10" t="str">
        <f>'2020'!O92</f>
        <v>H</v>
      </c>
      <c r="P266" s="10" t="str">
        <f>'2020'!P92</f>
        <v>K</v>
      </c>
      <c r="Q266" s="10" t="str">
        <f>'2020'!Q92</f>
        <v>Sze</v>
      </c>
      <c r="R266" s="10" t="str">
        <f>'2020'!R92</f>
        <v>Cs</v>
      </c>
      <c r="S266" s="10" t="str">
        <f>'2020'!S92</f>
        <v>P</v>
      </c>
      <c r="T266" s="10" t="str">
        <f>'2020'!T92</f>
        <v>Szo</v>
      </c>
      <c r="U266" s="10" t="str">
        <f>'2020'!U92</f>
        <v>V</v>
      </c>
      <c r="V266" s="10" t="str">
        <f>'2020'!V92</f>
        <v>H</v>
      </c>
      <c r="W266" s="10" t="str">
        <f>'2020'!W92</f>
        <v>K</v>
      </c>
      <c r="X266" s="10" t="str">
        <f>'2020'!X92</f>
        <v>Sze</v>
      </c>
      <c r="Y266" s="10" t="str">
        <f>'2020'!Y92</f>
        <v>Cs</v>
      </c>
      <c r="Z266" s="10" t="str">
        <f>'2020'!Z92</f>
        <v>P</v>
      </c>
      <c r="AA266" s="10" t="str">
        <f>'2020'!AA92</f>
        <v>Szo</v>
      </c>
      <c r="AB266" s="10" t="str">
        <f>'2020'!AB92</f>
        <v>V</v>
      </c>
      <c r="AC266" s="10" t="str">
        <f>'2020'!AC92</f>
        <v>H</v>
      </c>
      <c r="AD266" s="10" t="str">
        <f>'2020'!AD92</f>
        <v>K</v>
      </c>
      <c r="AE266" s="10" t="str">
        <f>'2020'!AE92</f>
        <v>Sze</v>
      </c>
      <c r="AF266" s="10" t="str">
        <f>'2020'!AF92</f>
        <v>Cs</v>
      </c>
      <c r="AH266" s="94"/>
      <c r="AI266" s="94"/>
    </row>
    <row r="267" spans="1:35" ht="20.100000000000001" customHeight="1">
      <c r="A267" s="96"/>
      <c r="B267" s="10">
        <f>'2020'!B96</f>
        <v>2</v>
      </c>
      <c r="C267" s="10">
        <f>'2020'!C96</f>
        <v>2</v>
      </c>
      <c r="D267" s="10">
        <f>'2020'!D96</f>
        <v>2</v>
      </c>
      <c r="E267" s="10">
        <f>'2020'!E96</f>
        <v>2</v>
      </c>
      <c r="F267" s="10">
        <f>'2020'!F96</f>
        <v>2</v>
      </c>
      <c r="G267" s="10" t="str">
        <f>'2020'!G96</f>
        <v>X</v>
      </c>
      <c r="H267" s="10" t="str">
        <f>'2020'!H96</f>
        <v>X</v>
      </c>
      <c r="I267" s="10">
        <f>'2020'!I96</f>
        <v>1</v>
      </c>
      <c r="J267" s="10">
        <f>'2020'!J96</f>
        <v>1</v>
      </c>
      <c r="K267" s="10">
        <f>'2020'!K96</f>
        <v>1</v>
      </c>
      <c r="L267" s="10">
        <f>'2020'!L96</f>
        <v>1</v>
      </c>
      <c r="M267" s="10">
        <f>'2020'!M96</f>
        <v>1</v>
      </c>
      <c r="N267" s="10">
        <f>'2020'!N96</f>
        <v>1</v>
      </c>
      <c r="O267" s="10" t="str">
        <f>'2020'!O96</f>
        <v>X</v>
      </c>
      <c r="P267" s="10" t="str">
        <f>'2020'!P96</f>
        <v>X</v>
      </c>
      <c r="Q267" s="10">
        <f>'2020'!Q96</f>
        <v>3</v>
      </c>
      <c r="R267" s="10">
        <f>'2020'!R96</f>
        <v>3</v>
      </c>
      <c r="S267" s="10">
        <f>'2020'!S96</f>
        <v>3</v>
      </c>
      <c r="T267" s="10">
        <f>'2020'!T96</f>
        <v>3</v>
      </c>
      <c r="U267" s="10">
        <f>'2020'!U96</f>
        <v>3</v>
      </c>
      <c r="V267" s="10">
        <f>'2020'!V96</f>
        <v>3</v>
      </c>
      <c r="W267" s="10" t="str">
        <f>'2020'!W96</f>
        <v>X</v>
      </c>
      <c r="X267" s="10" t="str">
        <f>'2020'!X96</f>
        <v>X</v>
      </c>
      <c r="Y267" s="10">
        <f>'2020'!Y96</f>
        <v>2</v>
      </c>
      <c r="Z267" s="10">
        <f>'2020'!Z96</f>
        <v>2</v>
      </c>
      <c r="AA267" s="10">
        <f>'2020'!AA96</f>
        <v>2</v>
      </c>
      <c r="AB267" s="10">
        <f>'2020'!AB96</f>
        <v>2</v>
      </c>
      <c r="AC267" s="10">
        <f>'2020'!AC96</f>
        <v>2</v>
      </c>
      <c r="AD267" s="10">
        <f>'2020'!AD96</f>
        <v>2</v>
      </c>
      <c r="AE267" s="10" t="str">
        <f>'2020'!AE96</f>
        <v>X</v>
      </c>
      <c r="AF267" s="10" t="str">
        <f>'2020'!AF96</f>
        <v>X</v>
      </c>
      <c r="AH267" s="94"/>
      <c r="AI267" s="94"/>
    </row>
    <row r="268" spans="1:35" ht="20.100000000000001" customHeight="1">
      <c r="A268" s="18" t="str">
        <f>ÖSSZES!$A$72</f>
        <v>Daku Gábor</v>
      </c>
      <c r="B268" s="33">
        <f>[1]D!B125</f>
        <v>2</v>
      </c>
      <c r="C268" s="33">
        <f>[1]D!C125</f>
        <v>2</v>
      </c>
      <c r="D268" s="33">
        <f>[1]D!D125</f>
        <v>2</v>
      </c>
      <c r="E268" s="33">
        <f>[1]D!E125</f>
        <v>2</v>
      </c>
      <c r="F268" s="33">
        <f>[1]D!F125</f>
        <v>2</v>
      </c>
      <c r="G268" s="58" t="str">
        <f>[1]D!G125</f>
        <v>X</v>
      </c>
      <c r="H268" s="58" t="str">
        <f>[1]D!H125</f>
        <v>X</v>
      </c>
      <c r="I268" s="33">
        <f>[1]D!I125</f>
        <v>1</v>
      </c>
      <c r="J268" s="33">
        <f>[1]D!J125</f>
        <v>1</v>
      </c>
      <c r="K268" s="33">
        <f>[1]D!K125</f>
        <v>1</v>
      </c>
      <c r="L268" s="33">
        <f>[1]D!L125</f>
        <v>1</v>
      </c>
      <c r="M268" s="33">
        <f>[1]D!M125</f>
        <v>1</v>
      </c>
      <c r="N268" s="33">
        <f>[1]D!N125</f>
        <v>1</v>
      </c>
      <c r="O268" s="58" t="str">
        <f>[1]D!O125</f>
        <v>X</v>
      </c>
      <c r="P268" s="58" t="str">
        <f>[1]D!P125</f>
        <v>X</v>
      </c>
      <c r="Q268" s="33">
        <f>[1]D!Q125</f>
        <v>3</v>
      </c>
      <c r="R268" s="33">
        <f>[1]D!R125</f>
        <v>3</v>
      </c>
      <c r="S268" s="33">
        <f>[1]D!S125</f>
        <v>3</v>
      </c>
      <c r="T268" s="33">
        <f>[1]D!T125</f>
        <v>3</v>
      </c>
      <c r="U268" s="33">
        <f>[1]D!U125</f>
        <v>3</v>
      </c>
      <c r="V268" s="33">
        <f>[1]D!V125</f>
        <v>3</v>
      </c>
      <c r="W268" s="58" t="str">
        <f>[1]D!W125</f>
        <v>X</v>
      </c>
      <c r="X268" s="58" t="str">
        <f>[1]D!X125</f>
        <v>X</v>
      </c>
      <c r="Y268" s="33">
        <f>[1]D!Y125</f>
        <v>2</v>
      </c>
      <c r="Z268" s="60">
        <f>[1]D!Z125</f>
        <v>2</v>
      </c>
      <c r="AA268" s="60">
        <f>[1]D!AA125</f>
        <v>2</v>
      </c>
      <c r="AB268" s="33">
        <f>[1]D!AB125</f>
        <v>2</v>
      </c>
      <c r="AC268" s="33">
        <f>[1]D!AC125</f>
        <v>2</v>
      </c>
      <c r="AD268" s="33">
        <f>[1]D!AD125</f>
        <v>2</v>
      </c>
      <c r="AE268" s="58" t="str">
        <f>[1]D!AE125</f>
        <v>X</v>
      </c>
      <c r="AF268" s="58" t="str">
        <f>[1]D!AF125</f>
        <v>X</v>
      </c>
      <c r="AH268" s="16">
        <f>1*COUNTIF(A268:AF268,"+")</f>
        <v>0</v>
      </c>
      <c r="AI268" s="16">
        <f t="shared" ref="AI268" si="32">1*COUNTIF(B268:AF268,"szf")</f>
        <v>0</v>
      </c>
    </row>
    <row r="269" spans="1:35" ht="20.100000000000001" customHeight="1">
      <c r="A269" s="18" t="str">
        <f>ÖSSZES!$A$73</f>
        <v>Borbély Csaba</v>
      </c>
      <c r="B269" s="33">
        <f>[1]D!B126</f>
        <v>2</v>
      </c>
      <c r="C269" s="33">
        <f>[1]D!C126</f>
        <v>2</v>
      </c>
      <c r="D269" s="33">
        <f>[1]D!D126</f>
        <v>2</v>
      </c>
      <c r="E269" s="33">
        <f>[1]D!E126</f>
        <v>2</v>
      </c>
      <c r="F269" s="33">
        <f>[1]D!F126</f>
        <v>2</v>
      </c>
      <c r="G269" s="58" t="str">
        <f>[1]D!G126</f>
        <v>X</v>
      </c>
      <c r="H269" s="58" t="str">
        <f>[1]D!H126</f>
        <v>X</v>
      </c>
      <c r="I269" s="33">
        <f>[1]D!I126</f>
        <v>1</v>
      </c>
      <c r="J269" s="33">
        <f>[1]D!J126</f>
        <v>1</v>
      </c>
      <c r="K269" s="33">
        <f>[1]D!K126</f>
        <v>1</v>
      </c>
      <c r="L269" s="33">
        <f>[1]D!L126</f>
        <v>1</v>
      </c>
      <c r="M269" s="33">
        <f>[1]D!M126</f>
        <v>1</v>
      </c>
      <c r="N269" s="33">
        <f>[1]D!N126</f>
        <v>1</v>
      </c>
      <c r="O269" s="58" t="str">
        <f>[1]D!O126</f>
        <v>X</v>
      </c>
      <c r="P269" s="58" t="str">
        <f>[1]D!P126</f>
        <v>X</v>
      </c>
      <c r="Q269" s="33">
        <f>[1]D!Q126</f>
        <v>3</v>
      </c>
      <c r="R269" s="33">
        <f>[1]D!R126</f>
        <v>3</v>
      </c>
      <c r="S269" s="33">
        <f>[1]D!S126</f>
        <v>3</v>
      </c>
      <c r="T269" s="33">
        <f>[1]D!T126</f>
        <v>3</v>
      </c>
      <c r="U269" s="33">
        <f>[1]D!U126</f>
        <v>3</v>
      </c>
      <c r="V269" s="33">
        <f>[1]D!V126</f>
        <v>3</v>
      </c>
      <c r="W269" s="58" t="str">
        <f>[1]D!W126</f>
        <v>X</v>
      </c>
      <c r="X269" s="58" t="str">
        <f>[1]D!X126</f>
        <v>X</v>
      </c>
      <c r="Y269" s="33">
        <f>[1]D!Y126</f>
        <v>2</v>
      </c>
      <c r="Z269" s="60">
        <f>[1]D!Z126</f>
        <v>2</v>
      </c>
      <c r="AA269" s="60">
        <f>[1]D!AA126</f>
        <v>2</v>
      </c>
      <c r="AB269" s="33">
        <f>[1]D!AB126</f>
        <v>2</v>
      </c>
      <c r="AC269" s="33">
        <f>[1]D!AC126</f>
        <v>2</v>
      </c>
      <c r="AD269" s="33">
        <f>[1]D!AD126</f>
        <v>2</v>
      </c>
      <c r="AE269" s="58" t="str">
        <f>[1]D!AE126</f>
        <v>X</v>
      </c>
      <c r="AF269" s="58" t="str">
        <f>[1]D!AF126</f>
        <v>X</v>
      </c>
      <c r="AH269" s="16">
        <f t="shared" ref="AH269:AH287" si="33">1*COUNTIF(A269:AF269,"+")</f>
        <v>0</v>
      </c>
      <c r="AI269" s="16">
        <f t="shared" ref="AI269:AI287" si="34">1*COUNTIF(B269:AF269,"szf")</f>
        <v>0</v>
      </c>
    </row>
    <row r="270" spans="1:35" ht="20.100000000000001" customHeight="1">
      <c r="A270" s="18" t="str">
        <f>ÖSSZES!$A$74</f>
        <v>Erdei Bálint</v>
      </c>
      <c r="B270" s="33">
        <f>[1]D!B127</f>
        <v>2</v>
      </c>
      <c r="C270" s="33">
        <f>[1]D!C127</f>
        <v>2</v>
      </c>
      <c r="D270" s="33">
        <f>[1]D!D127</f>
        <v>2</v>
      </c>
      <c r="E270" s="33">
        <f>[1]D!E127</f>
        <v>2</v>
      </c>
      <c r="F270" s="33">
        <f>[1]D!F127</f>
        <v>2</v>
      </c>
      <c r="G270" s="58" t="str">
        <f>[1]D!G127</f>
        <v>X</v>
      </c>
      <c r="H270" s="58" t="str">
        <f>[1]D!H127</f>
        <v>X</v>
      </c>
      <c r="I270" s="33">
        <f>[1]D!I127</f>
        <v>1</v>
      </c>
      <c r="J270" s="33">
        <f>[1]D!J127</f>
        <v>1</v>
      </c>
      <c r="K270" s="33">
        <f>[1]D!K127</f>
        <v>1</v>
      </c>
      <c r="L270" s="33">
        <f>[1]D!L127</f>
        <v>1</v>
      </c>
      <c r="M270" s="33">
        <f>[1]D!M127</f>
        <v>1</v>
      </c>
      <c r="N270" s="33">
        <f>[1]D!N127</f>
        <v>1</v>
      </c>
      <c r="O270" s="58" t="str">
        <f>[1]D!O127</f>
        <v>X</v>
      </c>
      <c r="P270" s="58" t="str">
        <f>[1]D!P127</f>
        <v>X</v>
      </c>
      <c r="Q270" s="33">
        <f>[1]D!Q127</f>
        <v>3</v>
      </c>
      <c r="R270" s="33">
        <f>[1]D!R127</f>
        <v>3</v>
      </c>
      <c r="S270" s="33">
        <f>[1]D!S127</f>
        <v>3</v>
      </c>
      <c r="T270" s="33">
        <f>[1]D!T127</f>
        <v>3</v>
      </c>
      <c r="U270" s="33">
        <f>[1]D!U127</f>
        <v>3</v>
      </c>
      <c r="V270" s="33">
        <f>[1]D!V127</f>
        <v>3</v>
      </c>
      <c r="W270" s="58" t="str">
        <f>[1]D!W127</f>
        <v>X</v>
      </c>
      <c r="X270" s="58" t="str">
        <f>[1]D!X127</f>
        <v>X</v>
      </c>
      <c r="Y270" s="33">
        <f>[1]D!Y127</f>
        <v>2</v>
      </c>
      <c r="Z270" s="60">
        <f>[1]D!Z127</f>
        <v>2</v>
      </c>
      <c r="AA270" s="60">
        <f>[1]D!AA127</f>
        <v>2</v>
      </c>
      <c r="AB270" s="33">
        <f>[1]D!AB127</f>
        <v>2</v>
      </c>
      <c r="AC270" s="33">
        <f>[1]D!AC127</f>
        <v>2</v>
      </c>
      <c r="AD270" s="33">
        <f>[1]D!AD127</f>
        <v>2</v>
      </c>
      <c r="AE270" s="58" t="str">
        <f>[1]D!AE127</f>
        <v>X</v>
      </c>
      <c r="AF270" s="58" t="str">
        <f>[1]D!AF127</f>
        <v>X</v>
      </c>
      <c r="AH270" s="16">
        <f t="shared" si="33"/>
        <v>0</v>
      </c>
      <c r="AI270" s="16">
        <f t="shared" si="34"/>
        <v>0</v>
      </c>
    </row>
    <row r="271" spans="1:35" ht="20.100000000000001" customHeight="1">
      <c r="A271" s="18" t="str">
        <f>ÖSSZES!$A$75</f>
        <v>Fábián Gábor</v>
      </c>
      <c r="B271" s="33">
        <f>[1]D!B128</f>
        <v>2</v>
      </c>
      <c r="C271" s="33">
        <f>[1]D!C128</f>
        <v>2</v>
      </c>
      <c r="D271" s="33">
        <f>[1]D!D128</f>
        <v>2</v>
      </c>
      <c r="E271" s="33">
        <f>[1]D!E128</f>
        <v>2</v>
      </c>
      <c r="F271" s="33">
        <f>[1]D!F128</f>
        <v>2</v>
      </c>
      <c r="G271" s="58" t="str">
        <f>[1]D!G128</f>
        <v>X</v>
      </c>
      <c r="H271" s="58" t="str">
        <f>[1]D!H128</f>
        <v>X</v>
      </c>
      <c r="I271" s="33">
        <f>[1]D!I128</f>
        <v>1</v>
      </c>
      <c r="J271" s="33">
        <f>[1]D!J128</f>
        <v>1</v>
      </c>
      <c r="K271" s="33">
        <f>[1]D!K128</f>
        <v>1</v>
      </c>
      <c r="L271" s="33">
        <f>[1]D!L128</f>
        <v>1</v>
      </c>
      <c r="M271" s="33">
        <f>[1]D!M128</f>
        <v>1</v>
      </c>
      <c r="N271" s="33">
        <f>[1]D!N128</f>
        <v>1</v>
      </c>
      <c r="O271" s="58" t="str">
        <f>[1]D!O128</f>
        <v>X</v>
      </c>
      <c r="P271" s="58" t="str">
        <f>[1]D!P128</f>
        <v>X</v>
      </c>
      <c r="Q271" s="33">
        <f>[1]D!Q128</f>
        <v>3</v>
      </c>
      <c r="R271" s="33">
        <f>[1]D!R128</f>
        <v>3</v>
      </c>
      <c r="S271" s="33">
        <f>[1]D!S128</f>
        <v>3</v>
      </c>
      <c r="T271" s="33">
        <f>[1]D!T128</f>
        <v>3</v>
      </c>
      <c r="U271" s="33">
        <f>[1]D!U128</f>
        <v>3</v>
      </c>
      <c r="V271" s="33">
        <f>[1]D!V128</f>
        <v>3</v>
      </c>
      <c r="W271" s="58" t="str">
        <f>[1]D!W128</f>
        <v>X</v>
      </c>
      <c r="X271" s="58" t="str">
        <f>[1]D!X128</f>
        <v>X</v>
      </c>
      <c r="Y271" s="33">
        <f>[1]D!Y128</f>
        <v>2</v>
      </c>
      <c r="Z271" s="60">
        <f>[1]D!Z128</f>
        <v>2</v>
      </c>
      <c r="AA271" s="60">
        <f>[1]D!AA128</f>
        <v>2</v>
      </c>
      <c r="AB271" s="33">
        <f>[1]D!AB128</f>
        <v>2</v>
      </c>
      <c r="AC271" s="33">
        <f>[1]D!AC128</f>
        <v>2</v>
      </c>
      <c r="AD271" s="33">
        <f>[1]D!AD128</f>
        <v>2</v>
      </c>
      <c r="AE271" s="58" t="str">
        <f>[1]D!AE128</f>
        <v>X</v>
      </c>
      <c r="AF271" s="58" t="str">
        <f>[1]D!AF128</f>
        <v>X</v>
      </c>
      <c r="AH271" s="16">
        <f t="shared" si="33"/>
        <v>0</v>
      </c>
      <c r="AI271" s="16">
        <f t="shared" si="34"/>
        <v>0</v>
      </c>
    </row>
    <row r="272" spans="1:35" ht="20.100000000000001" customHeight="1">
      <c r="A272" s="18" t="str">
        <f>ÖSSZES!$A$76</f>
        <v>Gellei Zsolt</v>
      </c>
      <c r="B272" s="33">
        <f>[1]D!B129</f>
        <v>2</v>
      </c>
      <c r="C272" s="33">
        <f>[1]D!C129</f>
        <v>2</v>
      </c>
      <c r="D272" s="33">
        <f>[1]D!D129</f>
        <v>2</v>
      </c>
      <c r="E272" s="33">
        <f>[1]D!E129</f>
        <v>2</v>
      </c>
      <c r="F272" s="33">
        <f>[1]D!F129</f>
        <v>2</v>
      </c>
      <c r="G272" s="58" t="str">
        <f>[1]D!G129</f>
        <v>X</v>
      </c>
      <c r="H272" s="58" t="str">
        <f>[1]D!H129</f>
        <v>X</v>
      </c>
      <c r="I272" s="33">
        <f>[1]D!I129</f>
        <v>1</v>
      </c>
      <c r="J272" s="33">
        <f>[1]D!J129</f>
        <v>1</v>
      </c>
      <c r="K272" s="33">
        <f>[1]D!K129</f>
        <v>1</v>
      </c>
      <c r="L272" s="33">
        <f>[1]D!L129</f>
        <v>1</v>
      </c>
      <c r="M272" s="33">
        <f>[1]D!M129</f>
        <v>1</v>
      </c>
      <c r="N272" s="33">
        <f>[1]D!N129</f>
        <v>1</v>
      </c>
      <c r="O272" s="58" t="str">
        <f>[1]D!O129</f>
        <v>X</v>
      </c>
      <c r="P272" s="58" t="str">
        <f>[1]D!P129</f>
        <v>X</v>
      </c>
      <c r="Q272" s="33">
        <f>[1]D!Q129</f>
        <v>3</v>
      </c>
      <c r="R272" s="33">
        <f>[1]D!R129</f>
        <v>3</v>
      </c>
      <c r="S272" s="33">
        <f>[1]D!S129</f>
        <v>3</v>
      </c>
      <c r="T272" s="33">
        <f>[1]D!T129</f>
        <v>3</v>
      </c>
      <c r="U272" s="33">
        <f>[1]D!U129</f>
        <v>3</v>
      </c>
      <c r="V272" s="33">
        <f>[1]D!V129</f>
        <v>3</v>
      </c>
      <c r="W272" s="58" t="str">
        <f>[1]D!W129</f>
        <v>X</v>
      </c>
      <c r="X272" s="58" t="str">
        <f>[1]D!X129</f>
        <v>X</v>
      </c>
      <c r="Y272" s="33">
        <f>[1]D!Y129</f>
        <v>2</v>
      </c>
      <c r="Z272" s="60">
        <f>[1]D!Z129</f>
        <v>2</v>
      </c>
      <c r="AA272" s="60">
        <f>[1]D!AA129</f>
        <v>2</v>
      </c>
      <c r="AB272" s="33">
        <f>[1]D!AB129</f>
        <v>2</v>
      </c>
      <c r="AC272" s="33">
        <f>[1]D!AC129</f>
        <v>2</v>
      </c>
      <c r="AD272" s="33">
        <f>[1]D!AD129</f>
        <v>2</v>
      </c>
      <c r="AE272" s="58" t="str">
        <f>[1]D!AE129</f>
        <v>X</v>
      </c>
      <c r="AF272" s="58" t="str">
        <f>[1]D!AF129</f>
        <v>X</v>
      </c>
      <c r="AH272" s="16">
        <f t="shared" si="33"/>
        <v>0</v>
      </c>
      <c r="AI272" s="16">
        <f t="shared" si="34"/>
        <v>0</v>
      </c>
    </row>
    <row r="273" spans="1:35" ht="20.100000000000001" customHeight="1">
      <c r="A273" s="18" t="str">
        <f>ÖSSZES!$A$77</f>
        <v>Kiss Gyula</v>
      </c>
      <c r="B273" s="33">
        <f>[1]D!B130</f>
        <v>2</v>
      </c>
      <c r="C273" s="33">
        <f>[1]D!C130</f>
        <v>2</v>
      </c>
      <c r="D273" s="33">
        <f>[1]D!D130</f>
        <v>2</v>
      </c>
      <c r="E273" s="33">
        <f>[1]D!E130</f>
        <v>2</v>
      </c>
      <c r="F273" s="33">
        <f>[1]D!F130</f>
        <v>2</v>
      </c>
      <c r="G273" s="58" t="str">
        <f>[1]D!G130</f>
        <v>X</v>
      </c>
      <c r="H273" s="58" t="str">
        <f>[1]D!H130</f>
        <v>X</v>
      </c>
      <c r="I273" s="33">
        <f>[1]D!I130</f>
        <v>1</v>
      </c>
      <c r="J273" s="33">
        <f>[1]D!J130</f>
        <v>1</v>
      </c>
      <c r="K273" s="33">
        <f>[1]D!K130</f>
        <v>1</v>
      </c>
      <c r="L273" s="33">
        <f>[1]D!L130</f>
        <v>1</v>
      </c>
      <c r="M273" s="33">
        <f>[1]D!M130</f>
        <v>1</v>
      </c>
      <c r="N273" s="33">
        <f>[1]D!N130</f>
        <v>1</v>
      </c>
      <c r="O273" s="58" t="str">
        <f>[1]D!O130</f>
        <v>X</v>
      </c>
      <c r="P273" s="58" t="str">
        <f>[1]D!P130</f>
        <v>X</v>
      </c>
      <c r="Q273" s="33">
        <f>[1]D!Q130</f>
        <v>3</v>
      </c>
      <c r="R273" s="33">
        <f>[1]D!R130</f>
        <v>3</v>
      </c>
      <c r="S273" s="33">
        <f>[1]D!S130</f>
        <v>3</v>
      </c>
      <c r="T273" s="33">
        <f>[1]D!T130</f>
        <v>3</v>
      </c>
      <c r="U273" s="33">
        <f>[1]D!U130</f>
        <v>3</v>
      </c>
      <c r="V273" s="33">
        <f>[1]D!V130</f>
        <v>3</v>
      </c>
      <c r="W273" s="58" t="str">
        <f>[1]D!W130</f>
        <v>X</v>
      </c>
      <c r="X273" s="58" t="str">
        <f>[1]D!X130</f>
        <v>X</v>
      </c>
      <c r="Y273" s="33">
        <f>[1]D!Y130</f>
        <v>2</v>
      </c>
      <c r="Z273" s="60">
        <f>[1]D!Z130</f>
        <v>2</v>
      </c>
      <c r="AA273" s="60">
        <f>[1]D!AA130</f>
        <v>2</v>
      </c>
      <c r="AB273" s="33">
        <f>[1]D!AB130</f>
        <v>2</v>
      </c>
      <c r="AC273" s="33">
        <f>[1]D!AC130</f>
        <v>2</v>
      </c>
      <c r="AD273" s="33">
        <f>[1]D!AD130</f>
        <v>2</v>
      </c>
      <c r="AE273" s="58" t="str">
        <f>[1]D!AE130</f>
        <v>X</v>
      </c>
      <c r="AF273" s="58" t="str">
        <f>[1]D!AF130</f>
        <v>X</v>
      </c>
      <c r="AH273" s="16">
        <f t="shared" si="33"/>
        <v>0</v>
      </c>
      <c r="AI273" s="16">
        <f t="shared" si="34"/>
        <v>0</v>
      </c>
    </row>
    <row r="274" spans="1:35" ht="20.100000000000001" customHeight="1">
      <c r="A274" s="18" t="str">
        <f>ÖSSZES!$A$78</f>
        <v>Nagy István</v>
      </c>
      <c r="B274" s="33">
        <f>[1]D!B131</f>
        <v>2</v>
      </c>
      <c r="C274" s="33">
        <f>[1]D!C131</f>
        <v>2</v>
      </c>
      <c r="D274" s="33">
        <f>[1]D!D131</f>
        <v>2</v>
      </c>
      <c r="E274" s="33">
        <f>[1]D!E131</f>
        <v>2</v>
      </c>
      <c r="F274" s="33">
        <f>[1]D!F131</f>
        <v>2</v>
      </c>
      <c r="G274" s="58" t="str">
        <f>[1]D!G131</f>
        <v>X</v>
      </c>
      <c r="H274" s="58" t="str">
        <f>[1]D!H131</f>
        <v>X</v>
      </c>
      <c r="I274" s="33">
        <f>[1]D!I131</f>
        <v>1</v>
      </c>
      <c r="J274" s="33">
        <f>[1]D!J131</f>
        <v>1</v>
      </c>
      <c r="K274" s="33">
        <f>[1]D!K131</f>
        <v>1</v>
      </c>
      <c r="L274" s="33">
        <f>[1]D!L131</f>
        <v>1</v>
      </c>
      <c r="M274" s="33">
        <f>[1]D!M131</f>
        <v>1</v>
      </c>
      <c r="N274" s="33">
        <f>[1]D!N131</f>
        <v>1</v>
      </c>
      <c r="O274" s="58" t="str">
        <f>[1]D!O131</f>
        <v>X</v>
      </c>
      <c r="P274" s="58" t="str">
        <f>[1]D!P131</f>
        <v>X</v>
      </c>
      <c r="Q274" s="33">
        <f>[1]D!Q131</f>
        <v>3</v>
      </c>
      <c r="R274" s="33">
        <f>[1]D!R131</f>
        <v>3</v>
      </c>
      <c r="S274" s="33">
        <f>[1]D!S131</f>
        <v>3</v>
      </c>
      <c r="T274" s="33">
        <f>[1]D!T131</f>
        <v>3</v>
      </c>
      <c r="U274" s="33">
        <f>[1]D!U131</f>
        <v>3</v>
      </c>
      <c r="V274" s="33">
        <f>[1]D!V131</f>
        <v>3</v>
      </c>
      <c r="W274" s="58" t="str">
        <f>[1]D!W131</f>
        <v>X</v>
      </c>
      <c r="X274" s="58" t="str">
        <f>[1]D!X131</f>
        <v>X</v>
      </c>
      <c r="Y274" s="33">
        <f>[1]D!Y131</f>
        <v>2</v>
      </c>
      <c r="Z274" s="60">
        <f>[1]D!Z131</f>
        <v>2</v>
      </c>
      <c r="AA274" s="60">
        <f>[1]D!AA131</f>
        <v>2</v>
      </c>
      <c r="AB274" s="33">
        <f>[1]D!AB131</f>
        <v>2</v>
      </c>
      <c r="AC274" s="33">
        <f>[1]D!AC131</f>
        <v>2</v>
      </c>
      <c r="AD274" s="33">
        <f>[1]D!AD131</f>
        <v>2</v>
      </c>
      <c r="AE274" s="58" t="str">
        <f>[1]D!AE131</f>
        <v>X</v>
      </c>
      <c r="AF274" s="58" t="str">
        <f>[1]D!AF131</f>
        <v>X</v>
      </c>
      <c r="AH274" s="16">
        <f t="shared" si="33"/>
        <v>0</v>
      </c>
      <c r="AI274" s="16">
        <f t="shared" si="34"/>
        <v>0</v>
      </c>
    </row>
    <row r="275" spans="1:35" ht="20.100000000000001" hidden="1" customHeight="1">
      <c r="A275" s="18" t="str">
        <f>ÖSSZES!$A$79</f>
        <v>Fényi László</v>
      </c>
      <c r="B275" s="33"/>
      <c r="C275" s="33"/>
      <c r="D275" s="33"/>
      <c r="E275" s="33"/>
      <c r="F275" s="33"/>
      <c r="G275" s="58"/>
      <c r="H275" s="58"/>
      <c r="I275" s="33"/>
      <c r="J275" s="33"/>
      <c r="K275" s="33"/>
      <c r="L275" s="33"/>
      <c r="M275" s="33"/>
      <c r="N275" s="33"/>
      <c r="O275" s="58"/>
      <c r="P275" s="58"/>
      <c r="Q275" s="33"/>
      <c r="R275" s="33"/>
      <c r="S275" s="33"/>
      <c r="T275" s="33"/>
      <c r="U275" s="33"/>
      <c r="V275" s="33"/>
      <c r="W275" s="58"/>
      <c r="X275" s="58"/>
      <c r="Y275" s="33"/>
      <c r="Z275" s="60"/>
      <c r="AA275" s="60"/>
      <c r="AB275" s="33"/>
      <c r="AC275" s="33"/>
      <c r="AD275" s="33"/>
      <c r="AE275" s="58"/>
      <c r="AF275" s="58"/>
      <c r="AH275" s="16">
        <f t="shared" si="33"/>
        <v>0</v>
      </c>
      <c r="AI275" s="16">
        <f t="shared" si="34"/>
        <v>0</v>
      </c>
    </row>
    <row r="276" spans="1:35" ht="20.100000000000001" hidden="1" customHeight="1">
      <c r="A276" s="18" t="str">
        <f>ÖSSZES!$A$80</f>
        <v>Név9</v>
      </c>
      <c r="B276" s="33"/>
      <c r="C276" s="33"/>
      <c r="D276" s="33"/>
      <c r="E276" s="33"/>
      <c r="F276" s="33"/>
      <c r="G276" s="58" t="s">
        <v>2</v>
      </c>
      <c r="H276" s="58" t="s">
        <v>2</v>
      </c>
      <c r="I276" s="33"/>
      <c r="J276" s="33"/>
      <c r="K276" s="33"/>
      <c r="L276" s="33"/>
      <c r="M276" s="33"/>
      <c r="N276" s="33"/>
      <c r="O276" s="58" t="s">
        <v>2</v>
      </c>
      <c r="P276" s="58" t="s">
        <v>2</v>
      </c>
      <c r="Q276" s="33"/>
      <c r="R276" s="33"/>
      <c r="S276" s="33"/>
      <c r="T276" s="33"/>
      <c r="U276" s="33"/>
      <c r="V276" s="33"/>
      <c r="W276" s="58" t="s">
        <v>2</v>
      </c>
      <c r="X276" s="58" t="s">
        <v>2</v>
      </c>
      <c r="Y276" s="33"/>
      <c r="Z276" s="60"/>
      <c r="AA276" s="60"/>
      <c r="AB276" s="33"/>
      <c r="AC276" s="33"/>
      <c r="AD276" s="33"/>
      <c r="AE276" s="58" t="s">
        <v>2</v>
      </c>
      <c r="AF276" s="58" t="s">
        <v>2</v>
      </c>
      <c r="AH276" s="16">
        <f t="shared" si="33"/>
        <v>0</v>
      </c>
      <c r="AI276" s="16">
        <f t="shared" si="34"/>
        <v>0</v>
      </c>
    </row>
    <row r="277" spans="1:35" ht="20.100000000000001" hidden="1" customHeight="1">
      <c r="A277" s="18" t="str">
        <f>ÖSSZES!$A$81</f>
        <v>Név10</v>
      </c>
      <c r="B277" s="33"/>
      <c r="C277" s="33"/>
      <c r="D277" s="33"/>
      <c r="E277" s="33"/>
      <c r="F277" s="33"/>
      <c r="G277" s="58" t="s">
        <v>2</v>
      </c>
      <c r="H277" s="58" t="s">
        <v>2</v>
      </c>
      <c r="I277" s="33"/>
      <c r="J277" s="33"/>
      <c r="K277" s="33"/>
      <c r="L277" s="33"/>
      <c r="M277" s="33"/>
      <c r="N277" s="33"/>
      <c r="O277" s="58" t="s">
        <v>2</v>
      </c>
      <c r="P277" s="58" t="s">
        <v>2</v>
      </c>
      <c r="Q277" s="33"/>
      <c r="R277" s="33"/>
      <c r="S277" s="33"/>
      <c r="T277" s="33"/>
      <c r="U277" s="33"/>
      <c r="V277" s="33"/>
      <c r="W277" s="58" t="s">
        <v>2</v>
      </c>
      <c r="X277" s="58" t="s">
        <v>2</v>
      </c>
      <c r="Y277" s="33"/>
      <c r="Z277" s="60"/>
      <c r="AA277" s="60"/>
      <c r="AB277" s="33"/>
      <c r="AC277" s="33"/>
      <c r="AD277" s="33"/>
      <c r="AE277" s="58" t="s">
        <v>2</v>
      </c>
      <c r="AF277" s="58" t="s">
        <v>2</v>
      </c>
      <c r="AH277" s="16">
        <f t="shared" si="33"/>
        <v>0</v>
      </c>
      <c r="AI277" s="16">
        <f t="shared" si="34"/>
        <v>0</v>
      </c>
    </row>
    <row r="278" spans="1:35" ht="20.100000000000001" hidden="1" customHeight="1">
      <c r="A278" s="18" t="str">
        <f>ÖSSZES!$A$82</f>
        <v>Név11</v>
      </c>
      <c r="B278" s="33"/>
      <c r="C278" s="33"/>
      <c r="D278" s="33"/>
      <c r="E278" s="33"/>
      <c r="F278" s="33"/>
      <c r="G278" s="58" t="s">
        <v>2</v>
      </c>
      <c r="H278" s="58" t="s">
        <v>2</v>
      </c>
      <c r="I278" s="33"/>
      <c r="J278" s="33"/>
      <c r="K278" s="33"/>
      <c r="L278" s="33"/>
      <c r="M278" s="33"/>
      <c r="N278" s="33"/>
      <c r="O278" s="58" t="s">
        <v>2</v>
      </c>
      <c r="P278" s="58" t="s">
        <v>2</v>
      </c>
      <c r="Q278" s="33"/>
      <c r="R278" s="33"/>
      <c r="S278" s="33"/>
      <c r="T278" s="33"/>
      <c r="U278" s="33"/>
      <c r="V278" s="33"/>
      <c r="W278" s="58" t="s">
        <v>2</v>
      </c>
      <c r="X278" s="58" t="s">
        <v>2</v>
      </c>
      <c r="Y278" s="33"/>
      <c r="Z278" s="60"/>
      <c r="AA278" s="60"/>
      <c r="AB278" s="33"/>
      <c r="AC278" s="33"/>
      <c r="AD278" s="33"/>
      <c r="AE278" s="58" t="s">
        <v>2</v>
      </c>
      <c r="AF278" s="58" t="s">
        <v>2</v>
      </c>
      <c r="AH278" s="16">
        <f t="shared" si="33"/>
        <v>0</v>
      </c>
      <c r="AI278" s="16">
        <f t="shared" si="34"/>
        <v>0</v>
      </c>
    </row>
    <row r="279" spans="1:35" ht="20.100000000000001" hidden="1" customHeight="1">
      <c r="A279" s="18" t="str">
        <f>ÖSSZES!$A$83</f>
        <v>Név12</v>
      </c>
      <c r="B279" s="33"/>
      <c r="C279" s="33"/>
      <c r="D279" s="33"/>
      <c r="E279" s="33"/>
      <c r="F279" s="33"/>
      <c r="G279" s="58" t="s">
        <v>2</v>
      </c>
      <c r="H279" s="58" t="s">
        <v>2</v>
      </c>
      <c r="I279" s="33"/>
      <c r="J279" s="33"/>
      <c r="K279" s="33"/>
      <c r="L279" s="33"/>
      <c r="M279" s="33"/>
      <c r="N279" s="33"/>
      <c r="O279" s="58" t="s">
        <v>2</v>
      </c>
      <c r="P279" s="58" t="s">
        <v>2</v>
      </c>
      <c r="Q279" s="33"/>
      <c r="R279" s="33"/>
      <c r="S279" s="33"/>
      <c r="T279" s="33"/>
      <c r="U279" s="33"/>
      <c r="V279" s="33"/>
      <c r="W279" s="58" t="s">
        <v>2</v>
      </c>
      <c r="X279" s="58" t="s">
        <v>2</v>
      </c>
      <c r="Y279" s="33"/>
      <c r="Z279" s="60"/>
      <c r="AA279" s="60"/>
      <c r="AB279" s="33"/>
      <c r="AC279" s="33"/>
      <c r="AD279" s="33"/>
      <c r="AE279" s="58" t="s">
        <v>2</v>
      </c>
      <c r="AF279" s="58" t="s">
        <v>2</v>
      </c>
      <c r="AH279" s="16">
        <f t="shared" si="33"/>
        <v>0</v>
      </c>
      <c r="AI279" s="16">
        <f t="shared" si="34"/>
        <v>0</v>
      </c>
    </row>
    <row r="280" spans="1:35" ht="20.100000000000001" hidden="1" customHeight="1">
      <c r="A280" s="18" t="str">
        <f>ÖSSZES!$A$84</f>
        <v>Név13</v>
      </c>
      <c r="B280" s="33"/>
      <c r="C280" s="33"/>
      <c r="D280" s="33"/>
      <c r="E280" s="33"/>
      <c r="F280" s="33"/>
      <c r="G280" s="58" t="s">
        <v>2</v>
      </c>
      <c r="H280" s="58" t="s">
        <v>2</v>
      </c>
      <c r="I280" s="33"/>
      <c r="J280" s="33"/>
      <c r="K280" s="33"/>
      <c r="L280" s="33"/>
      <c r="M280" s="33"/>
      <c r="N280" s="33"/>
      <c r="O280" s="58" t="s">
        <v>2</v>
      </c>
      <c r="P280" s="58" t="s">
        <v>2</v>
      </c>
      <c r="Q280" s="33"/>
      <c r="R280" s="33"/>
      <c r="S280" s="33"/>
      <c r="T280" s="33"/>
      <c r="U280" s="33"/>
      <c r="V280" s="33"/>
      <c r="W280" s="58" t="s">
        <v>2</v>
      </c>
      <c r="X280" s="58" t="s">
        <v>2</v>
      </c>
      <c r="Y280" s="33"/>
      <c r="Z280" s="60"/>
      <c r="AA280" s="60"/>
      <c r="AB280" s="33"/>
      <c r="AC280" s="33"/>
      <c r="AD280" s="33"/>
      <c r="AE280" s="58" t="s">
        <v>2</v>
      </c>
      <c r="AF280" s="58" t="s">
        <v>2</v>
      </c>
      <c r="AH280" s="16">
        <f t="shared" si="33"/>
        <v>0</v>
      </c>
      <c r="AI280" s="16">
        <f t="shared" si="34"/>
        <v>0</v>
      </c>
    </row>
    <row r="281" spans="1:35" ht="20.100000000000001" hidden="1" customHeight="1">
      <c r="A281" s="18" t="str">
        <f>ÖSSZES!$A$85</f>
        <v>Név14</v>
      </c>
      <c r="B281" s="33"/>
      <c r="C281" s="33"/>
      <c r="D281" s="33"/>
      <c r="E281" s="33"/>
      <c r="F281" s="33"/>
      <c r="G281" s="58" t="s">
        <v>2</v>
      </c>
      <c r="H281" s="58" t="s">
        <v>2</v>
      </c>
      <c r="I281" s="33"/>
      <c r="J281" s="33"/>
      <c r="K281" s="33"/>
      <c r="L281" s="33"/>
      <c r="M281" s="33"/>
      <c r="N281" s="33"/>
      <c r="O281" s="58" t="s">
        <v>2</v>
      </c>
      <c r="P281" s="58" t="s">
        <v>2</v>
      </c>
      <c r="Q281" s="33"/>
      <c r="R281" s="33"/>
      <c r="S281" s="33"/>
      <c r="T281" s="33"/>
      <c r="U281" s="33"/>
      <c r="V281" s="33"/>
      <c r="W281" s="58" t="s">
        <v>2</v>
      </c>
      <c r="X281" s="58" t="s">
        <v>2</v>
      </c>
      <c r="Y281" s="33"/>
      <c r="Z281" s="60"/>
      <c r="AA281" s="60"/>
      <c r="AB281" s="33"/>
      <c r="AC281" s="33"/>
      <c r="AD281" s="33"/>
      <c r="AE281" s="58" t="s">
        <v>2</v>
      </c>
      <c r="AF281" s="58" t="s">
        <v>2</v>
      </c>
      <c r="AH281" s="16">
        <f t="shared" si="33"/>
        <v>0</v>
      </c>
      <c r="AI281" s="16">
        <f t="shared" si="34"/>
        <v>0</v>
      </c>
    </row>
    <row r="282" spans="1:35" ht="20.100000000000001" hidden="1" customHeight="1">
      <c r="A282" s="18" t="str">
        <f>ÖSSZES!$A$86</f>
        <v>Név15</v>
      </c>
      <c r="B282" s="33"/>
      <c r="C282" s="33"/>
      <c r="D282" s="33"/>
      <c r="E282" s="33"/>
      <c r="F282" s="33"/>
      <c r="G282" s="58" t="s">
        <v>2</v>
      </c>
      <c r="H282" s="58" t="s">
        <v>2</v>
      </c>
      <c r="I282" s="33"/>
      <c r="J282" s="33"/>
      <c r="K282" s="33"/>
      <c r="L282" s="33"/>
      <c r="M282" s="33"/>
      <c r="N282" s="33"/>
      <c r="O282" s="58" t="s">
        <v>2</v>
      </c>
      <c r="P282" s="58" t="s">
        <v>2</v>
      </c>
      <c r="Q282" s="33"/>
      <c r="R282" s="33"/>
      <c r="S282" s="33"/>
      <c r="T282" s="33"/>
      <c r="U282" s="33"/>
      <c r="V282" s="33"/>
      <c r="W282" s="58" t="s">
        <v>2</v>
      </c>
      <c r="X282" s="58" t="s">
        <v>2</v>
      </c>
      <c r="Y282" s="33"/>
      <c r="Z282" s="60"/>
      <c r="AA282" s="60"/>
      <c r="AB282" s="33"/>
      <c r="AC282" s="33"/>
      <c r="AD282" s="33"/>
      <c r="AE282" s="58" t="s">
        <v>2</v>
      </c>
      <c r="AF282" s="58" t="s">
        <v>2</v>
      </c>
      <c r="AH282" s="16">
        <f t="shared" si="33"/>
        <v>0</v>
      </c>
      <c r="AI282" s="16">
        <f t="shared" si="34"/>
        <v>0</v>
      </c>
    </row>
    <row r="283" spans="1:35" ht="20.100000000000001" hidden="1" customHeight="1">
      <c r="A283" s="18" t="str">
        <f>ÖSSZES!$A$87</f>
        <v>Név16</v>
      </c>
      <c r="B283" s="33"/>
      <c r="C283" s="33"/>
      <c r="D283" s="33"/>
      <c r="E283" s="33"/>
      <c r="F283" s="33"/>
      <c r="G283" s="58" t="s">
        <v>2</v>
      </c>
      <c r="H283" s="58" t="s">
        <v>2</v>
      </c>
      <c r="I283" s="33"/>
      <c r="J283" s="33"/>
      <c r="K283" s="33"/>
      <c r="L283" s="33"/>
      <c r="M283" s="33"/>
      <c r="N283" s="33"/>
      <c r="O283" s="58" t="s">
        <v>2</v>
      </c>
      <c r="P283" s="58" t="s">
        <v>2</v>
      </c>
      <c r="Q283" s="33"/>
      <c r="R283" s="33"/>
      <c r="S283" s="33"/>
      <c r="T283" s="33"/>
      <c r="U283" s="33"/>
      <c r="V283" s="33"/>
      <c r="W283" s="58" t="s">
        <v>2</v>
      </c>
      <c r="X283" s="58" t="s">
        <v>2</v>
      </c>
      <c r="Y283" s="33"/>
      <c r="Z283" s="60"/>
      <c r="AA283" s="60"/>
      <c r="AB283" s="33"/>
      <c r="AC283" s="33"/>
      <c r="AD283" s="33"/>
      <c r="AE283" s="58" t="s">
        <v>2</v>
      </c>
      <c r="AF283" s="58" t="s">
        <v>2</v>
      </c>
      <c r="AH283" s="16">
        <f t="shared" si="33"/>
        <v>0</v>
      </c>
      <c r="AI283" s="16">
        <f t="shared" si="34"/>
        <v>0</v>
      </c>
    </row>
    <row r="284" spans="1:35" ht="20.100000000000001" hidden="1" customHeight="1">
      <c r="A284" s="18" t="str">
        <f>ÖSSZES!$A$88</f>
        <v>Név17</v>
      </c>
      <c r="B284" s="33"/>
      <c r="C284" s="33"/>
      <c r="D284" s="33"/>
      <c r="E284" s="33"/>
      <c r="F284" s="33"/>
      <c r="G284" s="58" t="s">
        <v>2</v>
      </c>
      <c r="H284" s="58" t="s">
        <v>2</v>
      </c>
      <c r="I284" s="33"/>
      <c r="J284" s="33"/>
      <c r="K284" s="33"/>
      <c r="L284" s="33"/>
      <c r="M284" s="33"/>
      <c r="N284" s="33"/>
      <c r="O284" s="58" t="s">
        <v>2</v>
      </c>
      <c r="P284" s="58" t="s">
        <v>2</v>
      </c>
      <c r="Q284" s="33"/>
      <c r="R284" s="33"/>
      <c r="S284" s="33"/>
      <c r="T284" s="33"/>
      <c r="U284" s="33"/>
      <c r="V284" s="33"/>
      <c r="W284" s="58" t="s">
        <v>2</v>
      </c>
      <c r="X284" s="58" t="s">
        <v>2</v>
      </c>
      <c r="Y284" s="33"/>
      <c r="Z284" s="60"/>
      <c r="AA284" s="60"/>
      <c r="AB284" s="33"/>
      <c r="AC284" s="33"/>
      <c r="AD284" s="33"/>
      <c r="AE284" s="58" t="s">
        <v>2</v>
      </c>
      <c r="AF284" s="58" t="s">
        <v>2</v>
      </c>
      <c r="AH284" s="16">
        <f t="shared" si="33"/>
        <v>0</v>
      </c>
      <c r="AI284" s="16">
        <f t="shared" si="34"/>
        <v>0</v>
      </c>
    </row>
    <row r="285" spans="1:35" ht="20.100000000000001" hidden="1" customHeight="1">
      <c r="A285" s="18" t="str">
        <f>ÖSSZES!$A$89</f>
        <v>Név18</v>
      </c>
      <c r="B285" s="33"/>
      <c r="C285" s="33"/>
      <c r="D285" s="33"/>
      <c r="E285" s="33"/>
      <c r="F285" s="33"/>
      <c r="G285" s="58" t="s">
        <v>2</v>
      </c>
      <c r="H285" s="58" t="s">
        <v>2</v>
      </c>
      <c r="I285" s="33"/>
      <c r="J285" s="33"/>
      <c r="K285" s="33"/>
      <c r="L285" s="33"/>
      <c r="M285" s="33"/>
      <c r="N285" s="33"/>
      <c r="O285" s="58" t="s">
        <v>2</v>
      </c>
      <c r="P285" s="58" t="s">
        <v>2</v>
      </c>
      <c r="Q285" s="33"/>
      <c r="R285" s="33"/>
      <c r="S285" s="33"/>
      <c r="T285" s="33"/>
      <c r="U285" s="33"/>
      <c r="V285" s="33"/>
      <c r="W285" s="58" t="s">
        <v>2</v>
      </c>
      <c r="X285" s="58" t="s">
        <v>2</v>
      </c>
      <c r="Y285" s="33"/>
      <c r="Z285" s="60"/>
      <c r="AA285" s="60"/>
      <c r="AB285" s="33"/>
      <c r="AC285" s="33"/>
      <c r="AD285" s="33"/>
      <c r="AE285" s="58" t="s">
        <v>2</v>
      </c>
      <c r="AF285" s="58" t="s">
        <v>2</v>
      </c>
      <c r="AH285" s="16">
        <f t="shared" si="33"/>
        <v>0</v>
      </c>
      <c r="AI285" s="16">
        <f t="shared" si="34"/>
        <v>0</v>
      </c>
    </row>
    <row r="286" spans="1:35" ht="20.100000000000001" hidden="1" customHeight="1">
      <c r="A286" s="18" t="str">
        <f>ÖSSZES!$A$90</f>
        <v>Név19</v>
      </c>
      <c r="B286" s="33"/>
      <c r="C286" s="33"/>
      <c r="D286" s="33"/>
      <c r="E286" s="33"/>
      <c r="F286" s="33"/>
      <c r="G286" s="58" t="s">
        <v>2</v>
      </c>
      <c r="H286" s="58" t="s">
        <v>2</v>
      </c>
      <c r="I286" s="33"/>
      <c r="J286" s="33"/>
      <c r="K286" s="33"/>
      <c r="L286" s="33"/>
      <c r="M286" s="33"/>
      <c r="N286" s="33"/>
      <c r="O286" s="58" t="s">
        <v>2</v>
      </c>
      <c r="P286" s="58" t="s">
        <v>2</v>
      </c>
      <c r="Q286" s="33"/>
      <c r="R286" s="33"/>
      <c r="S286" s="33"/>
      <c r="T286" s="33"/>
      <c r="U286" s="33"/>
      <c r="V286" s="33"/>
      <c r="W286" s="58" t="s">
        <v>2</v>
      </c>
      <c r="X286" s="58" t="s">
        <v>2</v>
      </c>
      <c r="Y286" s="33"/>
      <c r="Z286" s="60"/>
      <c r="AA286" s="60"/>
      <c r="AB286" s="33"/>
      <c r="AC286" s="33"/>
      <c r="AD286" s="33"/>
      <c r="AE286" s="58" t="s">
        <v>2</v>
      </c>
      <c r="AF286" s="58" t="s">
        <v>2</v>
      </c>
      <c r="AH286" s="16">
        <f t="shared" si="33"/>
        <v>0</v>
      </c>
      <c r="AI286" s="16">
        <f t="shared" si="34"/>
        <v>0</v>
      </c>
    </row>
    <row r="287" spans="1:35" ht="20.100000000000001" hidden="1" customHeight="1">
      <c r="A287" s="18" t="str">
        <f>ÖSSZES!$A$91</f>
        <v>Név20</v>
      </c>
      <c r="B287" s="33"/>
      <c r="C287" s="33"/>
      <c r="D287" s="33"/>
      <c r="E287" s="33"/>
      <c r="F287" s="33"/>
      <c r="G287" s="58" t="s">
        <v>2</v>
      </c>
      <c r="H287" s="58" t="s">
        <v>2</v>
      </c>
      <c r="I287" s="33"/>
      <c r="J287" s="33"/>
      <c r="K287" s="33"/>
      <c r="L287" s="33"/>
      <c r="M287" s="33"/>
      <c r="N287" s="33"/>
      <c r="O287" s="58" t="s">
        <v>2</v>
      </c>
      <c r="P287" s="58" t="s">
        <v>2</v>
      </c>
      <c r="Q287" s="33"/>
      <c r="R287" s="33"/>
      <c r="S287" s="33"/>
      <c r="T287" s="33"/>
      <c r="U287" s="33"/>
      <c r="V287" s="33"/>
      <c r="W287" s="58" t="s">
        <v>2</v>
      </c>
      <c r="X287" s="58" t="s">
        <v>2</v>
      </c>
      <c r="Y287" s="33"/>
      <c r="Z287" s="60"/>
      <c r="AA287" s="60"/>
      <c r="AB287" s="33"/>
      <c r="AC287" s="33"/>
      <c r="AD287" s="33"/>
      <c r="AE287" s="58" t="s">
        <v>2</v>
      </c>
      <c r="AF287" s="58" t="s">
        <v>2</v>
      </c>
      <c r="AH287" s="16">
        <f t="shared" si="33"/>
        <v>0</v>
      </c>
      <c r="AI287" s="16">
        <f t="shared" si="34"/>
        <v>0</v>
      </c>
    </row>
  </sheetData>
  <sheetProtection password="DD6F" sheet="1" objects="1" scenarios="1"/>
  <mergeCells count="36">
    <mergeCell ref="A265:A267"/>
    <mergeCell ref="A1:A3"/>
    <mergeCell ref="A25:A27"/>
    <mergeCell ref="A49:A51"/>
    <mergeCell ref="A73:A75"/>
    <mergeCell ref="A97:A99"/>
    <mergeCell ref="A121:A123"/>
    <mergeCell ref="A145:A147"/>
    <mergeCell ref="A169:A171"/>
    <mergeCell ref="A193:A195"/>
    <mergeCell ref="A217:A219"/>
    <mergeCell ref="A241:A243"/>
    <mergeCell ref="AH1:AH3"/>
    <mergeCell ref="AI1:AI3"/>
    <mergeCell ref="AH25:AH27"/>
    <mergeCell ref="AI25:AI27"/>
    <mergeCell ref="AH49:AH51"/>
    <mergeCell ref="AI49:AI51"/>
    <mergeCell ref="AH73:AH75"/>
    <mergeCell ref="AI73:AI75"/>
    <mergeCell ref="AH97:AH99"/>
    <mergeCell ref="AI97:AI99"/>
    <mergeCell ref="AH121:AH123"/>
    <mergeCell ref="AI121:AI123"/>
    <mergeCell ref="AH145:AH147"/>
    <mergeCell ref="AI145:AI147"/>
    <mergeCell ref="AH169:AH171"/>
    <mergeCell ref="AI169:AI171"/>
    <mergeCell ref="AH193:AH195"/>
    <mergeCell ref="AI193:AI195"/>
    <mergeCell ref="AH217:AH219"/>
    <mergeCell ref="AI217:AI219"/>
    <mergeCell ref="AH241:AH243"/>
    <mergeCell ref="AI241:AI243"/>
    <mergeCell ref="AH265:AH267"/>
    <mergeCell ref="AI265:AI267"/>
  </mergeCells>
  <phoneticPr fontId="0" type="noConversion"/>
  <conditionalFormatting sqref="A1:XFD3 A24:XFD24 M4:M23 U4:U23 AC4:AC23 A48:XFD51 A72:XFD75 A52:A71 L52:O71 T52:W71 AB52:AE71 AG52:XFD71 A96:XFD99 A76:A95 E76:H95 U76:X95 A120:XFD123 G100:J119 W100:Z119 A144:XFD147 H124:K143 P124:S143 X124:AA143 AF124:XFD143 A168:XFD171 A148:E167 J148:M167 R148:U167 Z148:AC167 AG148:XFD167 A192:XFD195 A172:A191 K172:N191 AG172:XFD191 A216:XFD219 A196:A215 A240:XFD243 A220:A239 A264:XFD267 A288:XFD1048576 A268:D287 I268:L287 Q268:T287 AG268:XFD287 M76:P95 A100:B119 A124:C143 S172:V191 Y268:AB287 E4:E23 H4:J23 P4:R23 X4:Z23 AF4:XFD23 AE25:XFD47 A25:AD27 D52:G71 AC76:XFD95 O100:R119 C172:F191 AA172:AD191 AE100:XFD119 F35:F47 N35:N47 V35:V47 I35:K47 Y35:AA47 A35:C47 Q35:S47 A4:B23 A28:A34 L196:O215 T196:W215 AB196:XFD215 D196:G215 F220:I239 N220:Q239 AD220:XFD239 V220:Y239 G244:J263 W244:Z263 AE244:XFD263 A244:B263 O244:R263">
    <cfRule type="cellIs" dxfId="1169" priority="444" operator="equal">
      <formula>"szf"</formula>
    </cfRule>
    <cfRule type="cellIs" dxfId="1168" priority="445" operator="equal">
      <formula>"+"</formula>
    </cfRule>
  </conditionalFormatting>
  <conditionalFormatting sqref="C4:D23">
    <cfRule type="cellIs" dxfId="1167" priority="442" operator="equal">
      <formula>"+"</formula>
    </cfRule>
    <cfRule type="cellIs" dxfId="1166" priority="443" operator="equal">
      <formula>"szf"</formula>
    </cfRule>
  </conditionalFormatting>
  <conditionalFormatting sqref="K4:L23">
    <cfRule type="cellIs" dxfId="1165" priority="440" operator="equal">
      <formula>"+"</formula>
    </cfRule>
    <cfRule type="cellIs" dxfId="1164" priority="441" operator="equal">
      <formula>"szf"</formula>
    </cfRule>
  </conditionalFormatting>
  <conditionalFormatting sqref="S4:T23">
    <cfRule type="cellIs" dxfId="1163" priority="438" operator="equal">
      <formula>"+"</formula>
    </cfRule>
    <cfRule type="cellIs" dxfId="1162" priority="439" operator="equal">
      <formula>"szf"</formula>
    </cfRule>
  </conditionalFormatting>
  <conditionalFormatting sqref="AA4:AB23">
    <cfRule type="cellIs" dxfId="1161" priority="436" operator="equal">
      <formula>"+"</formula>
    </cfRule>
    <cfRule type="cellIs" dxfId="1160" priority="437" operator="equal">
      <formula>"szf"</formula>
    </cfRule>
  </conditionalFormatting>
  <conditionalFormatting sqref="D35:E47">
    <cfRule type="cellIs" dxfId="1159" priority="434" operator="equal">
      <formula>"+"</formula>
    </cfRule>
    <cfRule type="cellIs" dxfId="1158" priority="435" operator="equal">
      <formula>"szf"</formula>
    </cfRule>
  </conditionalFormatting>
  <conditionalFormatting sqref="L35:M47">
    <cfRule type="cellIs" dxfId="1157" priority="432" operator="equal">
      <formula>"+"</formula>
    </cfRule>
    <cfRule type="cellIs" dxfId="1156" priority="433" operator="equal">
      <formula>"szf"</formula>
    </cfRule>
  </conditionalFormatting>
  <conditionalFormatting sqref="T35:U47">
    <cfRule type="cellIs" dxfId="1155" priority="430" operator="equal">
      <formula>"+"</formula>
    </cfRule>
    <cfRule type="cellIs" dxfId="1154" priority="431" operator="equal">
      <formula>"szf"</formula>
    </cfRule>
  </conditionalFormatting>
  <conditionalFormatting sqref="AB35:AD47">
    <cfRule type="cellIs" dxfId="1153" priority="428" operator="equal">
      <formula>"+"</formula>
    </cfRule>
    <cfRule type="cellIs" dxfId="1152" priority="429" operator="equal">
      <formula>"szf"</formula>
    </cfRule>
  </conditionalFormatting>
  <conditionalFormatting sqref="H52:H71">
    <cfRule type="cellIs" dxfId="1151" priority="426" operator="equal">
      <formula>"+"</formula>
    </cfRule>
    <cfRule type="cellIs" dxfId="1150" priority="427" operator="equal">
      <formula>"szf"</formula>
    </cfRule>
  </conditionalFormatting>
  <conditionalFormatting sqref="I52:I71">
    <cfRule type="cellIs" dxfId="1149" priority="424" operator="equal">
      <formula>"+"</formula>
    </cfRule>
    <cfRule type="cellIs" dxfId="1148" priority="425" operator="equal">
      <formula>"szf"</formula>
    </cfRule>
  </conditionalFormatting>
  <conditionalFormatting sqref="Q52:Q71">
    <cfRule type="cellIs" dxfId="1147" priority="420" operator="equal">
      <formula>"+"</formula>
    </cfRule>
    <cfRule type="cellIs" dxfId="1146" priority="421" operator="equal">
      <formula>"szf"</formula>
    </cfRule>
  </conditionalFormatting>
  <conditionalFormatting sqref="X52:X71">
    <cfRule type="cellIs" dxfId="1145" priority="418" operator="equal">
      <formula>"+"</formula>
    </cfRule>
    <cfRule type="cellIs" dxfId="1144" priority="419" operator="equal">
      <formula>"szf"</formula>
    </cfRule>
  </conditionalFormatting>
  <conditionalFormatting sqref="Y52:Y71">
    <cfRule type="cellIs" dxfId="1143" priority="416" operator="equal">
      <formula>"+"</formula>
    </cfRule>
    <cfRule type="cellIs" dxfId="1142" priority="417" operator="equal">
      <formula>"szf"</formula>
    </cfRule>
  </conditionalFormatting>
  <conditionalFormatting sqref="AF52:AF71">
    <cfRule type="cellIs" dxfId="1141" priority="414" operator="equal">
      <formula>"+"</formula>
    </cfRule>
    <cfRule type="cellIs" dxfId="1140" priority="415" operator="equal">
      <formula>"szf"</formula>
    </cfRule>
  </conditionalFormatting>
  <conditionalFormatting sqref="B76:B95">
    <cfRule type="cellIs" dxfId="1139" priority="412" operator="equal">
      <formula>"+"</formula>
    </cfRule>
    <cfRule type="cellIs" dxfId="1138" priority="413" operator="equal">
      <formula>"szf"</formula>
    </cfRule>
  </conditionalFormatting>
  <conditionalFormatting sqref="I76:I95">
    <cfRule type="cellIs" dxfId="1137" priority="410" operator="equal">
      <formula>"+"</formula>
    </cfRule>
    <cfRule type="cellIs" dxfId="1136" priority="411" operator="equal">
      <formula>"szf"</formula>
    </cfRule>
  </conditionalFormatting>
  <conditionalFormatting sqref="J76:J95">
    <cfRule type="cellIs" dxfId="1135" priority="408" operator="equal">
      <formula>"+"</formula>
    </cfRule>
    <cfRule type="cellIs" dxfId="1134" priority="409" operator="equal">
      <formula>"szf"</formula>
    </cfRule>
  </conditionalFormatting>
  <conditionalFormatting sqref="Q76:Q95">
    <cfRule type="cellIs" dxfId="1133" priority="406" operator="equal">
      <formula>"+"</formula>
    </cfRule>
    <cfRule type="cellIs" dxfId="1132" priority="407" operator="equal">
      <formula>"szf"</formula>
    </cfRule>
  </conditionalFormatting>
  <conditionalFormatting sqref="R76:R95">
    <cfRule type="cellIs" dxfId="1131" priority="404" operator="equal">
      <formula>"+"</formula>
    </cfRule>
    <cfRule type="cellIs" dxfId="1130" priority="405" operator="equal">
      <formula>"szf"</formula>
    </cfRule>
  </conditionalFormatting>
  <conditionalFormatting sqref="Y76:Y95">
    <cfRule type="cellIs" dxfId="1129" priority="402" operator="equal">
      <formula>"+"</formula>
    </cfRule>
    <cfRule type="cellIs" dxfId="1128" priority="403" operator="equal">
      <formula>"szf"</formula>
    </cfRule>
  </conditionalFormatting>
  <conditionalFormatting sqref="Z76:Z95">
    <cfRule type="cellIs" dxfId="1127" priority="400" operator="equal">
      <formula>"+"</formula>
    </cfRule>
    <cfRule type="cellIs" dxfId="1126" priority="401" operator="equal">
      <formula>"szf"</formula>
    </cfRule>
  </conditionalFormatting>
  <conditionalFormatting sqref="C100:C119">
    <cfRule type="cellIs" dxfId="1125" priority="398" operator="equal">
      <formula>"+"</formula>
    </cfRule>
    <cfRule type="cellIs" dxfId="1124" priority="399" operator="equal">
      <formula>"szf"</formula>
    </cfRule>
  </conditionalFormatting>
  <conditionalFormatting sqref="D100:D119">
    <cfRule type="cellIs" dxfId="1123" priority="396" operator="equal">
      <formula>"+"</formula>
    </cfRule>
    <cfRule type="cellIs" dxfId="1122" priority="397" operator="equal">
      <formula>"szf"</formula>
    </cfRule>
  </conditionalFormatting>
  <conditionalFormatting sqref="K100:K119">
    <cfRule type="cellIs" dxfId="1121" priority="394" operator="equal">
      <formula>"+"</formula>
    </cfRule>
    <cfRule type="cellIs" dxfId="1120" priority="395" operator="equal">
      <formula>"szf"</formula>
    </cfRule>
  </conditionalFormatting>
  <conditionalFormatting sqref="L100:L119">
    <cfRule type="cellIs" dxfId="1119" priority="392" operator="equal">
      <formula>"+"</formula>
    </cfRule>
    <cfRule type="cellIs" dxfId="1118" priority="393" operator="equal">
      <formula>"szf"</formula>
    </cfRule>
  </conditionalFormatting>
  <conditionalFormatting sqref="S100:S119">
    <cfRule type="cellIs" dxfId="1117" priority="390" operator="equal">
      <formula>"+"</formula>
    </cfRule>
    <cfRule type="cellIs" dxfId="1116" priority="391" operator="equal">
      <formula>"szf"</formula>
    </cfRule>
  </conditionalFormatting>
  <conditionalFormatting sqref="T100:T119">
    <cfRule type="cellIs" dxfId="1115" priority="388" operator="equal">
      <formula>"+"</formula>
    </cfRule>
    <cfRule type="cellIs" dxfId="1114" priority="389" operator="equal">
      <formula>"szf"</formula>
    </cfRule>
  </conditionalFormatting>
  <conditionalFormatting sqref="AA100:AA119">
    <cfRule type="cellIs" dxfId="1113" priority="386" operator="equal">
      <formula>"+"</formula>
    </cfRule>
    <cfRule type="cellIs" dxfId="1112" priority="387" operator="equal">
      <formula>"szf"</formula>
    </cfRule>
  </conditionalFormatting>
  <conditionalFormatting sqref="AB100:AB119">
    <cfRule type="cellIs" dxfId="1111" priority="384" operator="equal">
      <formula>"+"</formula>
    </cfRule>
    <cfRule type="cellIs" dxfId="1110" priority="385" operator="equal">
      <formula>"szf"</formula>
    </cfRule>
  </conditionalFormatting>
  <conditionalFormatting sqref="D124:D143">
    <cfRule type="cellIs" dxfId="1109" priority="382" operator="equal">
      <formula>"+"</formula>
    </cfRule>
    <cfRule type="cellIs" dxfId="1108" priority="383" operator="equal">
      <formula>"szf"</formula>
    </cfRule>
  </conditionalFormatting>
  <conditionalFormatting sqref="E124:E143">
    <cfRule type="cellIs" dxfId="1107" priority="380" operator="equal">
      <formula>"+"</formula>
    </cfRule>
    <cfRule type="cellIs" dxfId="1106" priority="381" operator="equal">
      <formula>"szf"</formula>
    </cfRule>
  </conditionalFormatting>
  <conditionalFormatting sqref="L124:L143">
    <cfRule type="cellIs" dxfId="1105" priority="378" operator="equal">
      <formula>"+"</formula>
    </cfRule>
    <cfRule type="cellIs" dxfId="1104" priority="379" operator="equal">
      <formula>"szf"</formula>
    </cfRule>
  </conditionalFormatting>
  <conditionalFormatting sqref="M124:M143">
    <cfRule type="cellIs" dxfId="1103" priority="376" operator="equal">
      <formula>"+"</formula>
    </cfRule>
    <cfRule type="cellIs" dxfId="1102" priority="377" operator="equal">
      <formula>"szf"</formula>
    </cfRule>
  </conditionalFormatting>
  <conditionalFormatting sqref="T124:T143">
    <cfRule type="cellIs" dxfId="1101" priority="374" operator="equal">
      <formula>"+"</formula>
    </cfRule>
    <cfRule type="cellIs" dxfId="1100" priority="375" operator="equal">
      <formula>"szf"</formula>
    </cfRule>
  </conditionalFormatting>
  <conditionalFormatting sqref="U124:U143">
    <cfRule type="cellIs" dxfId="1099" priority="372" operator="equal">
      <formula>"+"</formula>
    </cfRule>
    <cfRule type="cellIs" dxfId="1098" priority="373" operator="equal">
      <formula>"szf"</formula>
    </cfRule>
  </conditionalFormatting>
  <conditionalFormatting sqref="AB124:AB143">
    <cfRule type="cellIs" dxfId="1097" priority="370" operator="equal">
      <formula>"+"</formula>
    </cfRule>
    <cfRule type="cellIs" dxfId="1096" priority="371" operator="equal">
      <formula>"szf"</formula>
    </cfRule>
  </conditionalFormatting>
  <conditionalFormatting sqref="AC124:AC143">
    <cfRule type="cellIs" dxfId="1095" priority="368" operator="equal">
      <formula>"+"</formula>
    </cfRule>
    <cfRule type="cellIs" dxfId="1094" priority="369" operator="equal">
      <formula>"szf"</formula>
    </cfRule>
  </conditionalFormatting>
  <conditionalFormatting sqref="F148:F167">
    <cfRule type="cellIs" dxfId="1093" priority="366" operator="equal">
      <formula>"+"</formula>
    </cfRule>
    <cfRule type="cellIs" dxfId="1092" priority="367" operator="equal">
      <formula>"szf"</formula>
    </cfRule>
  </conditionalFormatting>
  <conditionalFormatting sqref="G148:G167">
    <cfRule type="cellIs" dxfId="1091" priority="364" operator="equal">
      <formula>"+"</formula>
    </cfRule>
    <cfRule type="cellIs" dxfId="1090" priority="365" operator="equal">
      <formula>"szf"</formula>
    </cfRule>
  </conditionalFormatting>
  <conditionalFormatting sqref="N148:N167">
    <cfRule type="cellIs" dxfId="1089" priority="362" operator="equal">
      <formula>"+"</formula>
    </cfRule>
    <cfRule type="cellIs" dxfId="1088" priority="363" operator="equal">
      <formula>"szf"</formula>
    </cfRule>
  </conditionalFormatting>
  <conditionalFormatting sqref="O148:O167">
    <cfRule type="cellIs" dxfId="1087" priority="360" operator="equal">
      <formula>"+"</formula>
    </cfRule>
    <cfRule type="cellIs" dxfId="1086" priority="361" operator="equal">
      <formula>"szf"</formula>
    </cfRule>
  </conditionalFormatting>
  <conditionalFormatting sqref="V148:V167">
    <cfRule type="cellIs" dxfId="1085" priority="358" operator="equal">
      <formula>"+"</formula>
    </cfRule>
    <cfRule type="cellIs" dxfId="1084" priority="359" operator="equal">
      <formula>"szf"</formula>
    </cfRule>
  </conditionalFormatting>
  <conditionalFormatting sqref="W148:W167">
    <cfRule type="cellIs" dxfId="1083" priority="356" operator="equal">
      <formula>"+"</formula>
    </cfRule>
    <cfRule type="cellIs" dxfId="1082" priority="357" operator="equal">
      <formula>"szf"</formula>
    </cfRule>
  </conditionalFormatting>
  <conditionalFormatting sqref="AD148:AD167">
    <cfRule type="cellIs" dxfId="1081" priority="354" operator="equal">
      <formula>"+"</formula>
    </cfRule>
    <cfRule type="cellIs" dxfId="1080" priority="355" operator="equal">
      <formula>"szf"</formula>
    </cfRule>
  </conditionalFormatting>
  <conditionalFormatting sqref="AE148:AE167">
    <cfRule type="cellIs" dxfId="1079" priority="352" operator="equal">
      <formula>"+"</formula>
    </cfRule>
    <cfRule type="cellIs" dxfId="1078" priority="353" operator="equal">
      <formula>"szf"</formula>
    </cfRule>
  </conditionalFormatting>
  <conditionalFormatting sqref="G172:G191">
    <cfRule type="cellIs" dxfId="1077" priority="350" operator="equal">
      <formula>"+"</formula>
    </cfRule>
    <cfRule type="cellIs" dxfId="1076" priority="351" operator="equal">
      <formula>"szf"</formula>
    </cfRule>
  </conditionalFormatting>
  <conditionalFormatting sqref="H172:H191">
    <cfRule type="cellIs" dxfId="1075" priority="348" operator="equal">
      <formula>"+"</formula>
    </cfRule>
    <cfRule type="cellIs" dxfId="1074" priority="349" operator="equal">
      <formula>"szf"</formula>
    </cfRule>
  </conditionalFormatting>
  <conditionalFormatting sqref="O172:O191">
    <cfRule type="cellIs" dxfId="1073" priority="346" operator="equal">
      <formula>"+"</formula>
    </cfRule>
    <cfRule type="cellIs" dxfId="1072" priority="347" operator="equal">
      <formula>"szf"</formula>
    </cfRule>
  </conditionalFormatting>
  <conditionalFormatting sqref="P172:P191">
    <cfRule type="cellIs" dxfId="1071" priority="344" operator="equal">
      <formula>"+"</formula>
    </cfRule>
    <cfRule type="cellIs" dxfId="1070" priority="345" operator="equal">
      <formula>"szf"</formula>
    </cfRule>
  </conditionalFormatting>
  <conditionalFormatting sqref="W172:W191">
    <cfRule type="cellIs" dxfId="1069" priority="342" operator="equal">
      <formula>"+"</formula>
    </cfRule>
    <cfRule type="cellIs" dxfId="1068" priority="343" operator="equal">
      <formula>"szf"</formula>
    </cfRule>
  </conditionalFormatting>
  <conditionalFormatting sqref="X172:X191">
    <cfRule type="cellIs" dxfId="1067" priority="340" operator="equal">
      <formula>"+"</formula>
    </cfRule>
    <cfRule type="cellIs" dxfId="1066" priority="341" operator="equal">
      <formula>"szf"</formula>
    </cfRule>
  </conditionalFormatting>
  <conditionalFormatting sqref="AE172:AE191">
    <cfRule type="cellIs" dxfId="1065" priority="338" operator="equal">
      <formula>"+"</formula>
    </cfRule>
    <cfRule type="cellIs" dxfId="1064" priority="339" operator="equal">
      <formula>"szf"</formula>
    </cfRule>
  </conditionalFormatting>
  <conditionalFormatting sqref="AF172:AF191">
    <cfRule type="cellIs" dxfId="1063" priority="336" operator="equal">
      <formula>"+"</formula>
    </cfRule>
    <cfRule type="cellIs" dxfId="1062" priority="337" operator="equal">
      <formula>"szf"</formula>
    </cfRule>
  </conditionalFormatting>
  <conditionalFormatting sqref="H196:H215">
    <cfRule type="cellIs" dxfId="1061" priority="334" operator="equal">
      <formula>"+"</formula>
    </cfRule>
    <cfRule type="cellIs" dxfId="1060" priority="335" operator="equal">
      <formula>"szf"</formula>
    </cfRule>
  </conditionalFormatting>
  <conditionalFormatting sqref="I196:I215">
    <cfRule type="cellIs" dxfId="1059" priority="332" operator="equal">
      <formula>"+"</formula>
    </cfRule>
    <cfRule type="cellIs" dxfId="1058" priority="333" operator="equal">
      <formula>"szf"</formula>
    </cfRule>
  </conditionalFormatting>
  <conditionalFormatting sqref="P196:P215">
    <cfRule type="cellIs" dxfId="1057" priority="330" operator="equal">
      <formula>"+"</formula>
    </cfRule>
    <cfRule type="cellIs" dxfId="1056" priority="331" operator="equal">
      <formula>"szf"</formula>
    </cfRule>
  </conditionalFormatting>
  <conditionalFormatting sqref="Q196:Q215">
    <cfRule type="cellIs" dxfId="1055" priority="328" operator="equal">
      <formula>"+"</formula>
    </cfRule>
    <cfRule type="cellIs" dxfId="1054" priority="329" operator="equal">
      <formula>"szf"</formula>
    </cfRule>
  </conditionalFormatting>
  <conditionalFormatting sqref="X196:X215">
    <cfRule type="cellIs" dxfId="1053" priority="326" operator="equal">
      <formula>"+"</formula>
    </cfRule>
    <cfRule type="cellIs" dxfId="1052" priority="327" operator="equal">
      <formula>"szf"</formula>
    </cfRule>
  </conditionalFormatting>
  <conditionalFormatting sqref="Y196:Y215">
    <cfRule type="cellIs" dxfId="1051" priority="324" operator="equal">
      <formula>"+"</formula>
    </cfRule>
    <cfRule type="cellIs" dxfId="1050" priority="325" operator="equal">
      <formula>"szf"</formula>
    </cfRule>
  </conditionalFormatting>
  <conditionalFormatting sqref="B220:B239">
    <cfRule type="cellIs" dxfId="1049" priority="322" operator="equal">
      <formula>"+"</formula>
    </cfRule>
    <cfRule type="cellIs" dxfId="1048" priority="323" operator="equal">
      <formula>"szf"</formula>
    </cfRule>
  </conditionalFormatting>
  <conditionalFormatting sqref="C220:C239">
    <cfRule type="cellIs" dxfId="1047" priority="320" operator="equal">
      <formula>"+"</formula>
    </cfRule>
    <cfRule type="cellIs" dxfId="1046" priority="321" operator="equal">
      <formula>"szf"</formula>
    </cfRule>
  </conditionalFormatting>
  <conditionalFormatting sqref="J220:J239">
    <cfRule type="cellIs" dxfId="1045" priority="318" operator="equal">
      <formula>"+"</formula>
    </cfRule>
    <cfRule type="cellIs" dxfId="1044" priority="319" operator="equal">
      <formula>"szf"</formula>
    </cfRule>
  </conditionalFormatting>
  <conditionalFormatting sqref="K220:K239">
    <cfRule type="cellIs" dxfId="1043" priority="316" operator="equal">
      <formula>"+"</formula>
    </cfRule>
    <cfRule type="cellIs" dxfId="1042" priority="317" operator="equal">
      <formula>"szf"</formula>
    </cfRule>
  </conditionalFormatting>
  <conditionalFormatting sqref="R220:R239">
    <cfRule type="cellIs" dxfId="1041" priority="314" operator="equal">
      <formula>"+"</formula>
    </cfRule>
    <cfRule type="cellIs" dxfId="1040" priority="315" operator="equal">
      <formula>"szf"</formula>
    </cfRule>
  </conditionalFormatting>
  <conditionalFormatting sqref="S220:S239">
    <cfRule type="cellIs" dxfId="1039" priority="312" operator="equal">
      <formula>"+"</formula>
    </cfRule>
    <cfRule type="cellIs" dxfId="1038" priority="313" operator="equal">
      <formula>"szf"</formula>
    </cfRule>
  </conditionalFormatting>
  <conditionalFormatting sqref="Z220:Z239">
    <cfRule type="cellIs" dxfId="1037" priority="310" operator="equal">
      <formula>"+"</formula>
    </cfRule>
    <cfRule type="cellIs" dxfId="1036" priority="311" operator="equal">
      <formula>"szf"</formula>
    </cfRule>
  </conditionalFormatting>
  <conditionalFormatting sqref="AA220:AA239">
    <cfRule type="cellIs" dxfId="1035" priority="308" operator="equal">
      <formula>"+"</formula>
    </cfRule>
    <cfRule type="cellIs" dxfId="1034" priority="309" operator="equal">
      <formula>"szf"</formula>
    </cfRule>
  </conditionalFormatting>
  <conditionalFormatting sqref="C244:C263">
    <cfRule type="cellIs" dxfId="1033" priority="306" operator="equal">
      <formula>"+"</formula>
    </cfRule>
    <cfRule type="cellIs" dxfId="1032" priority="307" operator="equal">
      <formula>"szf"</formula>
    </cfRule>
  </conditionalFormatting>
  <conditionalFormatting sqref="D244:D263">
    <cfRule type="cellIs" dxfId="1031" priority="304" operator="equal">
      <formula>"+"</formula>
    </cfRule>
    <cfRule type="cellIs" dxfId="1030" priority="305" operator="equal">
      <formula>"szf"</formula>
    </cfRule>
  </conditionalFormatting>
  <conditionalFormatting sqref="K244:K263">
    <cfRule type="cellIs" dxfId="1029" priority="302" operator="equal">
      <formula>"+"</formula>
    </cfRule>
    <cfRule type="cellIs" dxfId="1028" priority="303" operator="equal">
      <formula>"szf"</formula>
    </cfRule>
  </conditionalFormatting>
  <conditionalFormatting sqref="L244:L263">
    <cfRule type="cellIs" dxfId="1027" priority="300" operator="equal">
      <formula>"+"</formula>
    </cfRule>
    <cfRule type="cellIs" dxfId="1026" priority="301" operator="equal">
      <formula>"szf"</formula>
    </cfRule>
  </conditionalFormatting>
  <conditionalFormatting sqref="S244:S263">
    <cfRule type="cellIs" dxfId="1025" priority="298" operator="equal">
      <formula>"+"</formula>
    </cfRule>
    <cfRule type="cellIs" dxfId="1024" priority="299" operator="equal">
      <formula>"szf"</formula>
    </cfRule>
  </conditionalFormatting>
  <conditionalFormatting sqref="T244:T263">
    <cfRule type="cellIs" dxfId="1023" priority="296" operator="equal">
      <formula>"+"</formula>
    </cfRule>
    <cfRule type="cellIs" dxfId="1022" priority="297" operator="equal">
      <formula>"szf"</formula>
    </cfRule>
  </conditionalFormatting>
  <conditionalFormatting sqref="AA244:AA263">
    <cfRule type="cellIs" dxfId="1021" priority="294" operator="equal">
      <formula>"+"</formula>
    </cfRule>
    <cfRule type="cellIs" dxfId="1020" priority="295" operator="equal">
      <formula>"szf"</formula>
    </cfRule>
  </conditionalFormatting>
  <conditionalFormatting sqref="AB244:AB263">
    <cfRule type="cellIs" dxfId="1019" priority="292" operator="equal">
      <formula>"+"</formula>
    </cfRule>
    <cfRule type="cellIs" dxfId="1018" priority="293" operator="equal">
      <formula>"szf"</formula>
    </cfRule>
  </conditionalFormatting>
  <conditionalFormatting sqref="E268:E287">
    <cfRule type="cellIs" dxfId="1017" priority="290" operator="equal">
      <formula>"+"</formula>
    </cfRule>
    <cfRule type="cellIs" dxfId="1016" priority="291" operator="equal">
      <formula>"szf"</formula>
    </cfRule>
  </conditionalFormatting>
  <conditionalFormatting sqref="F268:F287">
    <cfRule type="cellIs" dxfId="1015" priority="288" operator="equal">
      <formula>"+"</formula>
    </cfRule>
    <cfRule type="cellIs" dxfId="1014" priority="289" operator="equal">
      <formula>"szf"</formula>
    </cfRule>
  </conditionalFormatting>
  <conditionalFormatting sqref="M268:M287">
    <cfRule type="cellIs" dxfId="1013" priority="286" operator="equal">
      <formula>"+"</formula>
    </cfRule>
    <cfRule type="cellIs" dxfId="1012" priority="287" operator="equal">
      <formula>"szf"</formula>
    </cfRule>
  </conditionalFormatting>
  <conditionalFormatting sqref="N268:N287">
    <cfRule type="cellIs" dxfId="1011" priority="284" operator="equal">
      <formula>"+"</formula>
    </cfRule>
    <cfRule type="cellIs" dxfId="1010" priority="285" operator="equal">
      <formula>"szf"</formula>
    </cfRule>
  </conditionalFormatting>
  <conditionalFormatting sqref="U268:U287">
    <cfRule type="cellIs" dxfId="1009" priority="282" operator="equal">
      <formula>"+"</formula>
    </cfRule>
    <cfRule type="cellIs" dxfId="1008" priority="283" operator="equal">
      <formula>"szf"</formula>
    </cfRule>
  </conditionalFormatting>
  <conditionalFormatting sqref="V268:V287">
    <cfRule type="cellIs" dxfId="1007" priority="280" operator="equal">
      <formula>"+"</formula>
    </cfRule>
    <cfRule type="cellIs" dxfId="1006" priority="281" operator="equal">
      <formula>"szf"</formula>
    </cfRule>
  </conditionalFormatting>
  <conditionalFormatting sqref="AC268:AC287">
    <cfRule type="cellIs" dxfId="1005" priority="278" operator="equal">
      <formula>"+"</formula>
    </cfRule>
    <cfRule type="cellIs" dxfId="1004" priority="279" operator="equal">
      <formula>"szf"</formula>
    </cfRule>
  </conditionalFormatting>
  <conditionalFormatting sqref="AD268:AD287">
    <cfRule type="cellIs" dxfId="1003" priority="276" operator="equal">
      <formula>"+"</formula>
    </cfRule>
    <cfRule type="cellIs" dxfId="1002" priority="277" operator="equal">
      <formula>"szf"</formula>
    </cfRule>
  </conditionalFormatting>
  <conditionalFormatting sqref="F4:G4">
    <cfRule type="cellIs" dxfId="1001" priority="272" operator="equal">
      <formula>"szf"</formula>
    </cfRule>
  </conditionalFormatting>
  <conditionalFormatting sqref="F4:G23">
    <cfRule type="cellIs" dxfId="1000" priority="270" operator="equal">
      <formula>"+"</formula>
    </cfRule>
    <cfRule type="cellIs" dxfId="999" priority="271" operator="equal">
      <formula>"szf"</formula>
    </cfRule>
  </conditionalFormatting>
  <conditionalFormatting sqref="N4:O4">
    <cfRule type="cellIs" dxfId="998" priority="269" operator="equal">
      <formula>"szf"</formula>
    </cfRule>
  </conditionalFormatting>
  <conditionalFormatting sqref="N4:O23">
    <cfRule type="cellIs" dxfId="997" priority="267" operator="equal">
      <formula>"+"</formula>
    </cfRule>
    <cfRule type="cellIs" dxfId="996" priority="268" operator="equal">
      <formula>"szf"</formula>
    </cfRule>
  </conditionalFormatting>
  <conditionalFormatting sqref="V4:W4">
    <cfRule type="cellIs" dxfId="995" priority="266" operator="equal">
      <formula>"szf"</formula>
    </cfRule>
  </conditionalFormatting>
  <conditionalFormatting sqref="V4:W23">
    <cfRule type="cellIs" dxfId="994" priority="264" operator="equal">
      <formula>"+"</formula>
    </cfRule>
    <cfRule type="cellIs" dxfId="993" priority="265" operator="equal">
      <formula>"szf"</formula>
    </cfRule>
  </conditionalFormatting>
  <conditionalFormatting sqref="AD4:AE4">
    <cfRule type="cellIs" dxfId="992" priority="263" operator="equal">
      <formula>"szf"</formula>
    </cfRule>
  </conditionalFormatting>
  <conditionalFormatting sqref="AD4:AE23">
    <cfRule type="cellIs" dxfId="991" priority="261" operator="equal">
      <formula>"+"</formula>
    </cfRule>
    <cfRule type="cellIs" dxfId="990" priority="262" operator="equal">
      <formula>"szf"</formula>
    </cfRule>
  </conditionalFormatting>
  <conditionalFormatting sqref="G35:G47">
    <cfRule type="cellIs" dxfId="989" priority="258" operator="equal">
      <formula>"+"</formula>
    </cfRule>
    <cfRule type="cellIs" dxfId="988" priority="259" operator="equal">
      <formula>"szf"</formula>
    </cfRule>
  </conditionalFormatting>
  <conditionalFormatting sqref="H35:H47">
    <cfRule type="cellIs" dxfId="987" priority="255" operator="equal">
      <formula>"+"</formula>
    </cfRule>
    <cfRule type="cellIs" dxfId="986" priority="256" operator="equal">
      <formula>"szf"</formula>
    </cfRule>
  </conditionalFormatting>
  <conditionalFormatting sqref="O35:O47">
    <cfRule type="cellIs" dxfId="985" priority="252" operator="equal">
      <formula>"+"</formula>
    </cfRule>
    <cfRule type="cellIs" dxfId="984" priority="253" operator="equal">
      <formula>"szf"</formula>
    </cfRule>
  </conditionalFormatting>
  <conditionalFormatting sqref="P35:P47">
    <cfRule type="cellIs" dxfId="983" priority="249" operator="equal">
      <formula>"+"</formula>
    </cfRule>
    <cfRule type="cellIs" dxfId="982" priority="250" operator="equal">
      <formula>"szf"</formula>
    </cfRule>
  </conditionalFormatting>
  <conditionalFormatting sqref="W35:W47">
    <cfRule type="cellIs" dxfId="981" priority="246" operator="equal">
      <formula>"+"</formula>
    </cfRule>
    <cfRule type="cellIs" dxfId="980" priority="247" operator="equal">
      <formula>"szf"</formula>
    </cfRule>
  </conditionalFormatting>
  <conditionalFormatting sqref="X35:X47">
    <cfRule type="cellIs" dxfId="979" priority="243" operator="equal">
      <formula>"+"</formula>
    </cfRule>
    <cfRule type="cellIs" dxfId="978" priority="244" operator="equal">
      <formula>"szf"</formula>
    </cfRule>
  </conditionalFormatting>
  <conditionalFormatting sqref="B52:B59">
    <cfRule type="cellIs" dxfId="977" priority="242" operator="equal">
      <formula>"szf"</formula>
    </cfRule>
  </conditionalFormatting>
  <conditionalFormatting sqref="B52:B71">
    <cfRule type="cellIs" dxfId="976" priority="240" operator="equal">
      <formula>"+"</formula>
    </cfRule>
    <cfRule type="cellIs" dxfId="975" priority="241" operator="equal">
      <formula>"szf"</formula>
    </cfRule>
  </conditionalFormatting>
  <conditionalFormatting sqref="C52">
    <cfRule type="cellIs" dxfId="974" priority="239" operator="equal">
      <formula>"szf"</formula>
    </cfRule>
  </conditionalFormatting>
  <conditionalFormatting sqref="C52:C71">
    <cfRule type="cellIs" dxfId="973" priority="237" operator="equal">
      <formula>"+"</formula>
    </cfRule>
    <cfRule type="cellIs" dxfId="972" priority="238" operator="equal">
      <formula>"szf"</formula>
    </cfRule>
  </conditionalFormatting>
  <conditionalFormatting sqref="J52">
    <cfRule type="cellIs" dxfId="971" priority="236" operator="equal">
      <formula>"szf"</formula>
    </cfRule>
  </conditionalFormatting>
  <conditionalFormatting sqref="J52:J71">
    <cfRule type="cellIs" dxfId="970" priority="234" operator="equal">
      <formula>"+"</formula>
    </cfRule>
    <cfRule type="cellIs" dxfId="969" priority="235" operator="equal">
      <formula>"szf"</formula>
    </cfRule>
  </conditionalFormatting>
  <conditionalFormatting sqref="K52">
    <cfRule type="cellIs" dxfId="968" priority="233" operator="equal">
      <formula>"szf"</formula>
    </cfRule>
  </conditionalFormatting>
  <conditionalFormatting sqref="K52:K71">
    <cfRule type="cellIs" dxfId="967" priority="231" operator="equal">
      <formula>"+"</formula>
    </cfRule>
    <cfRule type="cellIs" dxfId="966" priority="232" operator="equal">
      <formula>"szf"</formula>
    </cfRule>
  </conditionalFormatting>
  <conditionalFormatting sqref="R52">
    <cfRule type="cellIs" dxfId="965" priority="230" operator="equal">
      <formula>"szf"</formula>
    </cfRule>
  </conditionalFormatting>
  <conditionalFormatting sqref="R52:R71">
    <cfRule type="cellIs" dxfId="964" priority="228" operator="equal">
      <formula>"+"</formula>
    </cfRule>
    <cfRule type="cellIs" dxfId="963" priority="229" operator="equal">
      <formula>"szf"</formula>
    </cfRule>
  </conditionalFormatting>
  <conditionalFormatting sqref="S52">
    <cfRule type="cellIs" dxfId="962" priority="227" operator="equal">
      <formula>"szf"</formula>
    </cfRule>
  </conditionalFormatting>
  <conditionalFormatting sqref="S52:S71">
    <cfRule type="cellIs" dxfId="961" priority="225" operator="equal">
      <formula>"+"</formula>
    </cfRule>
    <cfRule type="cellIs" dxfId="960" priority="226" operator="equal">
      <formula>"szf"</formula>
    </cfRule>
  </conditionalFormatting>
  <conditionalFormatting sqref="Z52">
    <cfRule type="cellIs" dxfId="959" priority="224" operator="equal">
      <formula>"szf"</formula>
    </cfRule>
  </conditionalFormatting>
  <conditionalFormatting sqref="Z52:Z71">
    <cfRule type="cellIs" dxfId="958" priority="222" operator="equal">
      <formula>"+"</formula>
    </cfRule>
    <cfRule type="cellIs" dxfId="957" priority="223" operator="equal">
      <formula>"szf"</formula>
    </cfRule>
  </conditionalFormatting>
  <conditionalFormatting sqref="AA52">
    <cfRule type="cellIs" dxfId="956" priority="221" operator="equal">
      <formula>"szf"</formula>
    </cfRule>
  </conditionalFormatting>
  <conditionalFormatting sqref="AA52:AA71">
    <cfRule type="cellIs" dxfId="955" priority="219" operator="equal">
      <formula>"+"</formula>
    </cfRule>
    <cfRule type="cellIs" dxfId="954" priority="220" operator="equal">
      <formula>"szf"</formula>
    </cfRule>
  </conditionalFormatting>
  <conditionalFormatting sqref="C76">
    <cfRule type="cellIs" dxfId="953" priority="218" operator="equal">
      <formula>"szf"</formula>
    </cfRule>
  </conditionalFormatting>
  <conditionalFormatting sqref="C76:C95">
    <cfRule type="cellIs" dxfId="952" priority="216" operator="equal">
      <formula>"+"</formula>
    </cfRule>
    <cfRule type="cellIs" dxfId="951" priority="217" operator="equal">
      <formula>"szf"</formula>
    </cfRule>
  </conditionalFormatting>
  <conditionalFormatting sqref="D76">
    <cfRule type="cellIs" dxfId="950" priority="215" operator="equal">
      <formula>"szf"</formula>
    </cfRule>
  </conditionalFormatting>
  <conditionalFormatting sqref="D76:D95">
    <cfRule type="cellIs" dxfId="949" priority="213" operator="equal">
      <formula>"+"</formula>
    </cfRule>
    <cfRule type="cellIs" dxfId="948" priority="214" operator="equal">
      <formula>"szf"</formula>
    </cfRule>
  </conditionalFormatting>
  <conditionalFormatting sqref="K76">
    <cfRule type="cellIs" dxfId="947" priority="212" operator="equal">
      <formula>"szf"</formula>
    </cfRule>
  </conditionalFormatting>
  <conditionalFormatting sqref="K76:K95">
    <cfRule type="cellIs" dxfId="946" priority="210" operator="equal">
      <formula>"+"</formula>
    </cfRule>
    <cfRule type="cellIs" dxfId="945" priority="211" operator="equal">
      <formula>"szf"</formula>
    </cfRule>
  </conditionalFormatting>
  <conditionalFormatting sqref="L76">
    <cfRule type="cellIs" dxfId="944" priority="209" operator="equal">
      <formula>"szf"</formula>
    </cfRule>
  </conditionalFormatting>
  <conditionalFormatting sqref="L76:L95">
    <cfRule type="cellIs" dxfId="943" priority="207" operator="equal">
      <formula>"+"</formula>
    </cfRule>
    <cfRule type="cellIs" dxfId="942" priority="208" operator="equal">
      <formula>"szf"</formula>
    </cfRule>
  </conditionalFormatting>
  <conditionalFormatting sqref="S76">
    <cfRule type="cellIs" dxfId="941" priority="206" operator="equal">
      <formula>"szf"</formula>
    </cfRule>
  </conditionalFormatting>
  <conditionalFormatting sqref="S76:S95">
    <cfRule type="cellIs" dxfId="940" priority="204" operator="equal">
      <formula>"+"</formula>
    </cfRule>
    <cfRule type="cellIs" dxfId="939" priority="205" operator="equal">
      <formula>"szf"</formula>
    </cfRule>
  </conditionalFormatting>
  <conditionalFormatting sqref="T76">
    <cfRule type="cellIs" dxfId="938" priority="203" operator="equal">
      <formula>"szf"</formula>
    </cfRule>
  </conditionalFormatting>
  <conditionalFormatting sqref="T76:T95">
    <cfRule type="cellIs" dxfId="937" priority="201" operator="equal">
      <formula>"+"</formula>
    </cfRule>
    <cfRule type="cellIs" dxfId="936" priority="202" operator="equal">
      <formula>"szf"</formula>
    </cfRule>
  </conditionalFormatting>
  <conditionalFormatting sqref="AB76">
    <cfRule type="cellIs" dxfId="935" priority="200" operator="equal">
      <formula>"szf"</formula>
    </cfRule>
  </conditionalFormatting>
  <conditionalFormatting sqref="AB76:AB95">
    <cfRule type="cellIs" dxfId="934" priority="198" operator="equal">
      <formula>"+"</formula>
    </cfRule>
    <cfRule type="cellIs" dxfId="933" priority="199" operator="equal">
      <formula>"szf"</formula>
    </cfRule>
  </conditionalFormatting>
  <conditionalFormatting sqref="AA76">
    <cfRule type="cellIs" dxfId="932" priority="197" operator="equal">
      <formula>"szf"</formula>
    </cfRule>
  </conditionalFormatting>
  <conditionalFormatting sqref="AA76:AA95">
    <cfRule type="cellIs" dxfId="931" priority="195" operator="equal">
      <formula>"+"</formula>
    </cfRule>
    <cfRule type="cellIs" dxfId="930" priority="196" operator="equal">
      <formula>"szf"</formula>
    </cfRule>
  </conditionalFormatting>
  <conditionalFormatting sqref="E100">
    <cfRule type="cellIs" dxfId="929" priority="194" operator="equal">
      <formula>"szf"</formula>
    </cfRule>
  </conditionalFormatting>
  <conditionalFormatting sqref="E100:E119">
    <cfRule type="cellIs" dxfId="928" priority="192" operator="equal">
      <formula>"+"</formula>
    </cfRule>
    <cfRule type="cellIs" dxfId="927" priority="193" operator="equal">
      <formula>"szf"</formula>
    </cfRule>
  </conditionalFormatting>
  <conditionalFormatting sqref="F100">
    <cfRule type="cellIs" dxfId="926" priority="191" operator="equal">
      <formula>"szf"</formula>
    </cfRule>
  </conditionalFormatting>
  <conditionalFormatting sqref="F100:F119">
    <cfRule type="cellIs" dxfId="925" priority="189" operator="equal">
      <formula>"+"</formula>
    </cfRule>
    <cfRule type="cellIs" dxfId="924" priority="190" operator="equal">
      <formula>"szf"</formula>
    </cfRule>
  </conditionalFormatting>
  <conditionalFormatting sqref="N100">
    <cfRule type="cellIs" dxfId="923" priority="188" operator="equal">
      <formula>"szf"</formula>
    </cfRule>
  </conditionalFormatting>
  <conditionalFormatting sqref="N100:N119">
    <cfRule type="cellIs" dxfId="922" priority="186" operator="equal">
      <formula>"+"</formula>
    </cfRule>
    <cfRule type="cellIs" dxfId="921" priority="187" operator="equal">
      <formula>"szf"</formula>
    </cfRule>
  </conditionalFormatting>
  <conditionalFormatting sqref="M100">
    <cfRule type="cellIs" dxfId="920" priority="185" operator="equal">
      <formula>"szf"</formula>
    </cfRule>
  </conditionalFormatting>
  <conditionalFormatting sqref="M100:M119">
    <cfRule type="cellIs" dxfId="919" priority="183" operator="equal">
      <formula>"+"</formula>
    </cfRule>
    <cfRule type="cellIs" dxfId="918" priority="184" operator="equal">
      <formula>"szf"</formula>
    </cfRule>
  </conditionalFormatting>
  <conditionalFormatting sqref="U100">
    <cfRule type="cellIs" dxfId="917" priority="182" operator="equal">
      <formula>"szf"</formula>
    </cfRule>
  </conditionalFormatting>
  <conditionalFormatting sqref="U100:U119">
    <cfRule type="cellIs" dxfId="916" priority="180" operator="equal">
      <formula>"+"</formula>
    </cfRule>
    <cfRule type="cellIs" dxfId="915" priority="181" operator="equal">
      <formula>"szf"</formula>
    </cfRule>
  </conditionalFormatting>
  <conditionalFormatting sqref="V100">
    <cfRule type="cellIs" dxfId="914" priority="179" operator="equal">
      <formula>"szf"</formula>
    </cfRule>
  </conditionalFormatting>
  <conditionalFormatting sqref="V100:V119">
    <cfRule type="cellIs" dxfId="913" priority="177" operator="equal">
      <formula>"+"</formula>
    </cfRule>
    <cfRule type="cellIs" dxfId="912" priority="178" operator="equal">
      <formula>"szf"</formula>
    </cfRule>
  </conditionalFormatting>
  <conditionalFormatting sqref="AD100">
    <cfRule type="cellIs" dxfId="911" priority="176" operator="equal">
      <formula>"szf"</formula>
    </cfRule>
  </conditionalFormatting>
  <conditionalFormatting sqref="AD100:AD119">
    <cfRule type="cellIs" dxfId="910" priority="174" operator="equal">
      <formula>"+"</formula>
    </cfRule>
    <cfRule type="cellIs" dxfId="909" priority="175" operator="equal">
      <formula>"szf"</formula>
    </cfRule>
  </conditionalFormatting>
  <conditionalFormatting sqref="AC100">
    <cfRule type="cellIs" dxfId="908" priority="173" operator="equal">
      <formula>"szf"</formula>
    </cfRule>
  </conditionalFormatting>
  <conditionalFormatting sqref="AC100:AC119">
    <cfRule type="cellIs" dxfId="907" priority="171" operator="equal">
      <formula>"+"</formula>
    </cfRule>
    <cfRule type="cellIs" dxfId="906" priority="172" operator="equal">
      <formula>"szf"</formula>
    </cfRule>
  </conditionalFormatting>
  <conditionalFormatting sqref="F124">
    <cfRule type="cellIs" dxfId="905" priority="170" operator="equal">
      <formula>"szf"</formula>
    </cfRule>
  </conditionalFormatting>
  <conditionalFormatting sqref="F124:F143">
    <cfRule type="cellIs" dxfId="904" priority="168" operator="equal">
      <formula>"+"</formula>
    </cfRule>
    <cfRule type="cellIs" dxfId="903" priority="169" operator="equal">
      <formula>"szf"</formula>
    </cfRule>
  </conditionalFormatting>
  <conditionalFormatting sqref="G124">
    <cfRule type="cellIs" dxfId="902" priority="167" operator="equal">
      <formula>"szf"</formula>
    </cfRule>
  </conditionalFormatting>
  <conditionalFormatting sqref="G124:G143">
    <cfRule type="cellIs" dxfId="901" priority="165" operator="equal">
      <formula>"+"</formula>
    </cfRule>
    <cfRule type="cellIs" dxfId="900" priority="166" operator="equal">
      <formula>"szf"</formula>
    </cfRule>
  </conditionalFormatting>
  <conditionalFormatting sqref="N124">
    <cfRule type="cellIs" dxfId="899" priority="164" operator="equal">
      <formula>"szf"</formula>
    </cfRule>
  </conditionalFormatting>
  <conditionalFormatting sqref="N124:N143">
    <cfRule type="cellIs" dxfId="898" priority="162" operator="equal">
      <formula>"+"</formula>
    </cfRule>
    <cfRule type="cellIs" dxfId="897" priority="163" operator="equal">
      <formula>"szf"</formula>
    </cfRule>
  </conditionalFormatting>
  <conditionalFormatting sqref="O124">
    <cfRule type="cellIs" dxfId="896" priority="161" operator="equal">
      <formula>"szf"</formula>
    </cfRule>
  </conditionalFormatting>
  <conditionalFormatting sqref="O124:O143">
    <cfRule type="cellIs" dxfId="895" priority="159" operator="equal">
      <formula>"+"</formula>
    </cfRule>
    <cfRule type="cellIs" dxfId="894" priority="160" operator="equal">
      <formula>"szf"</formula>
    </cfRule>
  </conditionalFormatting>
  <conditionalFormatting sqref="V124">
    <cfRule type="cellIs" dxfId="893" priority="158" operator="equal">
      <formula>"szf"</formula>
    </cfRule>
  </conditionalFormatting>
  <conditionalFormatting sqref="V124:V143">
    <cfRule type="cellIs" dxfId="892" priority="156" operator="equal">
      <formula>"+"</formula>
    </cfRule>
    <cfRule type="cellIs" dxfId="891" priority="157" operator="equal">
      <formula>"szf"</formula>
    </cfRule>
  </conditionalFormatting>
  <conditionalFormatting sqref="W124">
    <cfRule type="cellIs" dxfId="890" priority="155" operator="equal">
      <formula>"szf"</formula>
    </cfRule>
  </conditionalFormatting>
  <conditionalFormatting sqref="W124:W143">
    <cfRule type="cellIs" dxfId="889" priority="153" operator="equal">
      <formula>"+"</formula>
    </cfRule>
    <cfRule type="cellIs" dxfId="888" priority="154" operator="equal">
      <formula>"szf"</formula>
    </cfRule>
  </conditionalFormatting>
  <conditionalFormatting sqref="AD124">
    <cfRule type="cellIs" dxfId="887" priority="149" operator="equal">
      <formula>"szf"</formula>
    </cfRule>
  </conditionalFormatting>
  <conditionalFormatting sqref="AD124:AD143">
    <cfRule type="cellIs" dxfId="886" priority="147" operator="equal">
      <formula>"+"</formula>
    </cfRule>
    <cfRule type="cellIs" dxfId="885" priority="148" operator="equal">
      <formula>"szf"</formula>
    </cfRule>
  </conditionalFormatting>
  <conditionalFormatting sqref="AE124">
    <cfRule type="cellIs" dxfId="884" priority="146" operator="equal">
      <formula>"szf"</formula>
    </cfRule>
  </conditionalFormatting>
  <conditionalFormatting sqref="AE124:AE143">
    <cfRule type="cellIs" dxfId="883" priority="144" operator="equal">
      <formula>"+"</formula>
    </cfRule>
    <cfRule type="cellIs" dxfId="882" priority="145" operator="equal">
      <formula>"szf"</formula>
    </cfRule>
  </conditionalFormatting>
  <conditionalFormatting sqref="H148">
    <cfRule type="cellIs" dxfId="881" priority="143" operator="equal">
      <formula>"szf"</formula>
    </cfRule>
  </conditionalFormatting>
  <conditionalFormatting sqref="H148:H167">
    <cfRule type="cellIs" dxfId="880" priority="141" operator="equal">
      <formula>"+"</formula>
    </cfRule>
    <cfRule type="cellIs" dxfId="879" priority="142" operator="equal">
      <formula>"szf"</formula>
    </cfRule>
  </conditionalFormatting>
  <conditionalFormatting sqref="I148">
    <cfRule type="cellIs" dxfId="878" priority="140" operator="equal">
      <formula>"szf"</formula>
    </cfRule>
  </conditionalFormatting>
  <conditionalFormatting sqref="I148:I167">
    <cfRule type="cellIs" dxfId="877" priority="138" operator="equal">
      <formula>"+"</formula>
    </cfRule>
    <cfRule type="cellIs" dxfId="876" priority="139" operator="equal">
      <formula>"szf"</formula>
    </cfRule>
  </conditionalFormatting>
  <conditionalFormatting sqref="P148">
    <cfRule type="cellIs" dxfId="875" priority="137" operator="equal">
      <formula>"szf"</formula>
    </cfRule>
  </conditionalFormatting>
  <conditionalFormatting sqref="P148:P167">
    <cfRule type="cellIs" dxfId="874" priority="135" operator="equal">
      <formula>"+"</formula>
    </cfRule>
    <cfRule type="cellIs" dxfId="873" priority="136" operator="equal">
      <formula>"szf"</formula>
    </cfRule>
  </conditionalFormatting>
  <conditionalFormatting sqref="Q148">
    <cfRule type="cellIs" dxfId="872" priority="134" operator="equal">
      <formula>"szf"</formula>
    </cfRule>
  </conditionalFormatting>
  <conditionalFormatting sqref="Q148:Q167">
    <cfRule type="cellIs" dxfId="871" priority="132" operator="equal">
      <formula>"+"</formula>
    </cfRule>
    <cfRule type="cellIs" dxfId="870" priority="133" operator="equal">
      <formula>"szf"</formula>
    </cfRule>
  </conditionalFormatting>
  <conditionalFormatting sqref="X148">
    <cfRule type="cellIs" dxfId="869" priority="131" operator="equal">
      <formula>"szf"</formula>
    </cfRule>
  </conditionalFormatting>
  <conditionalFormatting sqref="X148:X167">
    <cfRule type="cellIs" dxfId="868" priority="129" operator="equal">
      <formula>"+"</formula>
    </cfRule>
    <cfRule type="cellIs" dxfId="867" priority="130" operator="equal">
      <formula>"szf"</formula>
    </cfRule>
  </conditionalFormatting>
  <conditionalFormatting sqref="Y148">
    <cfRule type="cellIs" dxfId="866" priority="128" operator="equal">
      <formula>"szf"</formula>
    </cfRule>
  </conditionalFormatting>
  <conditionalFormatting sqref="Y148:Y167">
    <cfRule type="cellIs" dxfId="865" priority="126" operator="equal">
      <formula>"+"</formula>
    </cfRule>
    <cfRule type="cellIs" dxfId="864" priority="127" operator="equal">
      <formula>"szf"</formula>
    </cfRule>
  </conditionalFormatting>
  <conditionalFormatting sqref="AF148">
    <cfRule type="cellIs" dxfId="863" priority="125" operator="equal">
      <formula>"szf"</formula>
    </cfRule>
  </conditionalFormatting>
  <conditionalFormatting sqref="AF148:AF167">
    <cfRule type="cellIs" dxfId="862" priority="123" operator="equal">
      <formula>"+"</formula>
    </cfRule>
    <cfRule type="cellIs" dxfId="861" priority="124" operator="equal">
      <formula>"szf"</formula>
    </cfRule>
  </conditionalFormatting>
  <conditionalFormatting sqref="B172">
    <cfRule type="cellIs" dxfId="860" priority="122" operator="equal">
      <formula>"szf"</formula>
    </cfRule>
  </conditionalFormatting>
  <conditionalFormatting sqref="B172:B191">
    <cfRule type="cellIs" dxfId="859" priority="120" operator="equal">
      <formula>"+"</formula>
    </cfRule>
    <cfRule type="cellIs" dxfId="858" priority="121" operator="equal">
      <formula>"szf"</formula>
    </cfRule>
  </conditionalFormatting>
  <conditionalFormatting sqref="I172">
    <cfRule type="cellIs" dxfId="857" priority="119" operator="equal">
      <formula>"szf"</formula>
    </cfRule>
  </conditionalFormatting>
  <conditionalFormatting sqref="I172:I191">
    <cfRule type="cellIs" dxfId="856" priority="117" operator="equal">
      <formula>"+"</formula>
    </cfRule>
    <cfRule type="cellIs" dxfId="855" priority="118" operator="equal">
      <formula>"szf"</formula>
    </cfRule>
  </conditionalFormatting>
  <conditionalFormatting sqref="J172">
    <cfRule type="cellIs" dxfId="854" priority="116" operator="equal">
      <formula>"szf"</formula>
    </cfRule>
  </conditionalFormatting>
  <conditionalFormatting sqref="J172:J191">
    <cfRule type="cellIs" dxfId="853" priority="114" operator="equal">
      <formula>"+"</formula>
    </cfRule>
    <cfRule type="cellIs" dxfId="852" priority="115" operator="equal">
      <formula>"szf"</formula>
    </cfRule>
  </conditionalFormatting>
  <conditionalFormatting sqref="Q172">
    <cfRule type="cellIs" dxfId="851" priority="113" operator="equal">
      <formula>"szf"</formula>
    </cfRule>
  </conditionalFormatting>
  <conditionalFormatting sqref="Q172:Q191">
    <cfRule type="cellIs" dxfId="850" priority="111" operator="equal">
      <formula>"+"</formula>
    </cfRule>
    <cfRule type="cellIs" dxfId="849" priority="112" operator="equal">
      <formula>"szf"</formula>
    </cfRule>
  </conditionalFormatting>
  <conditionalFormatting sqref="R172">
    <cfRule type="cellIs" dxfId="848" priority="110" operator="equal">
      <formula>"szf"</formula>
    </cfRule>
  </conditionalFormatting>
  <conditionalFormatting sqref="R172:R191">
    <cfRule type="cellIs" dxfId="847" priority="108" operator="equal">
      <formula>"+"</formula>
    </cfRule>
    <cfRule type="cellIs" dxfId="846" priority="109" operator="equal">
      <formula>"szf"</formula>
    </cfRule>
  </conditionalFormatting>
  <conditionalFormatting sqref="Z172">
    <cfRule type="cellIs" dxfId="845" priority="107" operator="equal">
      <formula>"szf"</formula>
    </cfRule>
  </conditionalFormatting>
  <conditionalFormatting sqref="Z172:Z191">
    <cfRule type="cellIs" dxfId="844" priority="105" operator="equal">
      <formula>"+"</formula>
    </cfRule>
    <cfRule type="cellIs" dxfId="843" priority="106" operator="equal">
      <formula>"szf"</formula>
    </cfRule>
  </conditionalFormatting>
  <conditionalFormatting sqref="Y172">
    <cfRule type="cellIs" dxfId="842" priority="104" operator="equal">
      <formula>"szf"</formula>
    </cfRule>
  </conditionalFormatting>
  <conditionalFormatting sqref="Y172:Y191">
    <cfRule type="cellIs" dxfId="841" priority="102" operator="equal">
      <formula>"+"</formula>
    </cfRule>
    <cfRule type="cellIs" dxfId="840" priority="103" operator="equal">
      <formula>"szf"</formula>
    </cfRule>
  </conditionalFormatting>
  <conditionalFormatting sqref="B196:B202">
    <cfRule type="cellIs" dxfId="839" priority="101" operator="equal">
      <formula>"szf"</formula>
    </cfRule>
  </conditionalFormatting>
  <conditionalFormatting sqref="B196:B215">
    <cfRule type="cellIs" dxfId="838" priority="99" operator="equal">
      <formula>"+"</formula>
    </cfRule>
    <cfRule type="cellIs" dxfId="837" priority="100" operator="equal">
      <formula>"szf"</formula>
    </cfRule>
  </conditionalFormatting>
  <conditionalFormatting sqref="C196:C202">
    <cfRule type="cellIs" dxfId="836" priority="98" operator="equal">
      <formula>"szf"</formula>
    </cfRule>
  </conditionalFormatting>
  <conditionalFormatting sqref="C196:C215">
    <cfRule type="cellIs" dxfId="835" priority="96" operator="equal">
      <formula>"+"</formula>
    </cfRule>
    <cfRule type="cellIs" dxfId="834" priority="97" operator="equal">
      <formula>"szf"</formula>
    </cfRule>
  </conditionalFormatting>
  <conditionalFormatting sqref="J196:J202">
    <cfRule type="cellIs" dxfId="833" priority="95" operator="equal">
      <formula>"szf"</formula>
    </cfRule>
  </conditionalFormatting>
  <conditionalFormatting sqref="J196:J215">
    <cfRule type="cellIs" dxfId="832" priority="93" operator="equal">
      <formula>"+"</formula>
    </cfRule>
    <cfRule type="cellIs" dxfId="831" priority="94" operator="equal">
      <formula>"szf"</formula>
    </cfRule>
  </conditionalFormatting>
  <conditionalFormatting sqref="K196:K202">
    <cfRule type="cellIs" dxfId="830" priority="92" operator="equal">
      <formula>"szf"</formula>
    </cfRule>
  </conditionalFormatting>
  <conditionalFormatting sqref="K196:K215">
    <cfRule type="cellIs" dxfId="829" priority="90" operator="equal">
      <formula>"+"</formula>
    </cfRule>
    <cfRule type="cellIs" dxfId="828" priority="91" operator="equal">
      <formula>"szf"</formula>
    </cfRule>
  </conditionalFormatting>
  <conditionalFormatting sqref="R196:R202">
    <cfRule type="cellIs" dxfId="827" priority="89" operator="equal">
      <formula>"szf"</formula>
    </cfRule>
  </conditionalFormatting>
  <conditionalFormatting sqref="R196:R215">
    <cfRule type="cellIs" dxfId="826" priority="87" operator="equal">
      <formula>"+"</formula>
    </cfRule>
    <cfRule type="cellIs" dxfId="825" priority="88" operator="equal">
      <formula>"szf"</formula>
    </cfRule>
  </conditionalFormatting>
  <conditionalFormatting sqref="S196:S202">
    <cfRule type="cellIs" dxfId="824" priority="86" operator="equal">
      <formula>"szf"</formula>
    </cfRule>
  </conditionalFormatting>
  <conditionalFormatting sqref="S196:S215">
    <cfRule type="cellIs" dxfId="823" priority="84" operator="equal">
      <formula>"+"</formula>
    </cfRule>
    <cfRule type="cellIs" dxfId="822" priority="85" operator="equal">
      <formula>"szf"</formula>
    </cfRule>
  </conditionalFormatting>
  <conditionalFormatting sqref="Z196:Z202">
    <cfRule type="cellIs" dxfId="821" priority="83" operator="equal">
      <formula>"szf"</formula>
    </cfRule>
  </conditionalFormatting>
  <conditionalFormatting sqref="Z196:Z215">
    <cfRule type="cellIs" dxfId="820" priority="81" operator="equal">
      <formula>"+"</formula>
    </cfRule>
    <cfRule type="cellIs" dxfId="819" priority="82" operator="equal">
      <formula>"szf"</formula>
    </cfRule>
  </conditionalFormatting>
  <conditionalFormatting sqref="AA196:AA202">
    <cfRule type="cellIs" dxfId="818" priority="80" operator="equal">
      <formula>"szf"</formula>
    </cfRule>
  </conditionalFormatting>
  <conditionalFormatting sqref="AA196:AA215">
    <cfRule type="cellIs" dxfId="817" priority="78" operator="equal">
      <formula>"+"</formula>
    </cfRule>
    <cfRule type="cellIs" dxfId="816" priority="79" operator="equal">
      <formula>"szf"</formula>
    </cfRule>
  </conditionalFormatting>
  <conditionalFormatting sqref="D220:D226">
    <cfRule type="cellIs" dxfId="815" priority="77" operator="equal">
      <formula>"szf"</formula>
    </cfRule>
  </conditionalFormatting>
  <conditionalFormatting sqref="D220:D239">
    <cfRule type="cellIs" dxfId="814" priority="75" operator="equal">
      <formula>"+"</formula>
    </cfRule>
    <cfRule type="cellIs" dxfId="813" priority="76" operator="equal">
      <formula>"szf"</formula>
    </cfRule>
  </conditionalFormatting>
  <conditionalFormatting sqref="E220:E226">
    <cfRule type="cellIs" dxfId="812" priority="74" operator="equal">
      <formula>"szf"</formula>
    </cfRule>
  </conditionalFormatting>
  <conditionalFormatting sqref="E220:E239">
    <cfRule type="cellIs" dxfId="811" priority="72" operator="equal">
      <formula>"+"</formula>
    </cfRule>
    <cfRule type="cellIs" dxfId="810" priority="73" operator="equal">
      <formula>"szf"</formula>
    </cfRule>
  </conditionalFormatting>
  <conditionalFormatting sqref="L220:L226">
    <cfRule type="cellIs" dxfId="809" priority="71" operator="equal">
      <formula>"szf"</formula>
    </cfRule>
  </conditionalFormatting>
  <conditionalFormatting sqref="L220:L239">
    <cfRule type="cellIs" dxfId="808" priority="69" operator="equal">
      <formula>"+"</formula>
    </cfRule>
    <cfRule type="cellIs" dxfId="807" priority="70" operator="equal">
      <formula>"szf"</formula>
    </cfRule>
  </conditionalFormatting>
  <conditionalFormatting sqref="M220:M226">
    <cfRule type="cellIs" dxfId="806" priority="68" operator="equal">
      <formula>"szf"</formula>
    </cfRule>
  </conditionalFormatting>
  <conditionalFormatting sqref="M220:M239">
    <cfRule type="cellIs" dxfId="805" priority="66" operator="equal">
      <formula>"+"</formula>
    </cfRule>
    <cfRule type="cellIs" dxfId="804" priority="67" operator="equal">
      <formula>"szf"</formula>
    </cfRule>
  </conditionalFormatting>
  <conditionalFormatting sqref="T220:T226">
    <cfRule type="cellIs" dxfId="803" priority="65" operator="equal">
      <formula>"szf"</formula>
    </cfRule>
  </conditionalFormatting>
  <conditionalFormatting sqref="T220:T239">
    <cfRule type="cellIs" dxfId="802" priority="63" operator="equal">
      <formula>"+"</formula>
    </cfRule>
    <cfRule type="cellIs" dxfId="801" priority="64" operator="equal">
      <formula>"szf"</formula>
    </cfRule>
  </conditionalFormatting>
  <conditionalFormatting sqref="U220:U226">
    <cfRule type="cellIs" dxfId="800" priority="62" operator="equal">
      <formula>"szf"</formula>
    </cfRule>
  </conditionalFormatting>
  <conditionalFormatting sqref="U220:U239">
    <cfRule type="cellIs" dxfId="799" priority="60" operator="equal">
      <formula>"+"</formula>
    </cfRule>
    <cfRule type="cellIs" dxfId="798" priority="61" operator="equal">
      <formula>"szf"</formula>
    </cfRule>
  </conditionalFormatting>
  <conditionalFormatting sqref="AB220:AB226">
    <cfRule type="cellIs" dxfId="797" priority="59" operator="equal">
      <formula>"szf"</formula>
    </cfRule>
  </conditionalFormatting>
  <conditionalFormatting sqref="AB220:AB239">
    <cfRule type="cellIs" dxfId="796" priority="57" operator="equal">
      <formula>"+"</formula>
    </cfRule>
    <cfRule type="cellIs" dxfId="795" priority="58" operator="equal">
      <formula>"szf"</formula>
    </cfRule>
  </conditionalFormatting>
  <conditionalFormatting sqref="AC220:AC226">
    <cfRule type="cellIs" dxfId="794" priority="56" operator="equal">
      <formula>"szf"</formula>
    </cfRule>
  </conditionalFormatting>
  <conditionalFormatting sqref="AC220:AC239">
    <cfRule type="cellIs" dxfId="793" priority="54" operator="equal">
      <formula>"+"</formula>
    </cfRule>
    <cfRule type="cellIs" dxfId="792" priority="55" operator="equal">
      <formula>"szf"</formula>
    </cfRule>
  </conditionalFormatting>
  <conditionalFormatting sqref="E244:E250">
    <cfRule type="cellIs" dxfId="791" priority="53" operator="equal">
      <formula>"szf"</formula>
    </cfRule>
  </conditionalFormatting>
  <conditionalFormatting sqref="E244:E263">
    <cfRule type="cellIs" dxfId="790" priority="51" operator="equal">
      <formula>"+"</formula>
    </cfRule>
    <cfRule type="cellIs" dxfId="789" priority="52" operator="equal">
      <formula>"szf"</formula>
    </cfRule>
  </conditionalFormatting>
  <conditionalFormatting sqref="F244:F250">
    <cfRule type="cellIs" dxfId="788" priority="50" operator="equal">
      <formula>"szf"</formula>
    </cfRule>
  </conditionalFormatting>
  <conditionalFormatting sqref="F244:F263">
    <cfRule type="cellIs" dxfId="787" priority="48" operator="equal">
      <formula>"+"</formula>
    </cfRule>
    <cfRule type="cellIs" dxfId="786" priority="49" operator="equal">
      <formula>"szf"</formula>
    </cfRule>
  </conditionalFormatting>
  <conditionalFormatting sqref="N244:N250">
    <cfRule type="cellIs" dxfId="785" priority="47" operator="equal">
      <formula>"szf"</formula>
    </cfRule>
  </conditionalFormatting>
  <conditionalFormatting sqref="N244:N263">
    <cfRule type="cellIs" dxfId="784" priority="45" operator="equal">
      <formula>"+"</formula>
    </cfRule>
    <cfRule type="cellIs" dxfId="783" priority="46" operator="equal">
      <formula>"szf"</formula>
    </cfRule>
  </conditionalFormatting>
  <conditionalFormatting sqref="M244:M250">
    <cfRule type="cellIs" dxfId="782" priority="44" operator="equal">
      <formula>"szf"</formula>
    </cfRule>
  </conditionalFormatting>
  <conditionalFormatting sqref="M244:M263">
    <cfRule type="cellIs" dxfId="781" priority="42" operator="equal">
      <formula>"+"</formula>
    </cfRule>
    <cfRule type="cellIs" dxfId="780" priority="43" operator="equal">
      <formula>"szf"</formula>
    </cfRule>
  </conditionalFormatting>
  <conditionalFormatting sqref="U244:U250">
    <cfRule type="cellIs" dxfId="779" priority="41" operator="equal">
      <formula>"szf"</formula>
    </cfRule>
  </conditionalFormatting>
  <conditionalFormatting sqref="U244:U263">
    <cfRule type="cellIs" dxfId="778" priority="39" operator="equal">
      <formula>"+"</formula>
    </cfRule>
    <cfRule type="cellIs" dxfId="777" priority="40" operator="equal">
      <formula>"szf"</formula>
    </cfRule>
  </conditionalFormatting>
  <conditionalFormatting sqref="V244:V250">
    <cfRule type="cellIs" dxfId="776" priority="38" operator="equal">
      <formula>"szf"</formula>
    </cfRule>
  </conditionalFormatting>
  <conditionalFormatting sqref="V244:V263">
    <cfRule type="cellIs" dxfId="775" priority="36" operator="equal">
      <formula>"+"</formula>
    </cfRule>
    <cfRule type="cellIs" dxfId="774" priority="37" operator="equal">
      <formula>"szf"</formula>
    </cfRule>
  </conditionalFormatting>
  <conditionalFormatting sqref="AC244:AC250">
    <cfRule type="cellIs" dxfId="773" priority="35" operator="equal">
      <formula>"szf"</formula>
    </cfRule>
  </conditionalFormatting>
  <conditionalFormatting sqref="AC244:AC263">
    <cfRule type="cellIs" dxfId="772" priority="33" operator="equal">
      <formula>"+"</formula>
    </cfRule>
    <cfRule type="cellIs" dxfId="771" priority="34" operator="equal">
      <formula>"szf"</formula>
    </cfRule>
  </conditionalFormatting>
  <conditionalFormatting sqref="AD244:AD250">
    <cfRule type="cellIs" dxfId="770" priority="32" operator="equal">
      <formula>"szf"</formula>
    </cfRule>
  </conditionalFormatting>
  <conditionalFormatting sqref="AD244:AD263">
    <cfRule type="cellIs" dxfId="769" priority="30" operator="equal">
      <formula>"+"</formula>
    </cfRule>
    <cfRule type="cellIs" dxfId="768" priority="31" operator="equal">
      <formula>"szf"</formula>
    </cfRule>
  </conditionalFormatting>
  <conditionalFormatting sqref="G268">
    <cfRule type="cellIs" dxfId="767" priority="29" operator="equal">
      <formula>"szf"</formula>
    </cfRule>
  </conditionalFormatting>
  <conditionalFormatting sqref="G268:G287">
    <cfRule type="cellIs" dxfId="766" priority="27" operator="equal">
      <formula>"+"</formula>
    </cfRule>
    <cfRule type="cellIs" dxfId="765" priority="28" operator="equal">
      <formula>"szf"</formula>
    </cfRule>
  </conditionalFormatting>
  <conditionalFormatting sqref="H268">
    <cfRule type="cellIs" dxfId="764" priority="26" operator="equal">
      <formula>"szf"</formula>
    </cfRule>
  </conditionalFormatting>
  <conditionalFormatting sqref="H268:H287">
    <cfRule type="cellIs" dxfId="763" priority="24" operator="equal">
      <formula>"+"</formula>
    </cfRule>
    <cfRule type="cellIs" dxfId="762" priority="25" operator="equal">
      <formula>"szf"</formula>
    </cfRule>
  </conditionalFormatting>
  <conditionalFormatting sqref="O268">
    <cfRule type="cellIs" dxfId="761" priority="23" operator="equal">
      <formula>"szf"</formula>
    </cfRule>
  </conditionalFormatting>
  <conditionalFormatting sqref="O268:O287">
    <cfRule type="cellIs" dxfId="760" priority="21" operator="equal">
      <formula>"+"</formula>
    </cfRule>
    <cfRule type="cellIs" dxfId="759" priority="22" operator="equal">
      <formula>"szf"</formula>
    </cfRule>
  </conditionalFormatting>
  <conditionalFormatting sqref="P268">
    <cfRule type="cellIs" dxfId="758" priority="20" operator="equal">
      <formula>"szf"</formula>
    </cfRule>
  </conditionalFormatting>
  <conditionalFormatting sqref="P268:P287">
    <cfRule type="cellIs" dxfId="757" priority="18" operator="equal">
      <formula>"+"</formula>
    </cfRule>
    <cfRule type="cellIs" dxfId="756" priority="19" operator="equal">
      <formula>"szf"</formula>
    </cfRule>
  </conditionalFormatting>
  <conditionalFormatting sqref="W268">
    <cfRule type="cellIs" dxfId="755" priority="17" operator="equal">
      <formula>"szf"</formula>
    </cfRule>
  </conditionalFormatting>
  <conditionalFormatting sqref="W268:W287">
    <cfRule type="cellIs" dxfId="754" priority="15" operator="equal">
      <formula>"+"</formula>
    </cfRule>
    <cfRule type="cellIs" dxfId="753" priority="16" operator="equal">
      <formula>"szf"</formula>
    </cfRule>
  </conditionalFormatting>
  <conditionalFormatting sqref="X268">
    <cfRule type="cellIs" dxfId="752" priority="14" operator="equal">
      <formula>"szf"</formula>
    </cfRule>
  </conditionalFormatting>
  <conditionalFormatting sqref="X268:X287">
    <cfRule type="cellIs" dxfId="751" priority="12" operator="equal">
      <formula>"+"</formula>
    </cfRule>
    <cfRule type="cellIs" dxfId="750" priority="13" operator="equal">
      <formula>"szf"</formula>
    </cfRule>
  </conditionalFormatting>
  <conditionalFormatting sqref="AE268">
    <cfRule type="cellIs" dxfId="749" priority="11" operator="equal">
      <formula>"szf"</formula>
    </cfRule>
  </conditionalFormatting>
  <conditionalFormatting sqref="AE268:AE287">
    <cfRule type="cellIs" dxfId="748" priority="9" operator="equal">
      <formula>"+"</formula>
    </cfRule>
    <cfRule type="cellIs" dxfId="747" priority="10" operator="equal">
      <formula>"szf"</formula>
    </cfRule>
  </conditionalFormatting>
  <conditionalFormatting sqref="AF268">
    <cfRule type="cellIs" dxfId="746" priority="8" operator="equal">
      <formula>"szf"</formula>
    </cfRule>
  </conditionalFormatting>
  <conditionalFormatting sqref="AF268:AF287">
    <cfRule type="cellIs" dxfId="745" priority="6" operator="equal">
      <formula>"+"</formula>
    </cfRule>
    <cfRule type="cellIs" dxfId="744" priority="7" operator="equal">
      <formula>"szf"</formula>
    </cfRule>
  </conditionalFormatting>
  <conditionalFormatting sqref="P52:P71">
    <cfRule type="cellIs" dxfId="743" priority="4" operator="equal">
      <formula>"szf"</formula>
    </cfRule>
    <cfRule type="cellIs" dxfId="742" priority="5" operator="equal">
      <formula>"+"</formula>
    </cfRule>
  </conditionalFormatting>
  <conditionalFormatting sqref="B28:AD34">
    <cfRule type="containsText" dxfId="741" priority="2" stopIfTrue="1" operator="containsText" text="szf">
      <formula>NOT(ISERROR(SEARCH("szf",B28)))</formula>
    </cfRule>
  </conditionalFormatting>
  <conditionalFormatting sqref="B28:AD34">
    <cfRule type="containsText" dxfId="740" priority="1" operator="containsText" text="B">
      <formula>NOT(ISERROR(SEARCH("B",B28)))</formula>
    </cfRule>
  </conditionalFormatting>
  <printOptions horizontalCentered="1" verticalCentered="1"/>
  <pageMargins left="0.39370078740157483" right="0.39370078740157483" top="0.24" bottom="0.3" header="0.17" footer="0.3"/>
  <pageSetup paperSize="9" orientation="landscape" horizontalDpi="4294967292" r:id="rId1"/>
  <headerFooter alignWithMargins="0">
    <oddFooter>&amp;RCim: C:\besse\szab_szn\szabi.xls</oddFooter>
  </headerFooter>
  <rowBreaks count="11" manualBreakCount="11">
    <brk id="23" max="16383" man="1"/>
    <brk id="47" max="16383" man="1"/>
    <brk id="71" max="16383" man="1"/>
    <brk id="95" max="16383" man="1"/>
    <brk id="119" max="16383" man="1"/>
    <brk id="143" max="16383" man="1"/>
    <brk id="167" max="16383" man="1"/>
    <brk id="191" max="16383" man="1"/>
    <brk id="215" max="16383" man="1"/>
    <brk id="239" max="16383" man="1"/>
    <brk id="263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stopIfTrue="1" operator="containsText" id="{6A83F9E2-F426-4374-B675-78F21DA506C9}">
            <xm:f>NOT(ISERROR(SEARCH("+",B28)))</xm:f>
            <xm:f>"+"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m:sqref>B28:AD34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7"/>
  <sheetViews>
    <sheetView showGridLines="0" topLeftCell="A56" workbookViewId="0">
      <selection activeCell="AV85" sqref="AV85"/>
    </sheetView>
  </sheetViews>
  <sheetFormatPr defaultColWidth="12" defaultRowHeight="12.75"/>
  <cols>
    <col min="1" max="1" width="18.85546875" style="20" customWidth="1"/>
    <col min="2" max="2" width="4" style="4" customWidth="1"/>
    <col min="3" max="8" width="3.140625" style="4" customWidth="1"/>
    <col min="9" max="9" width="3" style="4" customWidth="1"/>
    <col min="10" max="31" width="3.140625" style="4" customWidth="1"/>
    <col min="32" max="32" width="3.85546875" style="4" customWidth="1"/>
    <col min="33" max="33" width="3.42578125" style="1" customWidth="1"/>
    <col min="34" max="35" width="6.85546875" style="8" hidden="1" customWidth="1"/>
    <col min="36" max="43" width="3.42578125" style="1" customWidth="1"/>
    <col min="44" max="16384" width="12" style="1"/>
  </cols>
  <sheetData>
    <row r="1" spans="1:35" s="6" customFormat="1" ht="20.100000000000001" customHeight="1">
      <c r="A1" s="88" t="s">
        <v>0</v>
      </c>
      <c r="B1" s="66">
        <v>1</v>
      </c>
      <c r="C1" s="67">
        <v>2</v>
      </c>
      <c r="D1" s="67">
        <v>3</v>
      </c>
      <c r="E1" s="67">
        <v>4</v>
      </c>
      <c r="F1" s="67">
        <v>5</v>
      </c>
      <c r="G1" s="67">
        <v>6</v>
      </c>
      <c r="H1" s="67">
        <v>7</v>
      </c>
      <c r="I1" s="67">
        <v>8</v>
      </c>
      <c r="J1" s="67">
        <v>9</v>
      </c>
      <c r="K1" s="67">
        <v>10</v>
      </c>
      <c r="L1" s="67">
        <v>11</v>
      </c>
      <c r="M1" s="67">
        <v>12</v>
      </c>
      <c r="N1" s="67">
        <v>13</v>
      </c>
      <c r="O1" s="67">
        <v>14</v>
      </c>
      <c r="P1" s="67">
        <v>15</v>
      </c>
      <c r="Q1" s="67">
        <v>16</v>
      </c>
      <c r="R1" s="67">
        <v>17</v>
      </c>
      <c r="S1" s="67">
        <v>18</v>
      </c>
      <c r="T1" s="67">
        <v>19</v>
      </c>
      <c r="U1" s="67">
        <v>20</v>
      </c>
      <c r="V1" s="67">
        <v>21</v>
      </c>
      <c r="W1" s="67">
        <v>22</v>
      </c>
      <c r="X1" s="67">
        <v>23</v>
      </c>
      <c r="Y1" s="67">
        <v>24</v>
      </c>
      <c r="Z1" s="67">
        <v>25</v>
      </c>
      <c r="AA1" s="67">
        <v>26</v>
      </c>
      <c r="AB1" s="67">
        <v>27</v>
      </c>
      <c r="AC1" s="67">
        <v>28</v>
      </c>
      <c r="AD1" s="67">
        <v>29</v>
      </c>
      <c r="AE1" s="67">
        <v>30</v>
      </c>
      <c r="AF1" s="67">
        <v>31</v>
      </c>
      <c r="AH1" s="93" t="s">
        <v>18</v>
      </c>
      <c r="AI1" s="93" t="s">
        <v>19</v>
      </c>
    </row>
    <row r="2" spans="1:35" ht="20.100000000000001" customHeight="1">
      <c r="A2" s="95"/>
      <c r="B2" s="68" t="str">
        <f>'2020'!B4</f>
        <v>Sze</v>
      </c>
      <c r="C2" s="68" t="str">
        <f>'2020'!C4</f>
        <v>Cs</v>
      </c>
      <c r="D2" s="68" t="str">
        <f>'2020'!D4</f>
        <v>P</v>
      </c>
      <c r="E2" s="68" t="str">
        <f>'2020'!E4</f>
        <v>Szo</v>
      </c>
      <c r="F2" s="68" t="str">
        <f>'2020'!F4</f>
        <v>V</v>
      </c>
      <c r="G2" s="68" t="str">
        <f>'2020'!G4</f>
        <v>H</v>
      </c>
      <c r="H2" s="68" t="str">
        <f>'2020'!H4</f>
        <v>K</v>
      </c>
      <c r="I2" s="68" t="str">
        <f>'2020'!I4</f>
        <v>Sze</v>
      </c>
      <c r="J2" s="68" t="str">
        <f>'2020'!J4</f>
        <v>Cs</v>
      </c>
      <c r="K2" s="68" t="str">
        <f>'2020'!K4</f>
        <v>P</v>
      </c>
      <c r="L2" s="68" t="str">
        <f>'2020'!L4</f>
        <v>Szo</v>
      </c>
      <c r="M2" s="68" t="str">
        <f>'2020'!M4</f>
        <v>V</v>
      </c>
      <c r="N2" s="68" t="str">
        <f>'2020'!N4</f>
        <v>H</v>
      </c>
      <c r="O2" s="68" t="str">
        <f>'2020'!O4</f>
        <v>K</v>
      </c>
      <c r="P2" s="68" t="str">
        <f>'2020'!P4</f>
        <v>Sze</v>
      </c>
      <c r="Q2" s="68" t="str">
        <f>'2020'!Q4</f>
        <v>Cs</v>
      </c>
      <c r="R2" s="68" t="str">
        <f>'2020'!R4</f>
        <v>P</v>
      </c>
      <c r="S2" s="68" t="str">
        <f>'2020'!S4</f>
        <v>Szo</v>
      </c>
      <c r="T2" s="68" t="str">
        <f>'2020'!T4</f>
        <v>V</v>
      </c>
      <c r="U2" s="68" t="str">
        <f>'2020'!U4</f>
        <v>H</v>
      </c>
      <c r="V2" s="68" t="str">
        <f>'2020'!V4</f>
        <v>K</v>
      </c>
      <c r="W2" s="68" t="str">
        <f>'2020'!W4</f>
        <v>Sze</v>
      </c>
      <c r="X2" s="68" t="str">
        <f>'2020'!X4</f>
        <v>Cs</v>
      </c>
      <c r="Y2" s="68" t="str">
        <f>'2020'!Y4</f>
        <v>P</v>
      </c>
      <c r="Z2" s="68" t="str">
        <f>'2020'!Z4</f>
        <v>Szo</v>
      </c>
      <c r="AA2" s="68" t="str">
        <f>'2020'!AA4</f>
        <v>V</v>
      </c>
      <c r="AB2" s="68" t="str">
        <f>'2020'!AB4</f>
        <v>H</v>
      </c>
      <c r="AC2" s="68" t="str">
        <f>'2020'!AC4</f>
        <v>K</v>
      </c>
      <c r="AD2" s="68" t="str">
        <f>'2020'!AD4</f>
        <v>Sze</v>
      </c>
      <c r="AE2" s="68" t="str">
        <f>'2020'!AE4</f>
        <v>Cs</v>
      </c>
      <c r="AF2" s="68" t="str">
        <f>'2020'!AF4</f>
        <v>P</v>
      </c>
      <c r="AH2" s="94"/>
      <c r="AI2" s="94"/>
    </row>
    <row r="3" spans="1:35" ht="20.100000000000001" customHeight="1">
      <c r="A3" s="95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H3" s="94"/>
      <c r="AI3" s="94"/>
    </row>
    <row r="4" spans="1:35" ht="20.100000000000001" customHeight="1">
      <c r="A4" s="18" t="str">
        <f>ÖSSZES!$A$95</f>
        <v>Kovács Kriszitán</v>
      </c>
      <c r="B4" s="69" t="s">
        <v>75</v>
      </c>
      <c r="C4" s="70"/>
      <c r="D4" s="70"/>
      <c r="E4" s="71" t="s">
        <v>2</v>
      </c>
      <c r="F4" s="71" t="s">
        <v>2</v>
      </c>
      <c r="G4" s="72"/>
      <c r="H4" s="72"/>
      <c r="I4" s="72"/>
      <c r="J4" s="70"/>
      <c r="K4" s="70"/>
      <c r="L4" s="71" t="s">
        <v>2</v>
      </c>
      <c r="M4" s="71" t="s">
        <v>2</v>
      </c>
      <c r="N4" s="72"/>
      <c r="O4" s="72"/>
      <c r="P4" s="72"/>
      <c r="Q4" s="70"/>
      <c r="R4" s="70"/>
      <c r="S4" s="71" t="s">
        <v>2</v>
      </c>
      <c r="T4" s="71" t="s">
        <v>2</v>
      </c>
      <c r="U4" s="72"/>
      <c r="V4" s="72"/>
      <c r="W4" s="72"/>
      <c r="X4" s="70"/>
      <c r="Y4" s="70"/>
      <c r="Z4" s="71" t="s">
        <v>2</v>
      </c>
      <c r="AA4" s="71" t="s">
        <v>2</v>
      </c>
      <c r="AB4" s="72" t="s">
        <v>20</v>
      </c>
      <c r="AC4" s="72"/>
      <c r="AD4" s="72"/>
      <c r="AE4" s="70"/>
      <c r="AF4" s="70"/>
      <c r="AH4" s="16">
        <f>1*COUNTIF(A4:AF4,"+")</f>
        <v>0</v>
      </c>
      <c r="AI4" s="16">
        <f>1*COUNTIF(B4:AF4,"szf")</f>
        <v>1</v>
      </c>
    </row>
    <row r="5" spans="1:35" ht="20.100000000000001" customHeight="1">
      <c r="A5" s="18" t="str">
        <f>ÖSSZES!$A$96</f>
        <v>Besse Éva</v>
      </c>
      <c r="B5" s="69" t="s">
        <v>75</v>
      </c>
      <c r="C5" s="70"/>
      <c r="D5" s="70"/>
      <c r="E5" s="71" t="s">
        <v>2</v>
      </c>
      <c r="F5" s="71" t="s">
        <v>2</v>
      </c>
      <c r="G5" s="72"/>
      <c r="H5" s="72"/>
      <c r="I5" s="72"/>
      <c r="J5" s="70"/>
      <c r="K5" s="70"/>
      <c r="L5" s="71" t="s">
        <v>2</v>
      </c>
      <c r="M5" s="71" t="s">
        <v>2</v>
      </c>
      <c r="N5" s="72"/>
      <c r="O5" s="72"/>
      <c r="P5" s="72"/>
      <c r="Q5" s="70"/>
      <c r="R5" s="70"/>
      <c r="S5" s="71" t="s">
        <v>2</v>
      </c>
      <c r="T5" s="71" t="s">
        <v>2</v>
      </c>
      <c r="U5" s="72"/>
      <c r="V5" s="72"/>
      <c r="W5" s="72"/>
      <c r="X5" s="70"/>
      <c r="Y5" s="70" t="s">
        <v>20</v>
      </c>
      <c r="Z5" s="71" t="s">
        <v>2</v>
      </c>
      <c r="AA5" s="71" t="s">
        <v>2</v>
      </c>
      <c r="AB5" s="72"/>
      <c r="AC5" s="72"/>
      <c r="AD5" s="72"/>
      <c r="AE5" s="70"/>
      <c r="AF5" s="70"/>
      <c r="AH5" s="16">
        <f t="shared" ref="AH5:AH23" si="0">1*COUNTIF(A5:AF5,"+")</f>
        <v>0</v>
      </c>
      <c r="AI5" s="16">
        <f t="shared" ref="AI5:AI23" si="1">1*COUNTIF(B5:AF5,"szf")</f>
        <v>1</v>
      </c>
    </row>
    <row r="6" spans="1:35" ht="20.100000000000001" customHeight="1">
      <c r="A6" s="18" t="str">
        <f>ÖSSZES!$A$97</f>
        <v>Oláh Erika</v>
      </c>
      <c r="B6" s="69" t="s">
        <v>75</v>
      </c>
      <c r="C6" s="70"/>
      <c r="D6" s="70"/>
      <c r="E6" s="71" t="s">
        <v>2</v>
      </c>
      <c r="F6" s="71" t="s">
        <v>2</v>
      </c>
      <c r="G6" s="72"/>
      <c r="H6" s="72"/>
      <c r="I6" s="72"/>
      <c r="J6" s="70"/>
      <c r="K6" s="70"/>
      <c r="L6" s="71" t="s">
        <v>2</v>
      </c>
      <c r="M6" s="71" t="s">
        <v>2</v>
      </c>
      <c r="N6" s="72"/>
      <c r="O6" s="72"/>
      <c r="P6" s="72"/>
      <c r="Q6" s="70"/>
      <c r="R6" s="70"/>
      <c r="S6" s="71" t="s">
        <v>2</v>
      </c>
      <c r="T6" s="71" t="s">
        <v>2</v>
      </c>
      <c r="U6" s="72"/>
      <c r="V6" s="72"/>
      <c r="W6" s="72"/>
      <c r="X6" s="70"/>
      <c r="Y6" s="70"/>
      <c r="Z6" s="71" t="s">
        <v>2</v>
      </c>
      <c r="AA6" s="71" t="s">
        <v>2</v>
      </c>
      <c r="AB6" s="72" t="s">
        <v>116</v>
      </c>
      <c r="AC6" s="72" t="s">
        <v>116</v>
      </c>
      <c r="AD6" s="72" t="s">
        <v>116</v>
      </c>
      <c r="AE6" s="70" t="s">
        <v>116</v>
      </c>
      <c r="AF6" s="70"/>
      <c r="AH6" s="16">
        <f t="shared" si="0"/>
        <v>0</v>
      </c>
      <c r="AI6" s="16">
        <f t="shared" si="1"/>
        <v>0</v>
      </c>
    </row>
    <row r="7" spans="1:35" ht="20.100000000000001" customHeight="1">
      <c r="A7" s="18" t="str">
        <f>ÖSSZES!$A$98</f>
        <v>Bulyáki Csaba</v>
      </c>
      <c r="B7" s="69" t="s">
        <v>75</v>
      </c>
      <c r="C7" s="72"/>
      <c r="D7" s="70"/>
      <c r="E7" s="71" t="s">
        <v>2</v>
      </c>
      <c r="F7" s="71" t="s">
        <v>2</v>
      </c>
      <c r="G7" s="72"/>
      <c r="H7" s="72"/>
      <c r="I7" s="72"/>
      <c r="J7" s="70"/>
      <c r="K7" s="70"/>
      <c r="L7" s="71" t="s">
        <v>2</v>
      </c>
      <c r="M7" s="71" t="s">
        <v>2</v>
      </c>
      <c r="N7" s="72"/>
      <c r="O7" s="72"/>
      <c r="P7" s="72"/>
      <c r="Q7" s="70"/>
      <c r="R7" s="70"/>
      <c r="S7" s="71" t="s">
        <v>2</v>
      </c>
      <c r="T7" s="71" t="s">
        <v>2</v>
      </c>
      <c r="U7" s="72"/>
      <c r="V7" s="72"/>
      <c r="W7" s="72"/>
      <c r="X7" s="70"/>
      <c r="Y7" s="70"/>
      <c r="Z7" s="71" t="s">
        <v>2</v>
      </c>
      <c r="AA7" s="71" t="s">
        <v>2</v>
      </c>
      <c r="AB7" s="72"/>
      <c r="AC7" s="72"/>
      <c r="AD7" s="72" t="s">
        <v>20</v>
      </c>
      <c r="AE7" s="70"/>
      <c r="AF7" s="70"/>
      <c r="AH7" s="16">
        <f t="shared" si="0"/>
        <v>0</v>
      </c>
      <c r="AI7" s="16">
        <f t="shared" si="1"/>
        <v>1</v>
      </c>
    </row>
    <row r="8" spans="1:35" ht="20.100000000000001" customHeight="1">
      <c r="A8" s="18" t="str">
        <f>ÖSSZES!$A$99</f>
        <v>Fekete Tamás</v>
      </c>
      <c r="B8" s="69" t="s">
        <v>75</v>
      </c>
      <c r="C8" s="70" t="s">
        <v>20</v>
      </c>
      <c r="D8" s="70"/>
      <c r="E8" s="71" t="s">
        <v>2</v>
      </c>
      <c r="F8" s="71" t="s">
        <v>2</v>
      </c>
      <c r="G8" s="72"/>
      <c r="H8" s="72"/>
      <c r="I8" s="72"/>
      <c r="J8" s="70"/>
      <c r="K8" s="70"/>
      <c r="L8" s="71" t="s">
        <v>2</v>
      </c>
      <c r="M8" s="71" t="s">
        <v>2</v>
      </c>
      <c r="N8" s="72"/>
      <c r="O8" s="72"/>
      <c r="P8" s="72"/>
      <c r="Q8" s="70"/>
      <c r="R8" s="70"/>
      <c r="S8" s="71" t="s">
        <v>2</v>
      </c>
      <c r="T8" s="71" t="s">
        <v>2</v>
      </c>
      <c r="U8" s="72"/>
      <c r="V8" s="72"/>
      <c r="W8" s="72"/>
      <c r="X8" s="70"/>
      <c r="Y8" s="70"/>
      <c r="Z8" s="71" t="s">
        <v>2</v>
      </c>
      <c r="AA8" s="71" t="s">
        <v>2</v>
      </c>
      <c r="AB8" s="72"/>
      <c r="AC8" s="72"/>
      <c r="AD8" s="72"/>
      <c r="AE8" s="70"/>
      <c r="AF8" s="70"/>
      <c r="AH8" s="16">
        <f t="shared" si="0"/>
        <v>0</v>
      </c>
      <c r="AI8" s="16">
        <f t="shared" si="1"/>
        <v>1</v>
      </c>
    </row>
    <row r="9" spans="1:35" ht="20.100000000000001" hidden="1" customHeight="1">
      <c r="A9" s="18" t="str">
        <f>ÖSSZES!$A$100</f>
        <v>Péter Csaba</v>
      </c>
      <c r="B9" s="69" t="s">
        <v>75</v>
      </c>
      <c r="C9" s="70" t="s">
        <v>20</v>
      </c>
      <c r="D9" s="70" t="s">
        <v>20</v>
      </c>
      <c r="E9" s="71" t="s">
        <v>2</v>
      </c>
      <c r="F9" s="71" t="s">
        <v>2</v>
      </c>
      <c r="G9" s="72"/>
      <c r="H9" s="72" t="s">
        <v>116</v>
      </c>
      <c r="I9" s="72" t="s">
        <v>116</v>
      </c>
      <c r="J9" s="70"/>
      <c r="K9" s="70"/>
      <c r="L9" s="71" t="s">
        <v>2</v>
      </c>
      <c r="M9" s="71" t="s">
        <v>2</v>
      </c>
      <c r="N9" s="72"/>
      <c r="O9" s="72"/>
      <c r="P9" s="72"/>
      <c r="Q9" s="70"/>
      <c r="R9" s="70"/>
      <c r="S9" s="71" t="s">
        <v>2</v>
      </c>
      <c r="T9" s="71" t="s">
        <v>2</v>
      </c>
      <c r="U9" s="72"/>
      <c r="V9" s="72"/>
      <c r="W9" s="72"/>
      <c r="X9" s="70"/>
      <c r="Y9" s="70"/>
      <c r="Z9" s="71" t="s">
        <v>2</v>
      </c>
      <c r="AA9" s="71" t="s">
        <v>2</v>
      </c>
      <c r="AB9" s="72"/>
      <c r="AC9" s="72"/>
      <c r="AD9" s="72"/>
      <c r="AE9" s="70"/>
      <c r="AF9" s="70"/>
      <c r="AH9" s="16">
        <f t="shared" si="0"/>
        <v>0</v>
      </c>
      <c r="AI9" s="16">
        <f t="shared" si="1"/>
        <v>2</v>
      </c>
    </row>
    <row r="10" spans="1:35" ht="20.100000000000001" customHeight="1">
      <c r="A10" s="18" t="str">
        <f>ÖSSZES!$A$101</f>
        <v>Tóth János</v>
      </c>
      <c r="B10" s="69" t="s">
        <v>75</v>
      </c>
      <c r="C10" s="70"/>
      <c r="D10" s="70"/>
      <c r="E10" s="71" t="s">
        <v>2</v>
      </c>
      <c r="F10" s="71" t="s">
        <v>2</v>
      </c>
      <c r="G10" s="72"/>
      <c r="H10" s="72"/>
      <c r="I10" s="72"/>
      <c r="J10" s="70"/>
      <c r="K10" s="70"/>
      <c r="L10" s="71" t="s">
        <v>2</v>
      </c>
      <c r="M10" s="71" t="s">
        <v>2</v>
      </c>
      <c r="N10" s="72"/>
      <c r="O10" s="72"/>
      <c r="P10" s="72" t="s">
        <v>117</v>
      </c>
      <c r="Q10" s="70"/>
      <c r="R10" s="70"/>
      <c r="S10" s="71" t="s">
        <v>2</v>
      </c>
      <c r="T10" s="71" t="s">
        <v>2</v>
      </c>
      <c r="U10" s="72"/>
      <c r="V10" s="72" t="s">
        <v>116</v>
      </c>
      <c r="W10" s="72" t="s">
        <v>116</v>
      </c>
      <c r="X10" s="70" t="s">
        <v>116</v>
      </c>
      <c r="Y10" s="70" t="s">
        <v>116</v>
      </c>
      <c r="Z10" s="71" t="s">
        <v>2</v>
      </c>
      <c r="AA10" s="71" t="s">
        <v>2</v>
      </c>
      <c r="AB10" s="72" t="s">
        <v>116</v>
      </c>
      <c r="AC10" s="72" t="s">
        <v>116</v>
      </c>
      <c r="AD10" s="72" t="s">
        <v>116</v>
      </c>
      <c r="AE10" s="70"/>
      <c r="AF10" s="70"/>
      <c r="AH10" s="16">
        <f t="shared" si="0"/>
        <v>0</v>
      </c>
      <c r="AI10" s="16">
        <f t="shared" si="1"/>
        <v>0</v>
      </c>
    </row>
    <row r="11" spans="1:35" ht="20.100000000000001" customHeight="1">
      <c r="A11" s="18" t="str">
        <f>ÖSSZES!$A$102</f>
        <v>Tóth Krisztián</v>
      </c>
      <c r="B11" s="69" t="s">
        <v>75</v>
      </c>
      <c r="C11" s="70" t="s">
        <v>20</v>
      </c>
      <c r="D11" s="70" t="s">
        <v>20</v>
      </c>
      <c r="E11" s="71" t="s">
        <v>2</v>
      </c>
      <c r="F11" s="71" t="s">
        <v>2</v>
      </c>
      <c r="G11" s="72"/>
      <c r="H11" s="72"/>
      <c r="I11" s="8"/>
      <c r="J11" s="70"/>
      <c r="K11" s="70"/>
      <c r="L11" s="71" t="s">
        <v>2</v>
      </c>
      <c r="M11" s="71" t="s">
        <v>2</v>
      </c>
      <c r="N11" s="72"/>
      <c r="O11" s="72"/>
      <c r="P11" s="72"/>
      <c r="Q11" s="70"/>
      <c r="R11" s="70"/>
      <c r="S11" s="71" t="s">
        <v>2</v>
      </c>
      <c r="T11" s="71" t="s">
        <v>2</v>
      </c>
      <c r="U11" s="72"/>
      <c r="V11" s="72"/>
      <c r="W11" s="72"/>
      <c r="X11" s="70"/>
      <c r="Y11" s="70"/>
      <c r="Z11" s="71" t="s">
        <v>2</v>
      </c>
      <c r="AA11" s="71" t="s">
        <v>2</v>
      </c>
      <c r="AB11" s="72"/>
      <c r="AC11" s="72"/>
      <c r="AD11" s="72"/>
      <c r="AE11" s="70"/>
      <c r="AF11" s="70"/>
      <c r="AH11" s="16">
        <f t="shared" si="0"/>
        <v>0</v>
      </c>
      <c r="AI11" s="16">
        <f t="shared" si="1"/>
        <v>2</v>
      </c>
    </row>
    <row r="12" spans="1:35" ht="20.100000000000001" customHeight="1">
      <c r="A12" s="18" t="str">
        <f>ÖSSZES!$A$103</f>
        <v>Tassi Szilárd</v>
      </c>
      <c r="B12" s="69" t="s">
        <v>75</v>
      </c>
      <c r="C12" s="70"/>
      <c r="D12" s="70"/>
      <c r="E12" s="71" t="s">
        <v>2</v>
      </c>
      <c r="F12" s="71" t="s">
        <v>2</v>
      </c>
      <c r="G12" s="72"/>
      <c r="H12" s="72"/>
      <c r="I12" s="72"/>
      <c r="J12" s="70"/>
      <c r="K12" s="70"/>
      <c r="L12" s="71" t="s">
        <v>2</v>
      </c>
      <c r="M12" s="71" t="s">
        <v>2</v>
      </c>
      <c r="N12" s="72" t="s">
        <v>20</v>
      </c>
      <c r="O12" s="72"/>
      <c r="P12" s="72"/>
      <c r="Q12" s="70"/>
      <c r="R12" s="70"/>
      <c r="S12" s="71" t="s">
        <v>2</v>
      </c>
      <c r="T12" s="71" t="s">
        <v>2</v>
      </c>
      <c r="U12" s="72"/>
      <c r="V12" s="72"/>
      <c r="W12" s="72"/>
      <c r="X12" s="70"/>
      <c r="Y12" s="70"/>
      <c r="Z12" s="71" t="s">
        <v>2</v>
      </c>
      <c r="AA12" s="71" t="s">
        <v>2</v>
      </c>
      <c r="AB12" s="72"/>
      <c r="AC12" s="72"/>
      <c r="AD12" s="72"/>
      <c r="AE12" s="70"/>
      <c r="AF12" s="70"/>
      <c r="AH12" s="16">
        <f t="shared" si="0"/>
        <v>0</v>
      </c>
      <c r="AI12" s="16">
        <f t="shared" si="1"/>
        <v>1</v>
      </c>
    </row>
    <row r="13" spans="1:35" ht="20.100000000000001" customHeight="1">
      <c r="A13" s="18" t="str">
        <f>ÖSSZES!$A$104</f>
        <v>Dancsi Attila</v>
      </c>
      <c r="B13" s="69" t="s">
        <v>75</v>
      </c>
      <c r="C13" s="70" t="s">
        <v>20</v>
      </c>
      <c r="D13" s="70"/>
      <c r="E13" s="71" t="s">
        <v>2</v>
      </c>
      <c r="F13" s="71" t="s">
        <v>2</v>
      </c>
      <c r="G13" s="72"/>
      <c r="H13" s="72"/>
      <c r="I13" s="72"/>
      <c r="J13" s="70"/>
      <c r="K13" s="70"/>
      <c r="L13" s="71" t="s">
        <v>2</v>
      </c>
      <c r="M13" s="71" t="s">
        <v>2</v>
      </c>
      <c r="N13" s="72"/>
      <c r="O13" s="72"/>
      <c r="P13" s="72"/>
      <c r="Q13" s="70"/>
      <c r="R13" s="70"/>
      <c r="S13" s="71" t="s">
        <v>2</v>
      </c>
      <c r="T13" s="71" t="s">
        <v>2</v>
      </c>
      <c r="U13" s="72"/>
      <c r="V13" s="72"/>
      <c r="W13" s="72"/>
      <c r="X13" s="70"/>
      <c r="Y13" s="70"/>
      <c r="Z13" s="71" t="s">
        <v>2</v>
      </c>
      <c r="AA13" s="71" t="s">
        <v>2</v>
      </c>
      <c r="AB13" s="72"/>
      <c r="AC13" s="72"/>
      <c r="AD13" s="72"/>
      <c r="AE13" s="70"/>
      <c r="AF13" s="70"/>
      <c r="AH13" s="16">
        <f t="shared" si="0"/>
        <v>0</v>
      </c>
      <c r="AI13" s="16">
        <f t="shared" si="1"/>
        <v>1</v>
      </c>
    </row>
    <row r="14" spans="1:35" ht="20.100000000000001" hidden="1" customHeight="1">
      <c r="A14" s="18" t="str">
        <f>ÖSSZES!$A$105</f>
        <v>Iványi Roland</v>
      </c>
      <c r="B14" s="60" t="s">
        <v>75</v>
      </c>
      <c r="C14" s="14"/>
      <c r="D14" s="14"/>
      <c r="E14" s="58" t="s">
        <v>2</v>
      </c>
      <c r="F14" s="58" t="s">
        <v>2</v>
      </c>
      <c r="G14" s="33"/>
      <c r="H14" s="33"/>
      <c r="I14" s="33"/>
      <c r="J14" s="14"/>
      <c r="K14" s="14"/>
      <c r="L14" s="58" t="s">
        <v>2</v>
      </c>
      <c r="M14" s="58" t="s">
        <v>2</v>
      </c>
      <c r="N14" s="33"/>
      <c r="O14" s="33"/>
      <c r="P14" s="33"/>
      <c r="Q14" s="14"/>
      <c r="R14" s="14"/>
      <c r="S14" s="58" t="s">
        <v>2</v>
      </c>
      <c r="T14" s="58" t="s">
        <v>2</v>
      </c>
      <c r="U14" s="33"/>
      <c r="V14" s="33"/>
      <c r="W14" s="33"/>
      <c r="X14" s="14"/>
      <c r="Y14" s="14"/>
      <c r="Z14" s="58" t="s">
        <v>2</v>
      </c>
      <c r="AA14" s="58" t="s">
        <v>2</v>
      </c>
      <c r="AB14" s="33"/>
      <c r="AC14" s="33"/>
      <c r="AD14" s="33"/>
      <c r="AE14" s="14"/>
      <c r="AF14" s="14"/>
      <c r="AH14" s="16">
        <f t="shared" si="0"/>
        <v>0</v>
      </c>
      <c r="AI14" s="16">
        <f t="shared" si="1"/>
        <v>0</v>
      </c>
    </row>
    <row r="15" spans="1:35" ht="20.100000000000001" hidden="1" customHeight="1">
      <c r="A15" s="18" t="str">
        <f>ÖSSZES!$A$106</f>
        <v>Név12</v>
      </c>
      <c r="B15" s="60" t="s">
        <v>75</v>
      </c>
      <c r="C15" s="14"/>
      <c r="D15" s="14"/>
      <c r="E15" s="58" t="s">
        <v>2</v>
      </c>
      <c r="F15" s="58" t="s">
        <v>2</v>
      </c>
      <c r="G15" s="33"/>
      <c r="H15" s="33"/>
      <c r="I15" s="33"/>
      <c r="J15" s="14"/>
      <c r="K15" s="14"/>
      <c r="L15" s="58" t="s">
        <v>2</v>
      </c>
      <c r="M15" s="58" t="s">
        <v>2</v>
      </c>
      <c r="N15" s="33"/>
      <c r="O15" s="33"/>
      <c r="P15" s="33"/>
      <c r="Q15" s="14"/>
      <c r="R15" s="14"/>
      <c r="S15" s="58" t="s">
        <v>2</v>
      </c>
      <c r="T15" s="58" t="s">
        <v>2</v>
      </c>
      <c r="U15" s="33"/>
      <c r="V15" s="33"/>
      <c r="W15" s="33"/>
      <c r="X15" s="14"/>
      <c r="Y15" s="14"/>
      <c r="Z15" s="58" t="s">
        <v>2</v>
      </c>
      <c r="AA15" s="58" t="s">
        <v>2</v>
      </c>
      <c r="AB15" s="33"/>
      <c r="AC15" s="33"/>
      <c r="AD15" s="33"/>
      <c r="AE15" s="14"/>
      <c r="AF15" s="14"/>
      <c r="AH15" s="16">
        <f t="shared" si="0"/>
        <v>0</v>
      </c>
      <c r="AI15" s="16">
        <f t="shared" si="1"/>
        <v>0</v>
      </c>
    </row>
    <row r="16" spans="1:35" ht="20.100000000000001" hidden="1" customHeight="1">
      <c r="A16" s="18" t="str">
        <f>ÖSSZES!$A$107</f>
        <v>Név13</v>
      </c>
      <c r="B16" s="60" t="s">
        <v>75</v>
      </c>
      <c r="C16" s="14"/>
      <c r="D16" s="14"/>
      <c r="E16" s="58" t="s">
        <v>2</v>
      </c>
      <c r="F16" s="58" t="s">
        <v>2</v>
      </c>
      <c r="G16" s="33"/>
      <c r="H16" s="33"/>
      <c r="I16" s="33"/>
      <c r="J16" s="14"/>
      <c r="K16" s="14"/>
      <c r="L16" s="58" t="s">
        <v>2</v>
      </c>
      <c r="M16" s="58" t="s">
        <v>2</v>
      </c>
      <c r="N16" s="33"/>
      <c r="O16" s="33"/>
      <c r="P16" s="33"/>
      <c r="Q16" s="14"/>
      <c r="R16" s="14"/>
      <c r="S16" s="58" t="s">
        <v>2</v>
      </c>
      <c r="T16" s="58" t="s">
        <v>2</v>
      </c>
      <c r="U16" s="33"/>
      <c r="V16" s="33"/>
      <c r="W16" s="33"/>
      <c r="X16" s="14"/>
      <c r="Y16" s="14"/>
      <c r="Z16" s="58" t="s">
        <v>2</v>
      </c>
      <c r="AA16" s="58" t="s">
        <v>2</v>
      </c>
      <c r="AB16" s="33"/>
      <c r="AC16" s="33"/>
      <c r="AD16" s="33"/>
      <c r="AE16" s="14"/>
      <c r="AF16" s="14"/>
      <c r="AH16" s="16">
        <f t="shared" si="0"/>
        <v>0</v>
      </c>
      <c r="AI16" s="16">
        <f t="shared" si="1"/>
        <v>0</v>
      </c>
    </row>
    <row r="17" spans="1:35" ht="20.100000000000001" hidden="1" customHeight="1">
      <c r="A17" s="18" t="str">
        <f>ÖSSZES!$A$108</f>
        <v>Név14</v>
      </c>
      <c r="B17" s="60" t="s">
        <v>75</v>
      </c>
      <c r="C17" s="14"/>
      <c r="D17" s="14"/>
      <c r="E17" s="58" t="s">
        <v>2</v>
      </c>
      <c r="F17" s="58" t="s">
        <v>2</v>
      </c>
      <c r="G17" s="33"/>
      <c r="H17" s="33"/>
      <c r="I17" s="33"/>
      <c r="J17" s="14"/>
      <c r="K17" s="14"/>
      <c r="L17" s="58" t="s">
        <v>2</v>
      </c>
      <c r="M17" s="58" t="s">
        <v>2</v>
      </c>
      <c r="N17" s="33"/>
      <c r="O17" s="33"/>
      <c r="P17" s="33"/>
      <c r="Q17" s="14"/>
      <c r="R17" s="14"/>
      <c r="S17" s="58" t="s">
        <v>2</v>
      </c>
      <c r="T17" s="58" t="s">
        <v>2</v>
      </c>
      <c r="U17" s="33"/>
      <c r="V17" s="33"/>
      <c r="W17" s="33"/>
      <c r="X17" s="14"/>
      <c r="Y17" s="14"/>
      <c r="Z17" s="58" t="s">
        <v>2</v>
      </c>
      <c r="AA17" s="58" t="s">
        <v>2</v>
      </c>
      <c r="AB17" s="33"/>
      <c r="AC17" s="33"/>
      <c r="AD17" s="33"/>
      <c r="AE17" s="14"/>
      <c r="AF17" s="14"/>
      <c r="AH17" s="16">
        <f t="shared" si="0"/>
        <v>0</v>
      </c>
      <c r="AI17" s="16">
        <f t="shared" si="1"/>
        <v>0</v>
      </c>
    </row>
    <row r="18" spans="1:35" ht="20.100000000000001" hidden="1" customHeight="1">
      <c r="A18" s="18" t="str">
        <f>ÖSSZES!$A$109</f>
        <v>Név15</v>
      </c>
      <c r="B18" s="60" t="s">
        <v>75</v>
      </c>
      <c r="C18" s="14"/>
      <c r="D18" s="14"/>
      <c r="E18" s="58" t="s">
        <v>2</v>
      </c>
      <c r="F18" s="58" t="s">
        <v>2</v>
      </c>
      <c r="G18" s="33"/>
      <c r="H18" s="33"/>
      <c r="I18" s="33"/>
      <c r="J18" s="14"/>
      <c r="K18" s="14"/>
      <c r="L18" s="58" t="s">
        <v>2</v>
      </c>
      <c r="M18" s="58" t="s">
        <v>2</v>
      </c>
      <c r="N18" s="33"/>
      <c r="O18" s="33"/>
      <c r="P18" s="33"/>
      <c r="Q18" s="14"/>
      <c r="R18" s="14"/>
      <c r="S18" s="58" t="s">
        <v>2</v>
      </c>
      <c r="T18" s="58" t="s">
        <v>2</v>
      </c>
      <c r="U18" s="33"/>
      <c r="V18" s="33"/>
      <c r="W18" s="33"/>
      <c r="X18" s="14"/>
      <c r="Y18" s="14"/>
      <c r="Z18" s="58" t="s">
        <v>2</v>
      </c>
      <c r="AA18" s="58" t="s">
        <v>2</v>
      </c>
      <c r="AB18" s="33"/>
      <c r="AC18" s="33"/>
      <c r="AD18" s="33"/>
      <c r="AE18" s="14"/>
      <c r="AF18" s="14"/>
      <c r="AH18" s="16">
        <f t="shared" si="0"/>
        <v>0</v>
      </c>
      <c r="AI18" s="16">
        <f t="shared" si="1"/>
        <v>0</v>
      </c>
    </row>
    <row r="19" spans="1:35" ht="20.100000000000001" hidden="1" customHeight="1">
      <c r="A19" s="18" t="str">
        <f>ÖSSZES!$A$110</f>
        <v>Név16</v>
      </c>
      <c r="B19" s="60" t="s">
        <v>75</v>
      </c>
      <c r="C19" s="14"/>
      <c r="D19" s="14"/>
      <c r="E19" s="58" t="s">
        <v>2</v>
      </c>
      <c r="F19" s="58" t="s">
        <v>2</v>
      </c>
      <c r="G19" s="33"/>
      <c r="H19" s="33"/>
      <c r="I19" s="33"/>
      <c r="J19" s="14"/>
      <c r="K19" s="14"/>
      <c r="L19" s="58" t="s">
        <v>2</v>
      </c>
      <c r="M19" s="58" t="s">
        <v>2</v>
      </c>
      <c r="N19" s="33"/>
      <c r="O19" s="33"/>
      <c r="P19" s="33"/>
      <c r="Q19" s="14"/>
      <c r="R19" s="14"/>
      <c r="S19" s="58" t="s">
        <v>2</v>
      </c>
      <c r="T19" s="58" t="s">
        <v>2</v>
      </c>
      <c r="U19" s="33"/>
      <c r="V19" s="33"/>
      <c r="W19" s="33"/>
      <c r="X19" s="14"/>
      <c r="Y19" s="14"/>
      <c r="Z19" s="58" t="s">
        <v>2</v>
      </c>
      <c r="AA19" s="58" t="s">
        <v>2</v>
      </c>
      <c r="AB19" s="33"/>
      <c r="AC19" s="33"/>
      <c r="AD19" s="33"/>
      <c r="AE19" s="14"/>
      <c r="AF19" s="14"/>
      <c r="AH19" s="16">
        <f t="shared" si="0"/>
        <v>0</v>
      </c>
      <c r="AI19" s="16">
        <f t="shared" si="1"/>
        <v>0</v>
      </c>
    </row>
    <row r="20" spans="1:35" ht="20.100000000000001" hidden="1" customHeight="1">
      <c r="A20" s="18" t="str">
        <f>ÖSSZES!$A$111</f>
        <v>Név17</v>
      </c>
      <c r="B20" s="60" t="s">
        <v>75</v>
      </c>
      <c r="C20" s="14"/>
      <c r="D20" s="14"/>
      <c r="E20" s="58" t="s">
        <v>2</v>
      </c>
      <c r="F20" s="58" t="s">
        <v>2</v>
      </c>
      <c r="G20" s="33"/>
      <c r="H20" s="33"/>
      <c r="I20" s="33"/>
      <c r="J20" s="14"/>
      <c r="K20" s="14"/>
      <c r="L20" s="58" t="s">
        <v>2</v>
      </c>
      <c r="M20" s="58" t="s">
        <v>2</v>
      </c>
      <c r="N20" s="33"/>
      <c r="O20" s="33"/>
      <c r="P20" s="33"/>
      <c r="Q20" s="14"/>
      <c r="R20" s="14"/>
      <c r="S20" s="58" t="s">
        <v>2</v>
      </c>
      <c r="T20" s="58" t="s">
        <v>2</v>
      </c>
      <c r="U20" s="33"/>
      <c r="V20" s="33"/>
      <c r="W20" s="33"/>
      <c r="X20" s="14"/>
      <c r="Y20" s="14"/>
      <c r="Z20" s="58" t="s">
        <v>2</v>
      </c>
      <c r="AA20" s="58" t="s">
        <v>2</v>
      </c>
      <c r="AB20" s="33"/>
      <c r="AC20" s="33"/>
      <c r="AD20" s="33"/>
      <c r="AE20" s="14"/>
      <c r="AF20" s="14"/>
      <c r="AH20" s="16">
        <f t="shared" si="0"/>
        <v>0</v>
      </c>
      <c r="AI20" s="16">
        <f t="shared" si="1"/>
        <v>0</v>
      </c>
    </row>
    <row r="21" spans="1:35" ht="20.100000000000001" hidden="1" customHeight="1">
      <c r="A21" s="18" t="str">
        <f>ÖSSZES!$A$112</f>
        <v>Név18</v>
      </c>
      <c r="B21" s="60" t="s">
        <v>75</v>
      </c>
      <c r="C21" s="14"/>
      <c r="D21" s="14"/>
      <c r="E21" s="58" t="s">
        <v>2</v>
      </c>
      <c r="F21" s="58" t="s">
        <v>2</v>
      </c>
      <c r="G21" s="33"/>
      <c r="H21" s="33"/>
      <c r="I21" s="33"/>
      <c r="J21" s="14"/>
      <c r="K21" s="14"/>
      <c r="L21" s="58" t="s">
        <v>2</v>
      </c>
      <c r="M21" s="58" t="s">
        <v>2</v>
      </c>
      <c r="N21" s="33"/>
      <c r="O21" s="33"/>
      <c r="P21" s="33"/>
      <c r="Q21" s="14"/>
      <c r="R21" s="14"/>
      <c r="S21" s="58" t="s">
        <v>2</v>
      </c>
      <c r="T21" s="58" t="s">
        <v>2</v>
      </c>
      <c r="U21" s="33"/>
      <c r="V21" s="33"/>
      <c r="W21" s="33"/>
      <c r="X21" s="14"/>
      <c r="Y21" s="14"/>
      <c r="Z21" s="58" t="s">
        <v>2</v>
      </c>
      <c r="AA21" s="58" t="s">
        <v>2</v>
      </c>
      <c r="AB21" s="33"/>
      <c r="AC21" s="33"/>
      <c r="AD21" s="33"/>
      <c r="AE21" s="14"/>
      <c r="AF21" s="14"/>
      <c r="AH21" s="16">
        <f t="shared" si="0"/>
        <v>0</v>
      </c>
      <c r="AI21" s="16">
        <f t="shared" si="1"/>
        <v>0</v>
      </c>
    </row>
    <row r="22" spans="1:35" ht="20.100000000000001" hidden="1" customHeight="1">
      <c r="A22" s="18" t="str">
        <f>ÖSSZES!$A$113</f>
        <v>Név19</v>
      </c>
      <c r="B22" s="60" t="s">
        <v>75</v>
      </c>
      <c r="C22" s="14"/>
      <c r="D22" s="14"/>
      <c r="E22" s="58" t="s">
        <v>2</v>
      </c>
      <c r="F22" s="58" t="s">
        <v>2</v>
      </c>
      <c r="G22" s="33"/>
      <c r="H22" s="33"/>
      <c r="I22" s="33"/>
      <c r="J22" s="14"/>
      <c r="K22" s="14"/>
      <c r="L22" s="58" t="s">
        <v>2</v>
      </c>
      <c r="M22" s="58" t="s">
        <v>2</v>
      </c>
      <c r="N22" s="33"/>
      <c r="O22" s="33"/>
      <c r="P22" s="33"/>
      <c r="Q22" s="14"/>
      <c r="R22" s="14"/>
      <c r="S22" s="58" t="s">
        <v>2</v>
      </c>
      <c r="T22" s="58" t="s">
        <v>2</v>
      </c>
      <c r="U22" s="33"/>
      <c r="V22" s="33"/>
      <c r="W22" s="33"/>
      <c r="X22" s="14"/>
      <c r="Y22" s="14"/>
      <c r="Z22" s="58" t="s">
        <v>2</v>
      </c>
      <c r="AA22" s="58" t="s">
        <v>2</v>
      </c>
      <c r="AB22" s="33"/>
      <c r="AC22" s="33"/>
      <c r="AD22" s="33"/>
      <c r="AE22" s="14"/>
      <c r="AF22" s="14"/>
      <c r="AH22" s="16">
        <f t="shared" si="0"/>
        <v>0</v>
      </c>
      <c r="AI22" s="16">
        <f t="shared" si="1"/>
        <v>0</v>
      </c>
    </row>
    <row r="23" spans="1:35" ht="20.100000000000001" hidden="1" customHeight="1">
      <c r="A23" s="18" t="str">
        <f>ÖSSZES!$A$114</f>
        <v>Név20</v>
      </c>
      <c r="B23" s="60" t="s">
        <v>75</v>
      </c>
      <c r="C23" s="14"/>
      <c r="D23" s="14"/>
      <c r="E23" s="58" t="s">
        <v>2</v>
      </c>
      <c r="F23" s="58" t="s">
        <v>2</v>
      </c>
      <c r="G23" s="33"/>
      <c r="H23" s="33"/>
      <c r="I23" s="33"/>
      <c r="J23" s="14"/>
      <c r="K23" s="14"/>
      <c r="L23" s="58" t="s">
        <v>2</v>
      </c>
      <c r="M23" s="58" t="s">
        <v>2</v>
      </c>
      <c r="N23" s="33"/>
      <c r="O23" s="33"/>
      <c r="P23" s="33"/>
      <c r="Q23" s="14"/>
      <c r="R23" s="14"/>
      <c r="S23" s="58" t="s">
        <v>2</v>
      </c>
      <c r="T23" s="58" t="s">
        <v>2</v>
      </c>
      <c r="U23" s="33"/>
      <c r="V23" s="33"/>
      <c r="W23" s="33"/>
      <c r="X23" s="14"/>
      <c r="Y23" s="14"/>
      <c r="Z23" s="58" t="s">
        <v>2</v>
      </c>
      <c r="AA23" s="58" t="s">
        <v>2</v>
      </c>
      <c r="AB23" s="33"/>
      <c r="AC23" s="33"/>
      <c r="AD23" s="33"/>
      <c r="AE23" s="14"/>
      <c r="AF23" s="14"/>
      <c r="AH23" s="16">
        <f t="shared" si="0"/>
        <v>0</v>
      </c>
      <c r="AI23" s="16">
        <f t="shared" si="1"/>
        <v>0</v>
      </c>
    </row>
    <row r="24" spans="1:35" ht="20.100000000000001" customHeight="1"/>
    <row r="25" spans="1:35" s="6" customFormat="1" ht="20.100000000000001" customHeight="1">
      <c r="A25" s="88" t="s">
        <v>6</v>
      </c>
      <c r="B25" s="67">
        <v>1</v>
      </c>
      <c r="C25" s="67">
        <v>2</v>
      </c>
      <c r="D25" s="67">
        <v>3</v>
      </c>
      <c r="E25" s="67">
        <v>4</v>
      </c>
      <c r="F25" s="67">
        <v>5</v>
      </c>
      <c r="G25" s="67">
        <v>6</v>
      </c>
      <c r="H25" s="67">
        <v>7</v>
      </c>
      <c r="I25" s="67">
        <v>8</v>
      </c>
      <c r="J25" s="67">
        <v>9</v>
      </c>
      <c r="K25" s="67">
        <v>10</v>
      </c>
      <c r="L25" s="67">
        <v>11</v>
      </c>
      <c r="M25" s="67">
        <v>12</v>
      </c>
      <c r="N25" s="67">
        <v>13</v>
      </c>
      <c r="O25" s="67">
        <v>14</v>
      </c>
      <c r="P25" s="67">
        <v>15</v>
      </c>
      <c r="Q25" s="67">
        <v>16</v>
      </c>
      <c r="R25" s="67">
        <v>17</v>
      </c>
      <c r="S25" s="67">
        <v>18</v>
      </c>
      <c r="T25" s="67">
        <v>19</v>
      </c>
      <c r="U25" s="67">
        <v>20</v>
      </c>
      <c r="V25" s="67">
        <v>21</v>
      </c>
      <c r="W25" s="67">
        <v>22</v>
      </c>
      <c r="X25" s="67">
        <v>23</v>
      </c>
      <c r="Y25" s="67">
        <v>24</v>
      </c>
      <c r="Z25" s="67">
        <v>25</v>
      </c>
      <c r="AA25" s="67">
        <v>26</v>
      </c>
      <c r="AB25" s="67">
        <v>27</v>
      </c>
      <c r="AC25" s="67">
        <v>28</v>
      </c>
      <c r="AD25" s="67">
        <v>29</v>
      </c>
      <c r="AH25" s="93" t="s">
        <v>18</v>
      </c>
      <c r="AI25" s="93" t="s">
        <v>19</v>
      </c>
    </row>
    <row r="26" spans="1:35" ht="20.100000000000001" customHeight="1">
      <c r="A26" s="95"/>
      <c r="B26" s="68" t="str">
        <f>'2020'!B12</f>
        <v>Szo</v>
      </c>
      <c r="C26" s="68" t="str">
        <f>'2020'!C12</f>
        <v>V</v>
      </c>
      <c r="D26" s="68" t="str">
        <f>'2020'!D12</f>
        <v>H</v>
      </c>
      <c r="E26" s="68" t="str">
        <f>'2020'!E12</f>
        <v>K</v>
      </c>
      <c r="F26" s="68" t="str">
        <f>'2020'!F12</f>
        <v>Sze</v>
      </c>
      <c r="G26" s="68" t="str">
        <f>'2020'!G12</f>
        <v>Cs</v>
      </c>
      <c r="H26" s="68" t="str">
        <f>'2020'!H12</f>
        <v>P</v>
      </c>
      <c r="I26" s="68" t="str">
        <f>'2020'!I12</f>
        <v>Szo</v>
      </c>
      <c r="J26" s="68" t="str">
        <f>'2020'!J12</f>
        <v>V</v>
      </c>
      <c r="K26" s="68" t="str">
        <f>'2020'!K12</f>
        <v>H</v>
      </c>
      <c r="L26" s="68" t="str">
        <f>'2020'!L12</f>
        <v>K</v>
      </c>
      <c r="M26" s="68" t="str">
        <f>'2020'!M12</f>
        <v>Sze</v>
      </c>
      <c r="N26" s="68" t="str">
        <f>'2020'!N12</f>
        <v>Cs</v>
      </c>
      <c r="O26" s="68" t="str">
        <f>'2020'!O12</f>
        <v>P</v>
      </c>
      <c r="P26" s="68" t="str">
        <f>'2020'!P12</f>
        <v>Szo</v>
      </c>
      <c r="Q26" s="68" t="str">
        <f>'2020'!Q12</f>
        <v>V</v>
      </c>
      <c r="R26" s="68" t="str">
        <f>'2020'!R12</f>
        <v>H</v>
      </c>
      <c r="S26" s="68" t="str">
        <f>'2020'!S12</f>
        <v>K</v>
      </c>
      <c r="T26" s="68" t="str">
        <f>'2020'!T12</f>
        <v>Sze</v>
      </c>
      <c r="U26" s="68" t="str">
        <f>'2020'!U12</f>
        <v>Cs</v>
      </c>
      <c r="V26" s="68" t="str">
        <f>'2020'!V12</f>
        <v>P</v>
      </c>
      <c r="W26" s="68" t="str">
        <f>'2020'!W12</f>
        <v>Szo</v>
      </c>
      <c r="X26" s="68" t="str">
        <f>'2020'!X12</f>
        <v>V</v>
      </c>
      <c r="Y26" s="68" t="str">
        <f>'2020'!Y12</f>
        <v>H</v>
      </c>
      <c r="Z26" s="68" t="str">
        <f>'2020'!Z12</f>
        <v>K</v>
      </c>
      <c r="AA26" s="68" t="str">
        <f>'2020'!AA12</f>
        <v>Sze</v>
      </c>
      <c r="AB26" s="68" t="str">
        <f>'2020'!AB12</f>
        <v>Cs</v>
      </c>
      <c r="AC26" s="68" t="str">
        <f>'2020'!AC12</f>
        <v>P</v>
      </c>
      <c r="AD26" s="68" t="str">
        <f>'2020'!AD12</f>
        <v>Szo</v>
      </c>
      <c r="AE26" s="1"/>
      <c r="AF26" s="1"/>
      <c r="AH26" s="94"/>
      <c r="AI26" s="94"/>
    </row>
    <row r="27" spans="1:35" ht="20.100000000000001" customHeight="1">
      <c r="A27" s="95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1"/>
      <c r="AF27" s="1"/>
      <c r="AH27" s="94"/>
      <c r="AI27" s="94"/>
    </row>
    <row r="28" spans="1:35" ht="20.100000000000001" customHeight="1">
      <c r="A28" s="18" t="str">
        <f>ÖSSZES!$A$95</f>
        <v>Kovács Kriszitán</v>
      </c>
      <c r="B28" s="71" t="s">
        <v>2</v>
      </c>
      <c r="C28" s="71" t="s">
        <v>2</v>
      </c>
      <c r="D28" s="72"/>
      <c r="E28" s="72"/>
      <c r="F28" s="72"/>
      <c r="G28" s="72"/>
      <c r="H28" s="72"/>
      <c r="I28" s="71" t="s">
        <v>2</v>
      </c>
      <c r="J28" s="71" t="s">
        <v>2</v>
      </c>
      <c r="K28" s="72"/>
      <c r="L28" s="72"/>
      <c r="M28" s="72"/>
      <c r="N28" s="72"/>
      <c r="O28" s="72"/>
      <c r="P28" s="71" t="s">
        <v>2</v>
      </c>
      <c r="Q28" s="71" t="s">
        <v>2</v>
      </c>
      <c r="R28" s="72"/>
      <c r="S28" s="72"/>
      <c r="T28" s="72"/>
      <c r="U28" s="72"/>
      <c r="V28" s="72"/>
      <c r="W28" s="71" t="s">
        <v>2</v>
      </c>
      <c r="X28" s="71" t="s">
        <v>2</v>
      </c>
      <c r="Y28" s="72"/>
      <c r="Z28" s="72"/>
      <c r="AA28" s="72"/>
      <c r="AB28" s="72"/>
      <c r="AC28" s="72"/>
      <c r="AD28" s="71" t="s">
        <v>2</v>
      </c>
      <c r="AE28" s="1"/>
      <c r="AF28" s="1"/>
      <c r="AH28" s="16">
        <f>1*COUNTIF(A28:AF28,"+")</f>
        <v>0</v>
      </c>
      <c r="AI28" s="16">
        <f t="shared" ref="AI28" si="2">1*COUNTIF(B28:AF28,"szf")</f>
        <v>0</v>
      </c>
    </row>
    <row r="29" spans="1:35" ht="20.100000000000001" customHeight="1">
      <c r="A29" s="18" t="str">
        <f>ÖSSZES!$A$96</f>
        <v>Besse Éva</v>
      </c>
      <c r="B29" s="71" t="s">
        <v>2</v>
      </c>
      <c r="C29" s="71" t="s">
        <v>2</v>
      </c>
      <c r="D29" s="72"/>
      <c r="E29" s="72"/>
      <c r="F29" s="72"/>
      <c r="G29" s="72"/>
      <c r="H29" s="72"/>
      <c r="I29" s="71" t="s">
        <v>2</v>
      </c>
      <c r="J29" s="71" t="s">
        <v>2</v>
      </c>
      <c r="K29" s="72"/>
      <c r="L29" s="72"/>
      <c r="M29" s="72"/>
      <c r="N29" s="72"/>
      <c r="O29" s="72"/>
      <c r="P29" s="71" t="s">
        <v>2</v>
      </c>
      <c r="Q29" s="71" t="s">
        <v>2</v>
      </c>
      <c r="R29" s="72"/>
      <c r="S29" s="72"/>
      <c r="T29" s="72"/>
      <c r="U29" s="72"/>
      <c r="V29" s="72" t="s">
        <v>116</v>
      </c>
      <c r="W29" s="71" t="s">
        <v>2</v>
      </c>
      <c r="X29" s="71" t="s">
        <v>2</v>
      </c>
      <c r="Y29" s="72" t="s">
        <v>116</v>
      </c>
      <c r="Z29" s="72" t="s">
        <v>116</v>
      </c>
      <c r="AA29" s="72"/>
      <c r="AB29" s="72"/>
      <c r="AC29" s="72"/>
      <c r="AD29" s="71" t="s">
        <v>2</v>
      </c>
      <c r="AE29" s="1"/>
      <c r="AF29" s="1"/>
      <c r="AH29" s="16">
        <f t="shared" ref="AH29:AH47" si="3">1*COUNTIF(A29:AF29,"+")</f>
        <v>0</v>
      </c>
      <c r="AI29" s="16">
        <f t="shared" ref="AI29:AI47" si="4">1*COUNTIF(B29:AF29,"szf")</f>
        <v>0</v>
      </c>
    </row>
    <row r="30" spans="1:35" ht="20.100000000000001" customHeight="1">
      <c r="A30" s="18" t="str">
        <f>ÖSSZES!$A$97</f>
        <v>Oláh Erika</v>
      </c>
      <c r="B30" s="71" t="s">
        <v>2</v>
      </c>
      <c r="C30" s="71" t="s">
        <v>2</v>
      </c>
      <c r="D30" s="72"/>
      <c r="E30" s="72"/>
      <c r="F30" s="72"/>
      <c r="G30" s="72"/>
      <c r="H30" s="72"/>
      <c r="I30" s="71" t="s">
        <v>2</v>
      </c>
      <c r="J30" s="71" t="s">
        <v>2</v>
      </c>
      <c r="K30" s="72"/>
      <c r="L30" s="72"/>
      <c r="M30" s="72"/>
      <c r="N30" s="72"/>
      <c r="O30" s="72"/>
      <c r="P30" s="71" t="s">
        <v>2</v>
      </c>
      <c r="Q30" s="71" t="s">
        <v>2</v>
      </c>
      <c r="R30" s="72"/>
      <c r="S30" s="72"/>
      <c r="T30" s="72"/>
      <c r="U30" s="72"/>
      <c r="V30" s="72"/>
      <c r="W30" s="71" t="s">
        <v>2</v>
      </c>
      <c r="X30" s="71" t="s">
        <v>2</v>
      </c>
      <c r="Y30" s="72"/>
      <c r="Z30" s="72" t="s">
        <v>20</v>
      </c>
      <c r="AA30" s="72"/>
      <c r="AB30" s="72"/>
      <c r="AC30" s="72"/>
      <c r="AD30" s="71" t="s">
        <v>2</v>
      </c>
      <c r="AE30" s="1"/>
      <c r="AF30" s="1"/>
      <c r="AH30" s="16">
        <f t="shared" si="3"/>
        <v>0</v>
      </c>
      <c r="AI30" s="16">
        <f t="shared" si="4"/>
        <v>1</v>
      </c>
    </row>
    <row r="31" spans="1:35" ht="20.100000000000001" customHeight="1">
      <c r="A31" s="18" t="str">
        <f>ÖSSZES!$A$98</f>
        <v>Bulyáki Csaba</v>
      </c>
      <c r="B31" s="71" t="s">
        <v>2</v>
      </c>
      <c r="C31" s="71" t="s">
        <v>2</v>
      </c>
      <c r="D31" s="72"/>
      <c r="E31" s="72"/>
      <c r="F31" s="72"/>
      <c r="G31" s="72"/>
      <c r="H31" s="72"/>
      <c r="I31" s="71" t="s">
        <v>2</v>
      </c>
      <c r="J31" s="71" t="s">
        <v>2</v>
      </c>
      <c r="K31" s="72"/>
      <c r="L31" s="72"/>
      <c r="M31" s="72"/>
      <c r="N31" s="72"/>
      <c r="O31" s="72"/>
      <c r="P31" s="71" t="s">
        <v>2</v>
      </c>
      <c r="Q31" s="71" t="s">
        <v>2</v>
      </c>
      <c r="R31" s="72"/>
      <c r="S31" s="72"/>
      <c r="T31" s="72"/>
      <c r="U31" s="72" t="s">
        <v>20</v>
      </c>
      <c r="V31" s="72" t="s">
        <v>20</v>
      </c>
      <c r="W31" s="71" t="s">
        <v>2</v>
      </c>
      <c r="X31" s="71" t="s">
        <v>2</v>
      </c>
      <c r="Y31" s="72"/>
      <c r="Z31" s="72"/>
      <c r="AA31" s="72"/>
      <c r="AB31" s="72"/>
      <c r="AC31" s="72"/>
      <c r="AD31" s="71" t="s">
        <v>2</v>
      </c>
      <c r="AE31" s="1"/>
      <c r="AF31" s="1"/>
      <c r="AH31" s="16">
        <f t="shared" si="3"/>
        <v>0</v>
      </c>
      <c r="AI31" s="16">
        <f t="shared" si="4"/>
        <v>2</v>
      </c>
    </row>
    <row r="32" spans="1:35" ht="20.100000000000001" customHeight="1">
      <c r="A32" s="18" t="str">
        <f>ÖSSZES!$A$99</f>
        <v>Fekete Tamás</v>
      </c>
      <c r="B32" s="71" t="s">
        <v>2</v>
      </c>
      <c r="C32" s="71" t="s">
        <v>2</v>
      </c>
      <c r="D32" s="72"/>
      <c r="E32" s="72"/>
      <c r="F32" s="72"/>
      <c r="G32" s="72"/>
      <c r="H32" s="72"/>
      <c r="I32" s="71" t="s">
        <v>2</v>
      </c>
      <c r="J32" s="71" t="s">
        <v>2</v>
      </c>
      <c r="K32" s="72"/>
      <c r="L32" s="72"/>
      <c r="M32" s="72"/>
      <c r="N32" s="72"/>
      <c r="O32" s="72"/>
      <c r="P32" s="71" t="s">
        <v>2</v>
      </c>
      <c r="Q32" s="71" t="s">
        <v>2</v>
      </c>
      <c r="R32" s="72"/>
      <c r="S32" s="72"/>
      <c r="T32" s="72"/>
      <c r="U32" s="72"/>
      <c r="V32" s="72"/>
      <c r="W32" s="71" t="s">
        <v>2</v>
      </c>
      <c r="X32" s="71" t="s">
        <v>2</v>
      </c>
      <c r="Y32" s="72"/>
      <c r="Z32" s="72"/>
      <c r="AA32" s="72"/>
      <c r="AB32" s="72"/>
      <c r="AC32" s="72" t="s">
        <v>20</v>
      </c>
      <c r="AD32" s="71" t="s">
        <v>2</v>
      </c>
      <c r="AE32" s="1"/>
      <c r="AF32" s="1"/>
      <c r="AH32" s="16">
        <f t="shared" si="3"/>
        <v>0</v>
      </c>
      <c r="AI32" s="16">
        <f t="shared" si="4"/>
        <v>1</v>
      </c>
    </row>
    <row r="33" spans="1:35" ht="20.100000000000001" hidden="1" customHeight="1">
      <c r="A33" s="18" t="str">
        <f>ÖSSZES!$A$100</f>
        <v>Péter Csaba</v>
      </c>
      <c r="B33" s="71" t="s">
        <v>2</v>
      </c>
      <c r="C33" s="71" t="s">
        <v>2</v>
      </c>
      <c r="D33" s="72"/>
      <c r="E33" s="72"/>
      <c r="F33" s="72"/>
      <c r="G33" s="72"/>
      <c r="H33" s="72"/>
      <c r="I33" s="71" t="s">
        <v>2</v>
      </c>
      <c r="J33" s="71" t="s">
        <v>2</v>
      </c>
      <c r="K33" s="72"/>
      <c r="L33" s="72"/>
      <c r="M33" s="72"/>
      <c r="N33" s="72"/>
      <c r="O33" s="72"/>
      <c r="P33" s="71" t="s">
        <v>2</v>
      </c>
      <c r="Q33" s="71" t="s">
        <v>2</v>
      </c>
      <c r="R33" s="72"/>
      <c r="S33" s="72"/>
      <c r="T33" s="72"/>
      <c r="U33" s="72"/>
      <c r="V33" s="72"/>
      <c r="W33" s="71" t="s">
        <v>2</v>
      </c>
      <c r="X33" s="71" t="s">
        <v>2</v>
      </c>
      <c r="Y33" s="72"/>
      <c r="Z33" s="72"/>
      <c r="AA33" s="72"/>
      <c r="AB33" s="72"/>
      <c r="AC33" s="72"/>
      <c r="AD33" s="71" t="s">
        <v>2</v>
      </c>
      <c r="AE33" s="1"/>
      <c r="AF33" s="1"/>
      <c r="AH33" s="16">
        <f t="shared" si="3"/>
        <v>0</v>
      </c>
      <c r="AI33" s="16">
        <f t="shared" si="4"/>
        <v>0</v>
      </c>
    </row>
    <row r="34" spans="1:35" ht="20.100000000000001" customHeight="1">
      <c r="A34" s="18" t="str">
        <f>ÖSSZES!$A$101</f>
        <v>Tóth János</v>
      </c>
      <c r="B34" s="71" t="s">
        <v>2</v>
      </c>
      <c r="C34" s="71" t="s">
        <v>2</v>
      </c>
      <c r="D34" s="72"/>
      <c r="E34" s="72"/>
      <c r="F34" s="72"/>
      <c r="G34" s="72"/>
      <c r="H34" s="72"/>
      <c r="I34" s="71" t="s">
        <v>2</v>
      </c>
      <c r="J34" s="71" t="s">
        <v>2</v>
      </c>
      <c r="K34" s="72"/>
      <c r="L34" s="72"/>
      <c r="M34" s="72"/>
      <c r="N34" s="72"/>
      <c r="O34" s="72"/>
      <c r="P34" s="71" t="s">
        <v>2</v>
      </c>
      <c r="Q34" s="71" t="s">
        <v>2</v>
      </c>
      <c r="R34" s="72"/>
      <c r="S34" s="72"/>
      <c r="T34" s="72"/>
      <c r="U34" s="72"/>
      <c r="V34" s="72"/>
      <c r="W34" s="71" t="s">
        <v>2</v>
      </c>
      <c r="X34" s="71" t="s">
        <v>2</v>
      </c>
      <c r="Y34" s="72"/>
      <c r="Z34" s="72"/>
      <c r="AA34" s="72"/>
      <c r="AB34" s="72"/>
      <c r="AC34" s="72"/>
      <c r="AD34" s="71" t="s">
        <v>2</v>
      </c>
      <c r="AE34" s="1"/>
      <c r="AF34" s="1"/>
      <c r="AH34" s="16">
        <f t="shared" si="3"/>
        <v>0</v>
      </c>
      <c r="AI34" s="16">
        <f t="shared" si="4"/>
        <v>0</v>
      </c>
    </row>
    <row r="35" spans="1:35" ht="20.100000000000001" customHeight="1">
      <c r="A35" s="18" t="str">
        <f>ÖSSZES!$A$102</f>
        <v>Tóth Krisztián</v>
      </c>
      <c r="B35" s="71" t="s">
        <v>2</v>
      </c>
      <c r="C35" s="71" t="s">
        <v>2</v>
      </c>
      <c r="D35" s="72"/>
      <c r="E35" s="72"/>
      <c r="F35" s="72"/>
      <c r="G35" s="72"/>
      <c r="H35" s="72"/>
      <c r="I35" s="71" t="s">
        <v>2</v>
      </c>
      <c r="J35" s="71" t="s">
        <v>2</v>
      </c>
      <c r="K35" s="72"/>
      <c r="L35" s="72"/>
      <c r="M35" s="72"/>
      <c r="N35" s="72"/>
      <c r="O35" s="72" t="s">
        <v>118</v>
      </c>
      <c r="P35" s="71" t="s">
        <v>2</v>
      </c>
      <c r="Q35" s="71" t="s">
        <v>2</v>
      </c>
      <c r="R35" s="72"/>
      <c r="S35" s="72"/>
      <c r="T35" s="72"/>
      <c r="U35" s="72"/>
      <c r="V35" s="72"/>
      <c r="W35" s="71" t="s">
        <v>2</v>
      </c>
      <c r="X35" s="71" t="s">
        <v>2</v>
      </c>
      <c r="Y35" s="72"/>
      <c r="Z35" s="72"/>
      <c r="AA35" s="72"/>
      <c r="AB35" s="72"/>
      <c r="AC35" s="72"/>
      <c r="AD35" s="71" t="s">
        <v>2</v>
      </c>
      <c r="AE35" s="1"/>
      <c r="AF35" s="1"/>
      <c r="AH35" s="16">
        <f t="shared" si="3"/>
        <v>0</v>
      </c>
      <c r="AI35" s="16">
        <f t="shared" si="4"/>
        <v>0</v>
      </c>
    </row>
    <row r="36" spans="1:35" ht="20.100000000000001" customHeight="1">
      <c r="A36" s="18" t="str">
        <f>ÖSSZES!$A$103</f>
        <v>Tassi Szilárd</v>
      </c>
      <c r="B36" s="71" t="s">
        <v>2</v>
      </c>
      <c r="C36" s="71" t="s">
        <v>2</v>
      </c>
      <c r="D36" s="72"/>
      <c r="E36" s="72"/>
      <c r="F36" s="72"/>
      <c r="G36" s="72"/>
      <c r="H36" s="72"/>
      <c r="I36" s="71" t="s">
        <v>2</v>
      </c>
      <c r="J36" s="71" t="s">
        <v>2</v>
      </c>
      <c r="K36" s="72"/>
      <c r="L36" s="72"/>
      <c r="M36" s="72"/>
      <c r="N36" s="72"/>
      <c r="O36" s="72"/>
      <c r="P36" s="71" t="s">
        <v>2</v>
      </c>
      <c r="Q36" s="71" t="s">
        <v>2</v>
      </c>
      <c r="R36" s="72"/>
      <c r="S36" s="72"/>
      <c r="T36" s="72" t="s">
        <v>116</v>
      </c>
      <c r="U36" s="72" t="s">
        <v>116</v>
      </c>
      <c r="V36" s="72" t="s">
        <v>116</v>
      </c>
      <c r="W36" s="71" t="s">
        <v>2</v>
      </c>
      <c r="X36" s="71" t="s">
        <v>2</v>
      </c>
      <c r="Y36" s="72"/>
      <c r="Z36" s="72"/>
      <c r="AA36" s="72"/>
      <c r="AB36" s="72"/>
      <c r="AC36" s="72"/>
      <c r="AD36" s="71" t="s">
        <v>2</v>
      </c>
      <c r="AE36" s="1"/>
      <c r="AF36" s="1"/>
      <c r="AH36" s="16">
        <f t="shared" si="3"/>
        <v>0</v>
      </c>
      <c r="AI36" s="16">
        <f t="shared" si="4"/>
        <v>0</v>
      </c>
    </row>
    <row r="37" spans="1:35" ht="20.100000000000001" customHeight="1">
      <c r="A37" s="18" t="str">
        <f>ÖSSZES!$A$104</f>
        <v>Dancsi Attila</v>
      </c>
      <c r="B37" s="71" t="s">
        <v>2</v>
      </c>
      <c r="C37" s="71" t="s">
        <v>2</v>
      </c>
      <c r="D37" s="72"/>
      <c r="E37" s="72"/>
      <c r="F37" s="72"/>
      <c r="G37" s="72"/>
      <c r="H37" s="72"/>
      <c r="I37" s="71" t="s">
        <v>2</v>
      </c>
      <c r="J37" s="71" t="s">
        <v>2</v>
      </c>
      <c r="K37" s="72"/>
      <c r="L37" s="72"/>
      <c r="M37" s="72"/>
      <c r="N37" s="72"/>
      <c r="O37" s="72"/>
      <c r="P37" s="71" t="s">
        <v>2</v>
      </c>
      <c r="Q37" s="71" t="s">
        <v>2</v>
      </c>
      <c r="R37" s="72"/>
      <c r="S37" s="72"/>
      <c r="T37" s="72"/>
      <c r="U37" s="72"/>
      <c r="V37" s="72"/>
      <c r="W37" s="71" t="s">
        <v>2</v>
      </c>
      <c r="X37" s="71" t="s">
        <v>2</v>
      </c>
      <c r="Y37" s="72"/>
      <c r="Z37" s="72"/>
      <c r="AA37" s="72"/>
      <c r="AB37" s="72"/>
      <c r="AC37" s="72"/>
      <c r="AD37" s="71" t="s">
        <v>2</v>
      </c>
      <c r="AE37" s="1"/>
      <c r="AF37" s="1"/>
      <c r="AH37" s="16">
        <f t="shared" si="3"/>
        <v>0</v>
      </c>
      <c r="AI37" s="16">
        <f t="shared" si="4"/>
        <v>0</v>
      </c>
    </row>
    <row r="38" spans="1:35" ht="20.100000000000001" hidden="1" customHeight="1">
      <c r="A38" s="18" t="str">
        <f>ÖSSZES!$A$105</f>
        <v>Iványi Roland</v>
      </c>
      <c r="B38" s="58" t="s">
        <v>2</v>
      </c>
      <c r="C38" s="58" t="s">
        <v>2</v>
      </c>
      <c r="D38" s="33"/>
      <c r="E38" s="33"/>
      <c r="F38" s="33"/>
      <c r="G38" s="33"/>
      <c r="H38" s="33"/>
      <c r="I38" s="58" t="s">
        <v>2</v>
      </c>
      <c r="J38" s="58" t="s">
        <v>2</v>
      </c>
      <c r="K38" s="33"/>
      <c r="L38" s="33"/>
      <c r="M38" s="33"/>
      <c r="N38" s="33"/>
      <c r="O38" s="33"/>
      <c r="P38" s="58" t="s">
        <v>2</v>
      </c>
      <c r="Q38" s="58" t="s">
        <v>2</v>
      </c>
      <c r="R38" s="33"/>
      <c r="S38" s="33"/>
      <c r="T38" s="33"/>
      <c r="U38" s="33"/>
      <c r="V38" s="33"/>
      <c r="W38" s="58" t="s">
        <v>2</v>
      </c>
      <c r="X38" s="58" t="s">
        <v>2</v>
      </c>
      <c r="Y38" s="33"/>
      <c r="Z38" s="33"/>
      <c r="AA38" s="33"/>
      <c r="AB38" s="33"/>
      <c r="AC38" s="33"/>
      <c r="AD38" s="58" t="s">
        <v>2</v>
      </c>
      <c r="AE38" s="1"/>
      <c r="AF38" s="1"/>
      <c r="AH38" s="16">
        <f t="shared" si="3"/>
        <v>0</v>
      </c>
      <c r="AI38" s="16">
        <f t="shared" si="4"/>
        <v>0</v>
      </c>
    </row>
    <row r="39" spans="1:35" ht="20.100000000000001" hidden="1" customHeight="1">
      <c r="A39" s="18" t="str">
        <f>ÖSSZES!$A$106</f>
        <v>Név12</v>
      </c>
      <c r="B39" s="58" t="s">
        <v>2</v>
      </c>
      <c r="C39" s="58" t="s">
        <v>2</v>
      </c>
      <c r="D39" s="33"/>
      <c r="E39" s="33"/>
      <c r="F39" s="33"/>
      <c r="G39" s="33"/>
      <c r="H39" s="33"/>
      <c r="I39" s="58" t="s">
        <v>2</v>
      </c>
      <c r="J39" s="58" t="s">
        <v>2</v>
      </c>
      <c r="K39" s="33"/>
      <c r="L39" s="33"/>
      <c r="M39" s="33"/>
      <c r="N39" s="33"/>
      <c r="O39" s="33"/>
      <c r="P39" s="58" t="s">
        <v>2</v>
      </c>
      <c r="Q39" s="58" t="s">
        <v>2</v>
      </c>
      <c r="R39" s="33"/>
      <c r="S39" s="33"/>
      <c r="T39" s="33"/>
      <c r="U39" s="33"/>
      <c r="V39" s="33"/>
      <c r="W39" s="58" t="s">
        <v>2</v>
      </c>
      <c r="X39" s="58" t="s">
        <v>2</v>
      </c>
      <c r="Y39" s="33"/>
      <c r="Z39" s="33"/>
      <c r="AA39" s="33"/>
      <c r="AB39" s="33"/>
      <c r="AC39" s="33"/>
      <c r="AD39" s="58" t="s">
        <v>2</v>
      </c>
      <c r="AE39" s="1"/>
      <c r="AF39" s="1"/>
      <c r="AH39" s="16">
        <f t="shared" si="3"/>
        <v>0</v>
      </c>
      <c r="AI39" s="16">
        <f t="shared" si="4"/>
        <v>0</v>
      </c>
    </row>
    <row r="40" spans="1:35" ht="20.100000000000001" hidden="1" customHeight="1">
      <c r="A40" s="18" t="str">
        <f>ÖSSZES!$A$107</f>
        <v>Név13</v>
      </c>
      <c r="B40" s="58" t="s">
        <v>2</v>
      </c>
      <c r="C40" s="58" t="s">
        <v>2</v>
      </c>
      <c r="D40" s="33"/>
      <c r="E40" s="33"/>
      <c r="F40" s="33"/>
      <c r="G40" s="33"/>
      <c r="H40" s="33"/>
      <c r="I40" s="58" t="s">
        <v>2</v>
      </c>
      <c r="J40" s="58" t="s">
        <v>2</v>
      </c>
      <c r="K40" s="33"/>
      <c r="L40" s="33"/>
      <c r="M40" s="33"/>
      <c r="N40" s="33"/>
      <c r="O40" s="33"/>
      <c r="P40" s="58" t="s">
        <v>2</v>
      </c>
      <c r="Q40" s="58" t="s">
        <v>2</v>
      </c>
      <c r="R40" s="33"/>
      <c r="S40" s="33"/>
      <c r="T40" s="33"/>
      <c r="U40" s="33"/>
      <c r="V40" s="33"/>
      <c r="W40" s="58" t="s">
        <v>2</v>
      </c>
      <c r="X40" s="58" t="s">
        <v>2</v>
      </c>
      <c r="Y40" s="33"/>
      <c r="Z40" s="33"/>
      <c r="AA40" s="33"/>
      <c r="AB40" s="33"/>
      <c r="AC40" s="33"/>
      <c r="AD40" s="58" t="s">
        <v>2</v>
      </c>
      <c r="AE40" s="1"/>
      <c r="AF40" s="1"/>
      <c r="AH40" s="16">
        <f t="shared" si="3"/>
        <v>0</v>
      </c>
      <c r="AI40" s="16">
        <f t="shared" si="4"/>
        <v>0</v>
      </c>
    </row>
    <row r="41" spans="1:35" ht="20.100000000000001" hidden="1" customHeight="1">
      <c r="A41" s="18" t="str">
        <f>ÖSSZES!$A$108</f>
        <v>Név14</v>
      </c>
      <c r="B41" s="58" t="s">
        <v>2</v>
      </c>
      <c r="C41" s="58" t="s">
        <v>2</v>
      </c>
      <c r="D41" s="33"/>
      <c r="E41" s="33"/>
      <c r="F41" s="33"/>
      <c r="G41" s="33"/>
      <c r="H41" s="33"/>
      <c r="I41" s="58" t="s">
        <v>2</v>
      </c>
      <c r="J41" s="58" t="s">
        <v>2</v>
      </c>
      <c r="K41" s="33"/>
      <c r="L41" s="33"/>
      <c r="M41" s="33"/>
      <c r="N41" s="33"/>
      <c r="O41" s="33"/>
      <c r="P41" s="58" t="s">
        <v>2</v>
      </c>
      <c r="Q41" s="58" t="s">
        <v>2</v>
      </c>
      <c r="R41" s="33"/>
      <c r="S41" s="33"/>
      <c r="T41" s="33"/>
      <c r="U41" s="33"/>
      <c r="V41" s="33"/>
      <c r="W41" s="58" t="s">
        <v>2</v>
      </c>
      <c r="X41" s="58" t="s">
        <v>2</v>
      </c>
      <c r="Y41" s="33"/>
      <c r="Z41" s="33"/>
      <c r="AA41" s="33"/>
      <c r="AB41" s="33"/>
      <c r="AC41" s="33"/>
      <c r="AD41" s="58" t="s">
        <v>2</v>
      </c>
      <c r="AE41" s="1"/>
      <c r="AF41" s="1"/>
      <c r="AH41" s="16">
        <f t="shared" si="3"/>
        <v>0</v>
      </c>
      <c r="AI41" s="16">
        <f t="shared" si="4"/>
        <v>0</v>
      </c>
    </row>
    <row r="42" spans="1:35" ht="20.100000000000001" hidden="1" customHeight="1">
      <c r="A42" s="18" t="str">
        <f>ÖSSZES!$A$109</f>
        <v>Név15</v>
      </c>
      <c r="B42" s="58" t="s">
        <v>2</v>
      </c>
      <c r="C42" s="58" t="s">
        <v>2</v>
      </c>
      <c r="D42" s="33"/>
      <c r="E42" s="33"/>
      <c r="F42" s="33"/>
      <c r="G42" s="33"/>
      <c r="H42" s="33"/>
      <c r="I42" s="58" t="s">
        <v>2</v>
      </c>
      <c r="J42" s="58" t="s">
        <v>2</v>
      </c>
      <c r="K42" s="33"/>
      <c r="L42" s="33"/>
      <c r="M42" s="33"/>
      <c r="N42" s="33"/>
      <c r="O42" s="33"/>
      <c r="P42" s="58" t="s">
        <v>2</v>
      </c>
      <c r="Q42" s="58" t="s">
        <v>2</v>
      </c>
      <c r="R42" s="33"/>
      <c r="S42" s="33"/>
      <c r="T42" s="33"/>
      <c r="U42" s="33"/>
      <c r="V42" s="33"/>
      <c r="W42" s="58" t="s">
        <v>2</v>
      </c>
      <c r="X42" s="58" t="s">
        <v>2</v>
      </c>
      <c r="Y42" s="33"/>
      <c r="Z42" s="33"/>
      <c r="AA42" s="33"/>
      <c r="AB42" s="33"/>
      <c r="AC42" s="33"/>
      <c r="AD42" s="58" t="s">
        <v>2</v>
      </c>
      <c r="AE42" s="1"/>
      <c r="AF42" s="1"/>
      <c r="AH42" s="16">
        <f t="shared" si="3"/>
        <v>0</v>
      </c>
      <c r="AI42" s="16">
        <f t="shared" si="4"/>
        <v>0</v>
      </c>
    </row>
    <row r="43" spans="1:35" ht="20.100000000000001" hidden="1" customHeight="1">
      <c r="A43" s="18" t="str">
        <f>ÖSSZES!$A$110</f>
        <v>Név16</v>
      </c>
      <c r="B43" s="58" t="s">
        <v>2</v>
      </c>
      <c r="C43" s="58" t="s">
        <v>2</v>
      </c>
      <c r="D43" s="33"/>
      <c r="E43" s="33"/>
      <c r="F43" s="33"/>
      <c r="G43" s="33"/>
      <c r="H43" s="33"/>
      <c r="I43" s="58" t="s">
        <v>2</v>
      </c>
      <c r="J43" s="58" t="s">
        <v>2</v>
      </c>
      <c r="K43" s="33"/>
      <c r="L43" s="33"/>
      <c r="M43" s="33"/>
      <c r="N43" s="33"/>
      <c r="O43" s="33"/>
      <c r="P43" s="58" t="s">
        <v>2</v>
      </c>
      <c r="Q43" s="58" t="s">
        <v>2</v>
      </c>
      <c r="R43" s="33"/>
      <c r="S43" s="33"/>
      <c r="T43" s="33"/>
      <c r="U43" s="33"/>
      <c r="V43" s="33"/>
      <c r="W43" s="58" t="s">
        <v>2</v>
      </c>
      <c r="X43" s="58" t="s">
        <v>2</v>
      </c>
      <c r="Y43" s="33"/>
      <c r="Z43" s="33"/>
      <c r="AA43" s="33"/>
      <c r="AB43" s="33"/>
      <c r="AC43" s="33"/>
      <c r="AD43" s="58" t="s">
        <v>2</v>
      </c>
      <c r="AE43" s="1"/>
      <c r="AF43" s="1"/>
      <c r="AH43" s="16">
        <f t="shared" si="3"/>
        <v>0</v>
      </c>
      <c r="AI43" s="16">
        <f t="shared" si="4"/>
        <v>0</v>
      </c>
    </row>
    <row r="44" spans="1:35" ht="20.100000000000001" hidden="1" customHeight="1">
      <c r="A44" s="18" t="str">
        <f>ÖSSZES!$A$111</f>
        <v>Név17</v>
      </c>
      <c r="B44" s="58" t="s">
        <v>2</v>
      </c>
      <c r="C44" s="58" t="s">
        <v>2</v>
      </c>
      <c r="D44" s="33"/>
      <c r="E44" s="33"/>
      <c r="F44" s="33"/>
      <c r="G44" s="33"/>
      <c r="H44" s="33"/>
      <c r="I44" s="58" t="s">
        <v>2</v>
      </c>
      <c r="J44" s="58" t="s">
        <v>2</v>
      </c>
      <c r="K44" s="33"/>
      <c r="L44" s="33"/>
      <c r="M44" s="33"/>
      <c r="N44" s="33"/>
      <c r="O44" s="33"/>
      <c r="P44" s="58" t="s">
        <v>2</v>
      </c>
      <c r="Q44" s="58" t="s">
        <v>2</v>
      </c>
      <c r="R44" s="33"/>
      <c r="S44" s="33"/>
      <c r="T44" s="33"/>
      <c r="U44" s="33"/>
      <c r="V44" s="33"/>
      <c r="W44" s="58" t="s">
        <v>2</v>
      </c>
      <c r="X44" s="58" t="s">
        <v>2</v>
      </c>
      <c r="Y44" s="33"/>
      <c r="Z44" s="33"/>
      <c r="AA44" s="33"/>
      <c r="AB44" s="33"/>
      <c r="AC44" s="33"/>
      <c r="AD44" s="58" t="s">
        <v>2</v>
      </c>
      <c r="AE44" s="1"/>
      <c r="AF44" s="1"/>
      <c r="AH44" s="16">
        <f t="shared" si="3"/>
        <v>0</v>
      </c>
      <c r="AI44" s="16">
        <f t="shared" si="4"/>
        <v>0</v>
      </c>
    </row>
    <row r="45" spans="1:35" ht="20.100000000000001" hidden="1" customHeight="1">
      <c r="A45" s="18" t="str">
        <f>ÖSSZES!$A$112</f>
        <v>Név18</v>
      </c>
      <c r="B45" s="58" t="s">
        <v>2</v>
      </c>
      <c r="C45" s="58" t="s">
        <v>2</v>
      </c>
      <c r="D45" s="33"/>
      <c r="E45" s="33"/>
      <c r="F45" s="33"/>
      <c r="G45" s="33"/>
      <c r="H45" s="33"/>
      <c r="I45" s="58" t="s">
        <v>2</v>
      </c>
      <c r="J45" s="58" t="s">
        <v>2</v>
      </c>
      <c r="K45" s="33"/>
      <c r="L45" s="33"/>
      <c r="M45" s="33"/>
      <c r="N45" s="33"/>
      <c r="O45" s="33"/>
      <c r="P45" s="58" t="s">
        <v>2</v>
      </c>
      <c r="Q45" s="58" t="s">
        <v>2</v>
      </c>
      <c r="R45" s="33"/>
      <c r="S45" s="33"/>
      <c r="T45" s="33"/>
      <c r="U45" s="33"/>
      <c r="V45" s="33"/>
      <c r="W45" s="58" t="s">
        <v>2</v>
      </c>
      <c r="X45" s="58" t="s">
        <v>2</v>
      </c>
      <c r="Y45" s="33"/>
      <c r="Z45" s="33"/>
      <c r="AA45" s="33"/>
      <c r="AB45" s="33"/>
      <c r="AC45" s="33"/>
      <c r="AD45" s="58" t="s">
        <v>2</v>
      </c>
      <c r="AE45" s="1"/>
      <c r="AF45" s="1"/>
      <c r="AH45" s="16">
        <f t="shared" si="3"/>
        <v>0</v>
      </c>
      <c r="AI45" s="16">
        <f t="shared" si="4"/>
        <v>0</v>
      </c>
    </row>
    <row r="46" spans="1:35" ht="20.100000000000001" hidden="1" customHeight="1">
      <c r="A46" s="18" t="str">
        <f>ÖSSZES!$A$113</f>
        <v>Név19</v>
      </c>
      <c r="B46" s="58" t="s">
        <v>2</v>
      </c>
      <c r="C46" s="58" t="s">
        <v>2</v>
      </c>
      <c r="D46" s="33"/>
      <c r="E46" s="33"/>
      <c r="F46" s="33"/>
      <c r="G46" s="33"/>
      <c r="H46" s="33"/>
      <c r="I46" s="58" t="s">
        <v>2</v>
      </c>
      <c r="J46" s="58" t="s">
        <v>2</v>
      </c>
      <c r="K46" s="33"/>
      <c r="L46" s="33"/>
      <c r="M46" s="33"/>
      <c r="N46" s="33"/>
      <c r="O46" s="33"/>
      <c r="P46" s="58" t="s">
        <v>2</v>
      </c>
      <c r="Q46" s="58" t="s">
        <v>2</v>
      </c>
      <c r="R46" s="33"/>
      <c r="S46" s="33"/>
      <c r="T46" s="33"/>
      <c r="U46" s="33"/>
      <c r="V46" s="33"/>
      <c r="W46" s="58" t="s">
        <v>2</v>
      </c>
      <c r="X46" s="58" t="s">
        <v>2</v>
      </c>
      <c r="Y46" s="33"/>
      <c r="Z46" s="33"/>
      <c r="AA46" s="33"/>
      <c r="AB46" s="33"/>
      <c r="AC46" s="33"/>
      <c r="AD46" s="58" t="s">
        <v>2</v>
      </c>
      <c r="AE46" s="1"/>
      <c r="AF46" s="1"/>
      <c r="AH46" s="16">
        <f t="shared" si="3"/>
        <v>0</v>
      </c>
      <c r="AI46" s="16">
        <f t="shared" si="4"/>
        <v>0</v>
      </c>
    </row>
    <row r="47" spans="1:35" ht="20.100000000000001" hidden="1" customHeight="1">
      <c r="A47" s="18" t="str">
        <f>ÖSSZES!$A$114</f>
        <v>Név20</v>
      </c>
      <c r="B47" s="58" t="s">
        <v>2</v>
      </c>
      <c r="C47" s="58" t="s">
        <v>2</v>
      </c>
      <c r="D47" s="33"/>
      <c r="E47" s="33"/>
      <c r="F47" s="33"/>
      <c r="G47" s="33"/>
      <c r="H47" s="33"/>
      <c r="I47" s="58" t="s">
        <v>2</v>
      </c>
      <c r="J47" s="58" t="s">
        <v>2</v>
      </c>
      <c r="K47" s="33"/>
      <c r="L47" s="33"/>
      <c r="M47" s="33"/>
      <c r="N47" s="33"/>
      <c r="O47" s="33"/>
      <c r="P47" s="58" t="s">
        <v>2</v>
      </c>
      <c r="Q47" s="58" t="s">
        <v>2</v>
      </c>
      <c r="R47" s="33"/>
      <c r="S47" s="33"/>
      <c r="T47" s="33"/>
      <c r="U47" s="33"/>
      <c r="V47" s="33"/>
      <c r="W47" s="58" t="s">
        <v>2</v>
      </c>
      <c r="X47" s="58" t="s">
        <v>2</v>
      </c>
      <c r="Y47" s="33"/>
      <c r="Z47" s="33"/>
      <c r="AA47" s="33"/>
      <c r="AB47" s="33"/>
      <c r="AC47" s="33"/>
      <c r="AD47" s="58" t="s">
        <v>2</v>
      </c>
      <c r="AE47" s="1"/>
      <c r="AF47" s="1"/>
      <c r="AH47" s="16">
        <f t="shared" si="3"/>
        <v>0</v>
      </c>
      <c r="AI47" s="16">
        <f t="shared" si="4"/>
        <v>0</v>
      </c>
    </row>
    <row r="48" spans="1:35" ht="20.100000000000001" customHeight="1"/>
    <row r="49" spans="1:35" s="6" customFormat="1" ht="20.100000000000001" customHeight="1">
      <c r="A49" s="91" t="s">
        <v>7</v>
      </c>
      <c r="B49" s="17">
        <v>1</v>
      </c>
      <c r="C49" s="17">
        <v>2</v>
      </c>
      <c r="D49" s="17">
        <v>3</v>
      </c>
      <c r="E49" s="17">
        <v>4</v>
      </c>
      <c r="F49" s="17">
        <v>5</v>
      </c>
      <c r="G49" s="17">
        <v>6</v>
      </c>
      <c r="H49" s="17">
        <v>7</v>
      </c>
      <c r="I49" s="17">
        <v>8</v>
      </c>
      <c r="J49" s="17">
        <v>9</v>
      </c>
      <c r="K49" s="17">
        <v>10</v>
      </c>
      <c r="L49" s="17">
        <v>11</v>
      </c>
      <c r="M49" s="17">
        <v>12</v>
      </c>
      <c r="N49" s="17">
        <v>13</v>
      </c>
      <c r="O49" s="17">
        <v>14</v>
      </c>
      <c r="P49" s="32">
        <v>15</v>
      </c>
      <c r="Q49" s="17">
        <v>16</v>
      </c>
      <c r="R49" s="17">
        <v>17</v>
      </c>
      <c r="S49" s="17">
        <v>18</v>
      </c>
      <c r="T49" s="17">
        <v>19</v>
      </c>
      <c r="U49" s="17">
        <v>20</v>
      </c>
      <c r="V49" s="17">
        <v>21</v>
      </c>
      <c r="W49" s="17">
        <v>22</v>
      </c>
      <c r="X49" s="17">
        <v>23</v>
      </c>
      <c r="Y49" s="17">
        <v>24</v>
      </c>
      <c r="Z49" s="17">
        <v>25</v>
      </c>
      <c r="AA49" s="17">
        <v>26</v>
      </c>
      <c r="AB49" s="17">
        <v>27</v>
      </c>
      <c r="AC49" s="17">
        <v>28</v>
      </c>
      <c r="AD49" s="17">
        <v>29</v>
      </c>
      <c r="AE49" s="17">
        <v>30</v>
      </c>
      <c r="AF49" s="17">
        <v>31</v>
      </c>
      <c r="AH49" s="93" t="s">
        <v>18</v>
      </c>
      <c r="AI49" s="93" t="s">
        <v>19</v>
      </c>
    </row>
    <row r="50" spans="1:35" ht="20.100000000000001" customHeight="1">
      <c r="A50" s="96"/>
      <c r="B50" s="10" t="str">
        <f>'2020'!B20</f>
        <v>V</v>
      </c>
      <c r="C50" s="10" t="str">
        <f>'2020'!C20</f>
        <v>H</v>
      </c>
      <c r="D50" s="10" t="str">
        <f>'2020'!D20</f>
        <v>K</v>
      </c>
      <c r="E50" s="10" t="str">
        <f>'2020'!E20</f>
        <v>Sze</v>
      </c>
      <c r="F50" s="10" t="str">
        <f>'2020'!F20</f>
        <v>Cs</v>
      </c>
      <c r="G50" s="10" t="str">
        <f>'2020'!G20</f>
        <v>P</v>
      </c>
      <c r="H50" s="10" t="str">
        <f>'2020'!H20</f>
        <v>Szo</v>
      </c>
      <c r="I50" s="10" t="str">
        <f>'2020'!I20</f>
        <v>V</v>
      </c>
      <c r="J50" s="10" t="str">
        <f>'2020'!J20</f>
        <v>H</v>
      </c>
      <c r="K50" s="10" t="str">
        <f>'2020'!K20</f>
        <v>K</v>
      </c>
      <c r="L50" s="10" t="str">
        <f>'2020'!L20</f>
        <v>Sze</v>
      </c>
      <c r="M50" s="10" t="str">
        <f>'2020'!M20</f>
        <v>Cs</v>
      </c>
      <c r="N50" s="10" t="str">
        <f>'2020'!N20</f>
        <v>P</v>
      </c>
      <c r="O50" s="10" t="str">
        <f>'2020'!O20</f>
        <v>Szo</v>
      </c>
      <c r="P50" s="10" t="str">
        <f>'2020'!P20</f>
        <v>V</v>
      </c>
      <c r="Q50" s="10" t="str">
        <f>'2020'!Q20</f>
        <v>H</v>
      </c>
      <c r="R50" s="10" t="str">
        <f>'2020'!R20</f>
        <v>K</v>
      </c>
      <c r="S50" s="10" t="str">
        <f>'2020'!S20</f>
        <v>Sze</v>
      </c>
      <c r="T50" s="10" t="str">
        <f>'2020'!T20</f>
        <v>Cs</v>
      </c>
      <c r="U50" s="10" t="str">
        <f>'2020'!U20</f>
        <v>P</v>
      </c>
      <c r="V50" s="10" t="str">
        <f>'2020'!V20</f>
        <v>Szo</v>
      </c>
      <c r="W50" s="10" t="str">
        <f>'2020'!W20</f>
        <v>V</v>
      </c>
      <c r="X50" s="10" t="str">
        <f>'2020'!X20</f>
        <v>H</v>
      </c>
      <c r="Y50" s="10" t="str">
        <f>'2020'!Y20</f>
        <v>K</v>
      </c>
      <c r="Z50" s="10" t="str">
        <f>'2020'!Z20</f>
        <v>Sze</v>
      </c>
      <c r="AA50" s="10" t="str">
        <f>'2020'!AA20</f>
        <v>Cs</v>
      </c>
      <c r="AB50" s="10" t="str">
        <f>'2020'!AB20</f>
        <v>P</v>
      </c>
      <c r="AC50" s="10" t="str">
        <f>'2020'!AC20</f>
        <v>Szo</v>
      </c>
      <c r="AD50" s="10" t="str">
        <f>'2020'!AD20</f>
        <v>V</v>
      </c>
      <c r="AE50" s="10" t="str">
        <f>'2020'!AE20</f>
        <v>H</v>
      </c>
      <c r="AF50" s="10" t="str">
        <f>'2020'!AF20</f>
        <v>K</v>
      </c>
      <c r="AH50" s="94"/>
      <c r="AI50" s="94"/>
    </row>
    <row r="51" spans="1:35" ht="20.100000000000001" customHeight="1">
      <c r="A51" s="96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H51" s="94"/>
      <c r="AI51" s="94"/>
    </row>
    <row r="52" spans="1:35" ht="20.100000000000001" customHeight="1">
      <c r="A52" s="18" t="str">
        <f>ÖSSZES!$A$95</f>
        <v>Kovács Kriszitán</v>
      </c>
      <c r="B52" s="58" t="s">
        <v>2</v>
      </c>
      <c r="C52" s="33"/>
      <c r="D52" s="33"/>
      <c r="E52" s="33"/>
      <c r="F52" s="33"/>
      <c r="G52" s="31"/>
      <c r="H52" s="58" t="s">
        <v>2</v>
      </c>
      <c r="I52" s="58" t="s">
        <v>2</v>
      </c>
      <c r="J52" s="33"/>
      <c r="K52" s="33"/>
      <c r="L52" s="33"/>
      <c r="M52" s="33"/>
      <c r="N52" s="31"/>
      <c r="O52" s="58" t="s">
        <v>2</v>
      </c>
      <c r="P52" s="58" t="s">
        <v>2</v>
      </c>
      <c r="Q52" s="33"/>
      <c r="R52" s="33"/>
      <c r="S52" s="33"/>
      <c r="T52" s="33"/>
      <c r="U52" s="31"/>
      <c r="V52" s="58" t="s">
        <v>2</v>
      </c>
      <c r="W52" s="58" t="s">
        <v>2</v>
      </c>
      <c r="X52" s="33"/>
      <c r="Y52" s="33"/>
      <c r="Z52" s="33"/>
      <c r="AA52" s="33"/>
      <c r="AB52" s="31"/>
      <c r="AC52" s="58" t="s">
        <v>2</v>
      </c>
      <c r="AD52" s="58" t="s">
        <v>2</v>
      </c>
      <c r="AE52" s="33"/>
      <c r="AF52" s="33"/>
      <c r="AH52" s="16">
        <f>1*COUNTIF(A52:AF52,"+")</f>
        <v>0</v>
      </c>
      <c r="AI52" s="16">
        <f t="shared" ref="AI52" si="5">1*COUNTIF(B52:AF52,"szf")</f>
        <v>0</v>
      </c>
    </row>
    <row r="53" spans="1:35" ht="20.100000000000001" customHeight="1">
      <c r="A53" s="18" t="str">
        <f>ÖSSZES!$A$96</f>
        <v>Besse Éva</v>
      </c>
      <c r="B53" s="58" t="s">
        <v>2</v>
      </c>
      <c r="C53" s="33"/>
      <c r="D53" s="33"/>
      <c r="E53" s="33"/>
      <c r="F53" s="33"/>
      <c r="G53" s="31"/>
      <c r="H53" s="58" t="s">
        <v>2</v>
      </c>
      <c r="I53" s="58" t="s">
        <v>2</v>
      </c>
      <c r="J53" s="33"/>
      <c r="K53" s="33"/>
      <c r="L53" s="33"/>
      <c r="M53" s="33"/>
      <c r="N53" s="31"/>
      <c r="O53" s="58" t="s">
        <v>2</v>
      </c>
      <c r="P53" s="58" t="s">
        <v>2</v>
      </c>
      <c r="Q53" s="33"/>
      <c r="R53" s="33"/>
      <c r="S53" s="33"/>
      <c r="T53" s="33"/>
      <c r="U53" s="31"/>
      <c r="V53" s="58" t="s">
        <v>2</v>
      </c>
      <c r="W53" s="58" t="s">
        <v>2</v>
      </c>
      <c r="X53" s="33"/>
      <c r="Y53" s="33"/>
      <c r="Z53" s="33"/>
      <c r="AA53" s="33"/>
      <c r="AB53" s="31"/>
      <c r="AC53" s="58" t="s">
        <v>2</v>
      </c>
      <c r="AD53" s="58" t="s">
        <v>2</v>
      </c>
      <c r="AE53" s="33"/>
      <c r="AF53" s="33"/>
      <c r="AH53" s="16">
        <f t="shared" ref="AH53:AH71" si="6">1*COUNTIF(A53:AF53,"+")</f>
        <v>0</v>
      </c>
      <c r="AI53" s="16">
        <f t="shared" ref="AI53:AI71" si="7">1*COUNTIF(B53:AF53,"szf")</f>
        <v>0</v>
      </c>
    </row>
    <row r="54" spans="1:35" ht="20.100000000000001" customHeight="1">
      <c r="A54" s="18" t="str">
        <f>ÖSSZES!$A$97</f>
        <v>Oláh Erika</v>
      </c>
      <c r="B54" s="58" t="s">
        <v>2</v>
      </c>
      <c r="C54" s="33"/>
      <c r="D54" s="33"/>
      <c r="E54" s="33"/>
      <c r="F54" s="33"/>
      <c r="G54" s="31"/>
      <c r="H54" s="58" t="s">
        <v>2</v>
      </c>
      <c r="I54" s="58" t="s">
        <v>2</v>
      </c>
      <c r="J54" s="33"/>
      <c r="K54" s="33"/>
      <c r="L54" s="33"/>
      <c r="M54" s="33"/>
      <c r="N54" s="31"/>
      <c r="O54" s="58" t="s">
        <v>2</v>
      </c>
      <c r="P54" s="58" t="s">
        <v>2</v>
      </c>
      <c r="Q54" s="33"/>
      <c r="R54" s="33"/>
      <c r="S54" s="33"/>
      <c r="T54" s="33"/>
      <c r="U54" s="31"/>
      <c r="V54" s="58" t="s">
        <v>2</v>
      </c>
      <c r="W54" s="58" t="s">
        <v>2</v>
      </c>
      <c r="X54" s="33"/>
      <c r="Y54" s="33"/>
      <c r="Z54" s="33"/>
      <c r="AA54" s="33"/>
      <c r="AB54" s="31"/>
      <c r="AC54" s="58" t="s">
        <v>2</v>
      </c>
      <c r="AD54" s="58" t="s">
        <v>2</v>
      </c>
      <c r="AE54" s="33"/>
      <c r="AF54" s="33"/>
      <c r="AH54" s="16">
        <f t="shared" si="6"/>
        <v>0</v>
      </c>
      <c r="AI54" s="16">
        <f t="shared" si="7"/>
        <v>0</v>
      </c>
    </row>
    <row r="55" spans="1:35" ht="20.100000000000001" customHeight="1">
      <c r="A55" s="18" t="str">
        <f>ÖSSZES!$A$98</f>
        <v>Bulyáki Csaba</v>
      </c>
      <c r="B55" s="58" t="s">
        <v>2</v>
      </c>
      <c r="C55" s="33"/>
      <c r="D55" s="33"/>
      <c r="E55" s="33"/>
      <c r="F55" s="33"/>
      <c r="G55" s="31"/>
      <c r="H55" s="58" t="s">
        <v>2</v>
      </c>
      <c r="I55" s="58" t="s">
        <v>2</v>
      </c>
      <c r="J55" s="33"/>
      <c r="K55" s="33"/>
      <c r="L55" s="33" t="s">
        <v>19</v>
      </c>
      <c r="M55" s="33" t="s">
        <v>19</v>
      </c>
      <c r="N55" s="33" t="s">
        <v>19</v>
      </c>
      <c r="O55" s="58" t="s">
        <v>2</v>
      </c>
      <c r="P55" s="58" t="s">
        <v>2</v>
      </c>
      <c r="Q55" s="33"/>
      <c r="R55" s="33"/>
      <c r="S55" s="33"/>
      <c r="T55" s="33"/>
      <c r="U55" s="31"/>
      <c r="V55" s="58" t="s">
        <v>2</v>
      </c>
      <c r="W55" s="58" t="s">
        <v>2</v>
      </c>
      <c r="X55" s="33"/>
      <c r="Y55" s="33" t="s">
        <v>120</v>
      </c>
      <c r="Z55" s="33" t="s">
        <v>120</v>
      </c>
      <c r="AA55" s="33"/>
      <c r="AB55" s="31"/>
      <c r="AC55" s="58" t="s">
        <v>2</v>
      </c>
      <c r="AD55" s="58" t="s">
        <v>2</v>
      </c>
      <c r="AE55" s="33"/>
      <c r="AF55" s="33" t="s">
        <v>120</v>
      </c>
      <c r="AH55" s="16">
        <f t="shared" si="6"/>
        <v>0</v>
      </c>
      <c r="AI55" s="16">
        <f t="shared" si="7"/>
        <v>3</v>
      </c>
    </row>
    <row r="56" spans="1:35" ht="20.100000000000001" customHeight="1">
      <c r="A56" s="18" t="str">
        <f>ÖSSZES!$A$99</f>
        <v>Fekete Tamás</v>
      </c>
      <c r="B56" s="58" t="s">
        <v>2</v>
      </c>
      <c r="C56" s="33"/>
      <c r="D56" s="33"/>
      <c r="E56" s="33" t="s">
        <v>116</v>
      </c>
      <c r="F56" s="33" t="s">
        <v>116</v>
      </c>
      <c r="G56" s="33" t="s">
        <v>116</v>
      </c>
      <c r="H56" s="58" t="s">
        <v>2</v>
      </c>
      <c r="I56" s="58" t="s">
        <v>2</v>
      </c>
      <c r="J56" s="33"/>
      <c r="K56" s="33"/>
      <c r="L56" s="33"/>
      <c r="M56" s="33"/>
      <c r="N56" s="31"/>
      <c r="O56" s="58" t="s">
        <v>2</v>
      </c>
      <c r="P56" s="58" t="s">
        <v>2</v>
      </c>
      <c r="Q56" s="33"/>
      <c r="R56" s="33"/>
      <c r="S56" s="33"/>
      <c r="T56" s="33"/>
      <c r="U56" s="31"/>
      <c r="V56" s="58" t="s">
        <v>2</v>
      </c>
      <c r="W56" s="58" t="s">
        <v>2</v>
      </c>
      <c r="X56" s="33"/>
      <c r="Y56" s="33"/>
      <c r="Z56" s="33"/>
      <c r="AA56" s="33"/>
      <c r="AB56" s="31"/>
      <c r="AC56" s="58" t="s">
        <v>2</v>
      </c>
      <c r="AD56" s="58" t="s">
        <v>2</v>
      </c>
      <c r="AE56" s="33"/>
      <c r="AF56" s="33"/>
      <c r="AH56" s="16">
        <f t="shared" si="6"/>
        <v>0</v>
      </c>
      <c r="AI56" s="16">
        <f t="shared" si="7"/>
        <v>0</v>
      </c>
    </row>
    <row r="57" spans="1:35" ht="20.100000000000001" customHeight="1">
      <c r="A57" s="18" t="str">
        <f>ÖSSZES!$A$100</f>
        <v>Péter Csaba</v>
      </c>
      <c r="B57" s="58" t="s">
        <v>2</v>
      </c>
      <c r="C57" s="33"/>
      <c r="D57" s="33"/>
      <c r="E57" s="33"/>
      <c r="F57" s="33"/>
      <c r="G57" s="31"/>
      <c r="H57" s="58" t="s">
        <v>2</v>
      </c>
      <c r="I57" s="58" t="s">
        <v>2</v>
      </c>
      <c r="J57" s="33"/>
      <c r="K57" s="33"/>
      <c r="L57" s="33"/>
      <c r="M57" s="33"/>
      <c r="N57" s="31"/>
      <c r="O57" s="58" t="s">
        <v>2</v>
      </c>
      <c r="P57" s="58" t="s">
        <v>2</v>
      </c>
      <c r="Q57" s="33"/>
      <c r="R57" s="33"/>
      <c r="S57" s="33"/>
      <c r="T57" s="33"/>
      <c r="U57" s="31"/>
      <c r="V57" s="58" t="s">
        <v>2</v>
      </c>
      <c r="W57" s="58" t="s">
        <v>2</v>
      </c>
      <c r="X57" s="33"/>
      <c r="Y57" s="33"/>
      <c r="Z57" s="33"/>
      <c r="AA57" s="33"/>
      <c r="AB57" s="31"/>
      <c r="AC57" s="58" t="s">
        <v>2</v>
      </c>
      <c r="AD57" s="58" t="s">
        <v>2</v>
      </c>
      <c r="AE57" s="33"/>
      <c r="AF57" s="33"/>
      <c r="AH57" s="16">
        <f t="shared" si="6"/>
        <v>0</v>
      </c>
      <c r="AI57" s="16">
        <f t="shared" si="7"/>
        <v>0</v>
      </c>
    </row>
    <row r="58" spans="1:35" ht="20.100000000000001" customHeight="1">
      <c r="A58" s="18" t="str">
        <f>ÖSSZES!$A$101</f>
        <v>Tóth János</v>
      </c>
      <c r="B58" s="58" t="s">
        <v>2</v>
      </c>
      <c r="C58" s="33"/>
      <c r="D58" s="33"/>
      <c r="E58" s="33"/>
      <c r="F58" s="33"/>
      <c r="G58" s="31"/>
      <c r="H58" s="58" t="s">
        <v>2</v>
      </c>
      <c r="I58" s="58" t="s">
        <v>2</v>
      </c>
      <c r="J58" s="33"/>
      <c r="K58" s="33"/>
      <c r="L58" s="33"/>
      <c r="M58" s="33"/>
      <c r="N58" s="31"/>
      <c r="O58" s="58" t="s">
        <v>2</v>
      </c>
      <c r="P58" s="58" t="s">
        <v>2</v>
      </c>
      <c r="Q58" s="33"/>
      <c r="R58" s="33"/>
      <c r="S58" s="33"/>
      <c r="T58" s="33"/>
      <c r="U58" s="31"/>
      <c r="V58" s="58" t="s">
        <v>2</v>
      </c>
      <c r="W58" s="58" t="s">
        <v>2</v>
      </c>
      <c r="X58" s="33"/>
      <c r="Y58" s="33"/>
      <c r="Z58" s="33"/>
      <c r="AA58" s="33"/>
      <c r="AB58" s="31"/>
      <c r="AC58" s="58" t="s">
        <v>2</v>
      </c>
      <c r="AD58" s="58" t="s">
        <v>2</v>
      </c>
      <c r="AE58" s="33"/>
      <c r="AF58" s="33"/>
      <c r="AH58" s="16">
        <f t="shared" si="6"/>
        <v>0</v>
      </c>
      <c r="AI58" s="16">
        <f t="shared" si="7"/>
        <v>0</v>
      </c>
    </row>
    <row r="59" spans="1:35" ht="20.100000000000001" customHeight="1">
      <c r="A59" s="18" t="str">
        <f>ÖSSZES!$A$102</f>
        <v>Tóth Krisztián</v>
      </c>
      <c r="B59" s="58" t="s">
        <v>2</v>
      </c>
      <c r="C59" s="33"/>
      <c r="D59" s="33"/>
      <c r="E59" s="33"/>
      <c r="F59" s="33"/>
      <c r="G59" s="31"/>
      <c r="H59" s="58" t="s">
        <v>2</v>
      </c>
      <c r="I59" s="58" t="s">
        <v>2</v>
      </c>
      <c r="J59" s="33"/>
      <c r="K59" s="33"/>
      <c r="L59" s="33"/>
      <c r="M59" s="33"/>
      <c r="N59" s="31"/>
      <c r="O59" s="58" t="s">
        <v>2</v>
      </c>
      <c r="P59" s="58" t="s">
        <v>2</v>
      </c>
      <c r="Q59" s="33"/>
      <c r="R59" s="33"/>
      <c r="S59" s="33"/>
      <c r="T59" s="33"/>
      <c r="U59" s="31"/>
      <c r="V59" s="58" t="s">
        <v>2</v>
      </c>
      <c r="W59" s="58" t="s">
        <v>2</v>
      </c>
      <c r="X59" s="33"/>
      <c r="Y59" s="33"/>
      <c r="Z59" s="33"/>
      <c r="AA59" s="33"/>
      <c r="AB59" s="31"/>
      <c r="AC59" s="58" t="s">
        <v>2</v>
      </c>
      <c r="AD59" s="58" t="s">
        <v>2</v>
      </c>
      <c r="AE59" s="33"/>
      <c r="AF59" s="33"/>
      <c r="AH59" s="16">
        <f t="shared" si="6"/>
        <v>0</v>
      </c>
      <c r="AI59" s="16">
        <f t="shared" si="7"/>
        <v>0</v>
      </c>
    </row>
    <row r="60" spans="1:35" ht="20.100000000000001" customHeight="1">
      <c r="A60" s="18" t="str">
        <f>ÖSSZES!$A$103</f>
        <v>Tassi Szilárd</v>
      </c>
      <c r="B60" s="58" t="s">
        <v>2</v>
      </c>
      <c r="C60" s="33"/>
      <c r="D60" s="33"/>
      <c r="E60" s="33"/>
      <c r="F60" s="33"/>
      <c r="G60" s="31"/>
      <c r="H60" s="58" t="s">
        <v>2</v>
      </c>
      <c r="I60" s="58" t="s">
        <v>2</v>
      </c>
      <c r="J60" s="33"/>
      <c r="K60" s="33"/>
      <c r="L60" s="33"/>
      <c r="M60" s="33"/>
      <c r="N60" s="31"/>
      <c r="O60" s="58" t="s">
        <v>2</v>
      </c>
      <c r="P60" s="58" t="s">
        <v>2</v>
      </c>
      <c r="Q60" s="33"/>
      <c r="R60" s="33"/>
      <c r="S60" s="33"/>
      <c r="T60" s="33"/>
      <c r="U60" s="31"/>
      <c r="V60" s="58" t="s">
        <v>2</v>
      </c>
      <c r="W60" s="58" t="s">
        <v>2</v>
      </c>
      <c r="X60" s="33"/>
      <c r="Y60" s="33"/>
      <c r="Z60" s="33"/>
      <c r="AA60" s="33"/>
      <c r="AB60" s="31"/>
      <c r="AC60" s="58" t="s">
        <v>2</v>
      </c>
      <c r="AD60" s="58" t="s">
        <v>2</v>
      </c>
      <c r="AE60" s="33"/>
      <c r="AF60" s="33"/>
      <c r="AH60" s="16">
        <f t="shared" si="6"/>
        <v>0</v>
      </c>
      <c r="AI60" s="16">
        <f t="shared" si="7"/>
        <v>0</v>
      </c>
    </row>
    <row r="61" spans="1:35" ht="20.100000000000001" customHeight="1">
      <c r="A61" s="18" t="str">
        <f>ÖSSZES!$A$104</f>
        <v>Dancsi Attila</v>
      </c>
      <c r="B61" s="58" t="s">
        <v>2</v>
      </c>
      <c r="C61" s="33"/>
      <c r="D61" s="33"/>
      <c r="E61" s="33"/>
      <c r="F61" s="33"/>
      <c r="G61" s="31"/>
      <c r="H61" s="58" t="s">
        <v>2</v>
      </c>
      <c r="I61" s="58" t="s">
        <v>2</v>
      </c>
      <c r="J61" s="33"/>
      <c r="K61" s="33"/>
      <c r="L61" s="33"/>
      <c r="M61" s="33"/>
      <c r="N61" s="31"/>
      <c r="O61" s="58" t="s">
        <v>2</v>
      </c>
      <c r="P61" s="58" t="s">
        <v>2</v>
      </c>
      <c r="Q61" s="33"/>
      <c r="R61" s="33"/>
      <c r="S61" s="33"/>
      <c r="T61" s="33"/>
      <c r="U61" s="31"/>
      <c r="V61" s="58" t="s">
        <v>2</v>
      </c>
      <c r="W61" s="58" t="s">
        <v>2</v>
      </c>
      <c r="X61" s="33"/>
      <c r="Y61" s="33"/>
      <c r="Z61" s="33"/>
      <c r="AA61" s="33"/>
      <c r="AB61" s="31"/>
      <c r="AC61" s="58" t="s">
        <v>2</v>
      </c>
      <c r="AD61" s="58" t="s">
        <v>2</v>
      </c>
      <c r="AE61" s="33"/>
      <c r="AF61" s="33"/>
      <c r="AH61" s="16">
        <f t="shared" si="6"/>
        <v>0</v>
      </c>
      <c r="AI61" s="16">
        <f t="shared" si="7"/>
        <v>0</v>
      </c>
    </row>
    <row r="62" spans="1:35" ht="20.100000000000001" customHeight="1">
      <c r="A62" s="18" t="str">
        <f>ÖSSZES!$A$105</f>
        <v>Iványi Roland</v>
      </c>
      <c r="B62" s="58" t="s">
        <v>2</v>
      </c>
      <c r="C62" s="33"/>
      <c r="D62" s="33"/>
      <c r="E62" s="33"/>
      <c r="F62" s="33"/>
      <c r="G62" s="31"/>
      <c r="H62" s="58" t="s">
        <v>2</v>
      </c>
      <c r="I62" s="58" t="s">
        <v>2</v>
      </c>
      <c r="J62" s="33"/>
      <c r="K62" s="33"/>
      <c r="L62" s="33"/>
      <c r="M62" s="33"/>
      <c r="N62" s="31"/>
      <c r="O62" s="58" t="s">
        <v>2</v>
      </c>
      <c r="P62" s="58" t="s">
        <v>2</v>
      </c>
      <c r="Q62" s="33"/>
      <c r="R62" s="33"/>
      <c r="S62" s="33"/>
      <c r="T62" s="33"/>
      <c r="U62" s="31"/>
      <c r="V62" s="58" t="s">
        <v>2</v>
      </c>
      <c r="W62" s="58" t="s">
        <v>2</v>
      </c>
      <c r="X62" s="33"/>
      <c r="Y62" s="33"/>
      <c r="Z62" s="33"/>
      <c r="AA62" s="33"/>
      <c r="AB62" s="31"/>
      <c r="AC62" s="58" t="s">
        <v>2</v>
      </c>
      <c r="AD62" s="58" t="s">
        <v>2</v>
      </c>
      <c r="AE62" s="33"/>
      <c r="AF62" s="33"/>
      <c r="AH62" s="16">
        <f t="shared" si="6"/>
        <v>0</v>
      </c>
      <c r="AI62" s="16">
        <f t="shared" si="7"/>
        <v>0</v>
      </c>
    </row>
    <row r="63" spans="1:35" ht="20.100000000000001" hidden="1" customHeight="1">
      <c r="A63" s="18" t="str">
        <f>ÖSSZES!$A$106</f>
        <v>Név12</v>
      </c>
      <c r="B63" s="58" t="s">
        <v>2</v>
      </c>
      <c r="C63" s="33"/>
      <c r="D63" s="33"/>
      <c r="E63" s="33"/>
      <c r="F63" s="33"/>
      <c r="G63" s="31"/>
      <c r="H63" s="58" t="s">
        <v>2</v>
      </c>
      <c r="I63" s="58" t="s">
        <v>2</v>
      </c>
      <c r="J63" s="33"/>
      <c r="K63" s="33"/>
      <c r="L63" s="33"/>
      <c r="M63" s="33"/>
      <c r="N63" s="31"/>
      <c r="O63" s="58" t="s">
        <v>2</v>
      </c>
      <c r="P63" s="58" t="s">
        <v>2</v>
      </c>
      <c r="Q63" s="33"/>
      <c r="R63" s="33"/>
      <c r="S63" s="33"/>
      <c r="T63" s="33"/>
      <c r="U63" s="31"/>
      <c r="V63" s="58" t="s">
        <v>2</v>
      </c>
      <c r="W63" s="58" t="s">
        <v>2</v>
      </c>
      <c r="X63" s="33"/>
      <c r="Y63" s="33"/>
      <c r="Z63" s="33"/>
      <c r="AA63" s="33"/>
      <c r="AB63" s="31"/>
      <c r="AC63" s="58" t="s">
        <v>2</v>
      </c>
      <c r="AD63" s="58" t="s">
        <v>2</v>
      </c>
      <c r="AE63" s="33"/>
      <c r="AF63" s="33"/>
      <c r="AH63" s="16">
        <f t="shared" si="6"/>
        <v>0</v>
      </c>
      <c r="AI63" s="16">
        <f t="shared" si="7"/>
        <v>0</v>
      </c>
    </row>
    <row r="64" spans="1:35" ht="20.100000000000001" hidden="1" customHeight="1">
      <c r="A64" s="18" t="str">
        <f>ÖSSZES!$A$107</f>
        <v>Név13</v>
      </c>
      <c r="B64" s="58" t="s">
        <v>2</v>
      </c>
      <c r="C64" s="33"/>
      <c r="D64" s="33"/>
      <c r="E64" s="33"/>
      <c r="F64" s="33"/>
      <c r="G64" s="31"/>
      <c r="H64" s="58" t="s">
        <v>2</v>
      </c>
      <c r="I64" s="58" t="s">
        <v>2</v>
      </c>
      <c r="J64" s="33"/>
      <c r="K64" s="33"/>
      <c r="L64" s="33"/>
      <c r="M64" s="33"/>
      <c r="N64" s="31"/>
      <c r="O64" s="58" t="s">
        <v>2</v>
      </c>
      <c r="P64" s="58" t="s">
        <v>2</v>
      </c>
      <c r="Q64" s="33"/>
      <c r="R64" s="33"/>
      <c r="S64" s="33"/>
      <c r="T64" s="33"/>
      <c r="U64" s="31"/>
      <c r="V64" s="58" t="s">
        <v>2</v>
      </c>
      <c r="W64" s="58" t="s">
        <v>2</v>
      </c>
      <c r="X64" s="33"/>
      <c r="Y64" s="33"/>
      <c r="Z64" s="33"/>
      <c r="AA64" s="33"/>
      <c r="AB64" s="31"/>
      <c r="AC64" s="58" t="s">
        <v>2</v>
      </c>
      <c r="AD64" s="58" t="s">
        <v>2</v>
      </c>
      <c r="AE64" s="33"/>
      <c r="AF64" s="33"/>
      <c r="AH64" s="16">
        <f t="shared" si="6"/>
        <v>0</v>
      </c>
      <c r="AI64" s="16">
        <f t="shared" si="7"/>
        <v>0</v>
      </c>
    </row>
    <row r="65" spans="1:35" ht="20.100000000000001" hidden="1" customHeight="1">
      <c r="A65" s="18" t="str">
        <f>ÖSSZES!$A$108</f>
        <v>Név14</v>
      </c>
      <c r="B65" s="58" t="s">
        <v>2</v>
      </c>
      <c r="C65" s="33"/>
      <c r="D65" s="33"/>
      <c r="E65" s="33"/>
      <c r="F65" s="33"/>
      <c r="G65" s="31"/>
      <c r="H65" s="58" t="s">
        <v>2</v>
      </c>
      <c r="I65" s="58" t="s">
        <v>2</v>
      </c>
      <c r="J65" s="33"/>
      <c r="K65" s="33"/>
      <c r="L65" s="33"/>
      <c r="M65" s="33"/>
      <c r="N65" s="31"/>
      <c r="O65" s="58" t="s">
        <v>2</v>
      </c>
      <c r="P65" s="58" t="s">
        <v>2</v>
      </c>
      <c r="Q65" s="33"/>
      <c r="R65" s="33"/>
      <c r="S65" s="33"/>
      <c r="T65" s="33"/>
      <c r="U65" s="31"/>
      <c r="V65" s="58" t="s">
        <v>2</v>
      </c>
      <c r="W65" s="58" t="s">
        <v>2</v>
      </c>
      <c r="X65" s="33"/>
      <c r="Y65" s="33"/>
      <c r="Z65" s="33"/>
      <c r="AA65" s="33"/>
      <c r="AB65" s="31"/>
      <c r="AC65" s="58" t="s">
        <v>2</v>
      </c>
      <c r="AD65" s="58" t="s">
        <v>2</v>
      </c>
      <c r="AE65" s="33"/>
      <c r="AF65" s="33"/>
      <c r="AH65" s="16">
        <f t="shared" si="6"/>
        <v>0</v>
      </c>
      <c r="AI65" s="16">
        <f t="shared" si="7"/>
        <v>0</v>
      </c>
    </row>
    <row r="66" spans="1:35" ht="20.100000000000001" hidden="1" customHeight="1">
      <c r="A66" s="18" t="str">
        <f>ÖSSZES!$A$109</f>
        <v>Név15</v>
      </c>
      <c r="B66" s="58" t="s">
        <v>2</v>
      </c>
      <c r="C66" s="33"/>
      <c r="D66" s="33"/>
      <c r="E66" s="33"/>
      <c r="F66" s="33"/>
      <c r="G66" s="31"/>
      <c r="H66" s="58" t="s">
        <v>2</v>
      </c>
      <c r="I66" s="58" t="s">
        <v>2</v>
      </c>
      <c r="J66" s="33"/>
      <c r="K66" s="33"/>
      <c r="L66" s="33"/>
      <c r="M66" s="33"/>
      <c r="N66" s="31"/>
      <c r="O66" s="58" t="s">
        <v>2</v>
      </c>
      <c r="P66" s="58" t="s">
        <v>2</v>
      </c>
      <c r="Q66" s="33"/>
      <c r="R66" s="33"/>
      <c r="S66" s="33"/>
      <c r="T66" s="33"/>
      <c r="U66" s="31"/>
      <c r="V66" s="58" t="s">
        <v>2</v>
      </c>
      <c r="W66" s="58" t="s">
        <v>2</v>
      </c>
      <c r="X66" s="33"/>
      <c r="Y66" s="33"/>
      <c r="Z66" s="33"/>
      <c r="AA66" s="33"/>
      <c r="AB66" s="31"/>
      <c r="AC66" s="58" t="s">
        <v>2</v>
      </c>
      <c r="AD66" s="58" t="s">
        <v>2</v>
      </c>
      <c r="AE66" s="33"/>
      <c r="AF66" s="33"/>
      <c r="AH66" s="16">
        <f t="shared" si="6"/>
        <v>0</v>
      </c>
      <c r="AI66" s="16">
        <f t="shared" si="7"/>
        <v>0</v>
      </c>
    </row>
    <row r="67" spans="1:35" ht="20.100000000000001" hidden="1" customHeight="1">
      <c r="A67" s="18" t="str">
        <f>ÖSSZES!$A$110</f>
        <v>Név16</v>
      </c>
      <c r="B67" s="58" t="s">
        <v>2</v>
      </c>
      <c r="C67" s="33"/>
      <c r="D67" s="33"/>
      <c r="E67" s="33"/>
      <c r="F67" s="33"/>
      <c r="G67" s="31"/>
      <c r="H67" s="58" t="s">
        <v>2</v>
      </c>
      <c r="I67" s="58" t="s">
        <v>2</v>
      </c>
      <c r="J67" s="33"/>
      <c r="K67" s="33"/>
      <c r="L67" s="33"/>
      <c r="M67" s="33"/>
      <c r="N67" s="31"/>
      <c r="O67" s="58" t="s">
        <v>2</v>
      </c>
      <c r="P67" s="58" t="s">
        <v>2</v>
      </c>
      <c r="Q67" s="33"/>
      <c r="R67" s="33"/>
      <c r="S67" s="33"/>
      <c r="T67" s="33"/>
      <c r="U67" s="31"/>
      <c r="V67" s="58" t="s">
        <v>2</v>
      </c>
      <c r="W67" s="58" t="s">
        <v>2</v>
      </c>
      <c r="X67" s="33"/>
      <c r="Y67" s="33"/>
      <c r="Z67" s="33"/>
      <c r="AA67" s="33"/>
      <c r="AB67" s="31"/>
      <c r="AC67" s="58" t="s">
        <v>2</v>
      </c>
      <c r="AD67" s="58" t="s">
        <v>2</v>
      </c>
      <c r="AE67" s="33"/>
      <c r="AF67" s="33"/>
      <c r="AH67" s="16">
        <f t="shared" si="6"/>
        <v>0</v>
      </c>
      <c r="AI67" s="16">
        <f t="shared" si="7"/>
        <v>0</v>
      </c>
    </row>
    <row r="68" spans="1:35" ht="20.100000000000001" hidden="1" customHeight="1">
      <c r="A68" s="18" t="str">
        <f>ÖSSZES!$A$111</f>
        <v>Név17</v>
      </c>
      <c r="B68" s="58" t="s">
        <v>2</v>
      </c>
      <c r="C68" s="33"/>
      <c r="D68" s="33"/>
      <c r="E68" s="33"/>
      <c r="F68" s="33"/>
      <c r="G68" s="31"/>
      <c r="H68" s="58" t="s">
        <v>2</v>
      </c>
      <c r="I68" s="58" t="s">
        <v>2</v>
      </c>
      <c r="J68" s="33"/>
      <c r="K68" s="33"/>
      <c r="L68" s="33"/>
      <c r="M68" s="33"/>
      <c r="N68" s="31"/>
      <c r="O68" s="58" t="s">
        <v>2</v>
      </c>
      <c r="P68" s="58" t="s">
        <v>2</v>
      </c>
      <c r="Q68" s="33"/>
      <c r="R68" s="33"/>
      <c r="S68" s="33"/>
      <c r="T68" s="33"/>
      <c r="U68" s="31"/>
      <c r="V68" s="58" t="s">
        <v>2</v>
      </c>
      <c r="W68" s="58" t="s">
        <v>2</v>
      </c>
      <c r="X68" s="33"/>
      <c r="Y68" s="33"/>
      <c r="Z68" s="33"/>
      <c r="AA68" s="33"/>
      <c r="AB68" s="31"/>
      <c r="AC68" s="58" t="s">
        <v>2</v>
      </c>
      <c r="AD68" s="58" t="s">
        <v>2</v>
      </c>
      <c r="AE68" s="33"/>
      <c r="AF68" s="33"/>
      <c r="AH68" s="16">
        <f t="shared" si="6"/>
        <v>0</v>
      </c>
      <c r="AI68" s="16">
        <f t="shared" si="7"/>
        <v>0</v>
      </c>
    </row>
    <row r="69" spans="1:35" ht="20.100000000000001" hidden="1" customHeight="1">
      <c r="A69" s="18" t="str">
        <f>ÖSSZES!$A$112</f>
        <v>Név18</v>
      </c>
      <c r="B69" s="58" t="s">
        <v>2</v>
      </c>
      <c r="C69" s="33"/>
      <c r="D69" s="33"/>
      <c r="E69" s="33"/>
      <c r="F69" s="33"/>
      <c r="G69" s="31"/>
      <c r="H69" s="58" t="s">
        <v>2</v>
      </c>
      <c r="I69" s="58" t="s">
        <v>2</v>
      </c>
      <c r="J69" s="33"/>
      <c r="K69" s="33"/>
      <c r="L69" s="33"/>
      <c r="M69" s="33"/>
      <c r="N69" s="31"/>
      <c r="O69" s="58" t="s">
        <v>2</v>
      </c>
      <c r="P69" s="58" t="s">
        <v>2</v>
      </c>
      <c r="Q69" s="33"/>
      <c r="R69" s="33"/>
      <c r="S69" s="33"/>
      <c r="T69" s="33"/>
      <c r="U69" s="31"/>
      <c r="V69" s="58" t="s">
        <v>2</v>
      </c>
      <c r="W69" s="58" t="s">
        <v>2</v>
      </c>
      <c r="X69" s="33"/>
      <c r="Y69" s="33"/>
      <c r="Z69" s="33"/>
      <c r="AA69" s="33"/>
      <c r="AB69" s="31"/>
      <c r="AC69" s="58" t="s">
        <v>2</v>
      </c>
      <c r="AD69" s="58" t="s">
        <v>2</v>
      </c>
      <c r="AE69" s="33"/>
      <c r="AF69" s="33"/>
      <c r="AH69" s="16">
        <f t="shared" si="6"/>
        <v>0</v>
      </c>
      <c r="AI69" s="16">
        <f t="shared" si="7"/>
        <v>0</v>
      </c>
    </row>
    <row r="70" spans="1:35" ht="20.100000000000001" hidden="1" customHeight="1">
      <c r="A70" s="18" t="str">
        <f>ÖSSZES!$A$113</f>
        <v>Név19</v>
      </c>
      <c r="B70" s="58" t="s">
        <v>2</v>
      </c>
      <c r="C70" s="33"/>
      <c r="D70" s="33"/>
      <c r="E70" s="33"/>
      <c r="F70" s="33"/>
      <c r="G70" s="31"/>
      <c r="H70" s="58" t="s">
        <v>2</v>
      </c>
      <c r="I70" s="58" t="s">
        <v>2</v>
      </c>
      <c r="J70" s="33"/>
      <c r="K70" s="33"/>
      <c r="L70" s="33"/>
      <c r="M70" s="33"/>
      <c r="N70" s="31"/>
      <c r="O70" s="58" t="s">
        <v>2</v>
      </c>
      <c r="P70" s="58" t="s">
        <v>2</v>
      </c>
      <c r="Q70" s="33"/>
      <c r="R70" s="33"/>
      <c r="S70" s="33"/>
      <c r="T70" s="33"/>
      <c r="U70" s="31"/>
      <c r="V70" s="58" t="s">
        <v>2</v>
      </c>
      <c r="W70" s="58" t="s">
        <v>2</v>
      </c>
      <c r="X70" s="33"/>
      <c r="Y70" s="33"/>
      <c r="Z70" s="33"/>
      <c r="AA70" s="33"/>
      <c r="AB70" s="31"/>
      <c r="AC70" s="58" t="s">
        <v>2</v>
      </c>
      <c r="AD70" s="58" t="s">
        <v>2</v>
      </c>
      <c r="AE70" s="33"/>
      <c r="AF70" s="33"/>
      <c r="AH70" s="16">
        <f t="shared" si="6"/>
        <v>0</v>
      </c>
      <c r="AI70" s="16">
        <f t="shared" si="7"/>
        <v>0</v>
      </c>
    </row>
    <row r="71" spans="1:35" ht="20.100000000000001" hidden="1" customHeight="1">
      <c r="A71" s="18" t="str">
        <f>ÖSSZES!$A$114</f>
        <v>Név20</v>
      </c>
      <c r="B71" s="58" t="s">
        <v>2</v>
      </c>
      <c r="C71" s="33"/>
      <c r="D71" s="33"/>
      <c r="E71" s="33"/>
      <c r="F71" s="33"/>
      <c r="G71" s="31"/>
      <c r="H71" s="58" t="s">
        <v>2</v>
      </c>
      <c r="I71" s="58" t="s">
        <v>2</v>
      </c>
      <c r="J71" s="33"/>
      <c r="K71" s="33"/>
      <c r="L71" s="33"/>
      <c r="M71" s="33"/>
      <c r="N71" s="31"/>
      <c r="O71" s="58" t="s">
        <v>2</v>
      </c>
      <c r="P71" s="58" t="s">
        <v>2</v>
      </c>
      <c r="Q71" s="33"/>
      <c r="R71" s="33"/>
      <c r="S71" s="33"/>
      <c r="T71" s="33"/>
      <c r="U71" s="31"/>
      <c r="V71" s="58" t="s">
        <v>2</v>
      </c>
      <c r="W71" s="58" t="s">
        <v>2</v>
      </c>
      <c r="X71" s="33"/>
      <c r="Y71" s="33"/>
      <c r="Z71" s="33"/>
      <c r="AA71" s="33"/>
      <c r="AB71" s="31"/>
      <c r="AC71" s="58" t="s">
        <v>2</v>
      </c>
      <c r="AD71" s="58" t="s">
        <v>2</v>
      </c>
      <c r="AE71" s="33"/>
      <c r="AF71" s="33"/>
      <c r="AH71" s="16">
        <f t="shared" si="6"/>
        <v>0</v>
      </c>
      <c r="AI71" s="16">
        <f t="shared" si="7"/>
        <v>0</v>
      </c>
    </row>
    <row r="72" spans="1:35" ht="20.100000000000001" customHeight="1"/>
    <row r="73" spans="1:35" s="6" customFormat="1" ht="20.100000000000001" customHeight="1">
      <c r="A73" s="88" t="s">
        <v>17</v>
      </c>
      <c r="B73" s="17">
        <v>1</v>
      </c>
      <c r="C73" s="17">
        <v>2</v>
      </c>
      <c r="D73" s="17">
        <v>3</v>
      </c>
      <c r="E73" s="17">
        <v>4</v>
      </c>
      <c r="F73" s="17">
        <v>5</v>
      </c>
      <c r="G73" s="17">
        <v>6</v>
      </c>
      <c r="H73" s="17">
        <v>7</v>
      </c>
      <c r="I73" s="17">
        <v>8</v>
      </c>
      <c r="J73" s="17">
        <v>9</v>
      </c>
      <c r="K73" s="32">
        <v>10</v>
      </c>
      <c r="L73" s="17">
        <v>11</v>
      </c>
      <c r="M73" s="32">
        <v>12</v>
      </c>
      <c r="N73" s="32">
        <v>13</v>
      </c>
      <c r="O73" s="17">
        <v>14</v>
      </c>
      <c r="P73" s="17">
        <v>15</v>
      </c>
      <c r="Q73" s="17">
        <v>16</v>
      </c>
      <c r="R73" s="17">
        <v>17</v>
      </c>
      <c r="S73" s="17">
        <v>18</v>
      </c>
      <c r="T73" s="17">
        <v>19</v>
      </c>
      <c r="U73" s="17">
        <v>20</v>
      </c>
      <c r="V73" s="17">
        <v>21</v>
      </c>
      <c r="W73" s="17">
        <v>22</v>
      </c>
      <c r="X73" s="17">
        <v>23</v>
      </c>
      <c r="Y73" s="17">
        <v>24</v>
      </c>
      <c r="Z73" s="17">
        <v>25</v>
      </c>
      <c r="AA73" s="17">
        <v>26</v>
      </c>
      <c r="AB73" s="17">
        <v>27</v>
      </c>
      <c r="AC73" s="17">
        <v>28</v>
      </c>
      <c r="AD73" s="17">
        <v>29</v>
      </c>
      <c r="AE73" s="17">
        <v>30</v>
      </c>
      <c r="AH73" s="93" t="s">
        <v>18</v>
      </c>
      <c r="AI73" s="93" t="s">
        <v>19</v>
      </c>
    </row>
    <row r="74" spans="1:35" ht="20.100000000000001" customHeight="1">
      <c r="A74" s="95"/>
      <c r="B74" s="10" t="str">
        <f>'2020'!B28</f>
        <v>Sze</v>
      </c>
      <c r="C74" s="10" t="str">
        <f>'2020'!C28</f>
        <v>Cs</v>
      </c>
      <c r="D74" s="10" t="str">
        <f>'2020'!D28</f>
        <v>P</v>
      </c>
      <c r="E74" s="10" t="str">
        <f>'2020'!E28</f>
        <v>Szo</v>
      </c>
      <c r="F74" s="10" t="str">
        <f>'2020'!F28</f>
        <v>V</v>
      </c>
      <c r="G74" s="10" t="str">
        <f>'2020'!G28</f>
        <v>H</v>
      </c>
      <c r="H74" s="10" t="str">
        <f>'2020'!H28</f>
        <v>K</v>
      </c>
      <c r="I74" s="10" t="str">
        <f>'2020'!I28</f>
        <v>Sze</v>
      </c>
      <c r="J74" s="10" t="str">
        <f>'2020'!J28</f>
        <v>Cs</v>
      </c>
      <c r="K74" s="10" t="str">
        <f>'2020'!K28</f>
        <v>P</v>
      </c>
      <c r="L74" s="10" t="str">
        <f>'2020'!L28</f>
        <v>Szo</v>
      </c>
      <c r="M74" s="10" t="str">
        <f>'2020'!M28</f>
        <v>V</v>
      </c>
      <c r="N74" s="10" t="str">
        <f>'2020'!N28</f>
        <v>H</v>
      </c>
      <c r="O74" s="10" t="str">
        <f>'2020'!O28</f>
        <v>K</v>
      </c>
      <c r="P74" s="10" t="str">
        <f>'2020'!P28</f>
        <v>Sze</v>
      </c>
      <c r="Q74" s="10" t="str">
        <f>'2020'!Q28</f>
        <v>Cs</v>
      </c>
      <c r="R74" s="10" t="str">
        <f>'2020'!R28</f>
        <v>P</v>
      </c>
      <c r="S74" s="10" t="str">
        <f>'2020'!S28</f>
        <v>Szo</v>
      </c>
      <c r="T74" s="10" t="str">
        <f>'2020'!T28</f>
        <v>V</v>
      </c>
      <c r="U74" s="10" t="str">
        <f>'2020'!U28</f>
        <v>H</v>
      </c>
      <c r="V74" s="10" t="str">
        <f>'2020'!V28</f>
        <v>K</v>
      </c>
      <c r="W74" s="10" t="str">
        <f>'2020'!W28</f>
        <v>Sze</v>
      </c>
      <c r="X74" s="10" t="str">
        <f>'2020'!X28</f>
        <v>Cs</v>
      </c>
      <c r="Y74" s="10" t="str">
        <f>'2020'!Y28</f>
        <v>P</v>
      </c>
      <c r="Z74" s="10" t="str">
        <f>'2020'!Z28</f>
        <v>Szo</v>
      </c>
      <c r="AA74" s="10" t="str">
        <f>'2020'!AA28</f>
        <v>V</v>
      </c>
      <c r="AB74" s="10" t="str">
        <f>'2020'!AB28</f>
        <v>H</v>
      </c>
      <c r="AC74" s="10" t="str">
        <f>'2020'!AC28</f>
        <v>K</v>
      </c>
      <c r="AD74" s="10" t="str">
        <f>'2020'!AD28</f>
        <v>Sze</v>
      </c>
      <c r="AE74" s="10" t="str">
        <f>'2020'!AE28</f>
        <v>Cs</v>
      </c>
      <c r="AF74" s="1"/>
      <c r="AH74" s="94"/>
      <c r="AI74" s="94"/>
    </row>
    <row r="75" spans="1:35" ht="20.100000000000001" customHeight="1">
      <c r="A75" s="95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"/>
      <c r="AH75" s="94"/>
      <c r="AI75" s="94"/>
    </row>
    <row r="76" spans="1:35" ht="20.100000000000001" customHeight="1">
      <c r="A76" s="18" t="str">
        <f>ÖSSZES!$A$95</f>
        <v>Kovács Kriszitán</v>
      </c>
      <c r="B76" s="33"/>
      <c r="C76" s="33" t="s">
        <v>120</v>
      </c>
      <c r="D76" s="15"/>
      <c r="E76" s="58" t="s">
        <v>2</v>
      </c>
      <c r="F76" s="58" t="s">
        <v>2</v>
      </c>
      <c r="G76" s="33"/>
      <c r="H76" s="33"/>
      <c r="I76" s="33" t="s">
        <v>120</v>
      </c>
      <c r="J76" s="33" t="s">
        <v>120</v>
      </c>
      <c r="K76" s="60" t="s">
        <v>75</v>
      </c>
      <c r="L76" s="58" t="s">
        <v>2</v>
      </c>
      <c r="M76" s="58" t="s">
        <v>2</v>
      </c>
      <c r="N76" s="60" t="s">
        <v>75</v>
      </c>
      <c r="O76" s="33"/>
      <c r="P76" s="33" t="s">
        <v>120</v>
      </c>
      <c r="Q76" s="33" t="s">
        <v>120</v>
      </c>
      <c r="R76" s="14"/>
      <c r="S76" s="58" t="s">
        <v>2</v>
      </c>
      <c r="T76" s="58" t="s">
        <v>2</v>
      </c>
      <c r="U76" s="33"/>
      <c r="V76" s="33"/>
      <c r="W76" s="14"/>
      <c r="X76" s="33"/>
      <c r="Y76" s="15"/>
      <c r="Z76" s="58" t="s">
        <v>2</v>
      </c>
      <c r="AA76" s="58" t="s">
        <v>2</v>
      </c>
      <c r="AB76" s="33"/>
      <c r="AC76" s="33" t="s">
        <v>120</v>
      </c>
      <c r="AD76" s="33"/>
      <c r="AE76" s="15"/>
      <c r="AF76" s="1"/>
      <c r="AH76" s="16">
        <f>1*COUNTIF(A76:AF76,"+")</f>
        <v>0</v>
      </c>
      <c r="AI76" s="16">
        <f t="shared" ref="AI76" si="8">1*COUNTIF(B76:AF76,"szf")</f>
        <v>0</v>
      </c>
    </row>
    <row r="77" spans="1:35" ht="20.100000000000001" customHeight="1">
      <c r="A77" s="18" t="str">
        <f>ÖSSZES!$A$96</f>
        <v>Besse Éva</v>
      </c>
      <c r="B77" s="33"/>
      <c r="C77" s="33"/>
      <c r="D77" s="15"/>
      <c r="E77" s="58" t="s">
        <v>2</v>
      </c>
      <c r="F77" s="58" t="s">
        <v>2</v>
      </c>
      <c r="G77" s="33"/>
      <c r="H77" s="33"/>
      <c r="I77" s="33"/>
      <c r="J77" s="33"/>
      <c r="K77" s="60" t="s">
        <v>75</v>
      </c>
      <c r="L77" s="58" t="s">
        <v>2</v>
      </c>
      <c r="M77" s="58" t="s">
        <v>2</v>
      </c>
      <c r="N77" s="60" t="s">
        <v>75</v>
      </c>
      <c r="O77" s="33"/>
      <c r="P77" s="33"/>
      <c r="Q77" s="33"/>
      <c r="R77" s="14"/>
      <c r="S77" s="58" t="s">
        <v>2</v>
      </c>
      <c r="T77" s="58" t="s">
        <v>2</v>
      </c>
      <c r="U77" s="33"/>
      <c r="V77" s="33"/>
      <c r="W77" s="14"/>
      <c r="X77" s="33"/>
      <c r="Y77" s="15"/>
      <c r="Z77" s="58" t="s">
        <v>2</v>
      </c>
      <c r="AA77" s="58" t="s">
        <v>2</v>
      </c>
      <c r="AB77" s="33"/>
      <c r="AC77" s="33"/>
      <c r="AD77" s="33"/>
      <c r="AE77" s="15"/>
      <c r="AF77" s="1"/>
      <c r="AH77" s="16">
        <f t="shared" ref="AH77:AH95" si="9">1*COUNTIF(A77:AF77,"+")</f>
        <v>0</v>
      </c>
      <c r="AI77" s="16">
        <f t="shared" ref="AI77:AI95" si="10">1*COUNTIF(B77:AF77,"szf")</f>
        <v>0</v>
      </c>
    </row>
    <row r="78" spans="1:35" ht="20.100000000000001" customHeight="1">
      <c r="A78" s="18" t="str">
        <f>ÖSSZES!$A$97</f>
        <v>Oláh Erika</v>
      </c>
      <c r="B78" s="33" t="s">
        <v>120</v>
      </c>
      <c r="C78" s="33" t="s">
        <v>120</v>
      </c>
      <c r="D78" s="15" t="s">
        <v>120</v>
      </c>
      <c r="E78" s="58" t="s">
        <v>2</v>
      </c>
      <c r="F78" s="58" t="s">
        <v>2</v>
      </c>
      <c r="G78" s="33"/>
      <c r="H78" s="33"/>
      <c r="I78" s="33"/>
      <c r="J78" s="33"/>
      <c r="K78" s="60" t="s">
        <v>75</v>
      </c>
      <c r="L78" s="58" t="s">
        <v>2</v>
      </c>
      <c r="M78" s="58" t="s">
        <v>2</v>
      </c>
      <c r="N78" s="60" t="s">
        <v>75</v>
      </c>
      <c r="O78" s="33"/>
      <c r="P78" s="33" t="s">
        <v>120</v>
      </c>
      <c r="Q78" s="33" t="s">
        <v>120</v>
      </c>
      <c r="R78" s="14" t="s">
        <v>120</v>
      </c>
      <c r="S78" s="58" t="s">
        <v>2</v>
      </c>
      <c r="T78" s="58" t="s">
        <v>2</v>
      </c>
      <c r="U78" s="33"/>
      <c r="V78" s="33"/>
      <c r="W78" s="14"/>
      <c r="X78" s="33" t="s">
        <v>120</v>
      </c>
      <c r="Y78" s="33" t="s">
        <v>120</v>
      </c>
      <c r="Z78" s="58" t="s">
        <v>2</v>
      </c>
      <c r="AA78" s="58" t="s">
        <v>2</v>
      </c>
      <c r="AB78" s="33"/>
      <c r="AC78" s="33"/>
      <c r="AD78" s="33" t="s">
        <v>120</v>
      </c>
      <c r="AE78" s="33" t="s">
        <v>120</v>
      </c>
      <c r="AF78" s="1"/>
      <c r="AH78" s="16">
        <f t="shared" si="9"/>
        <v>0</v>
      </c>
      <c r="AI78" s="16">
        <f t="shared" si="10"/>
        <v>0</v>
      </c>
    </row>
    <row r="79" spans="1:35" ht="20.100000000000001" customHeight="1">
      <c r="A79" s="18" t="str">
        <f>ÖSSZES!$A$98</f>
        <v>Bulyáki Csaba</v>
      </c>
      <c r="B79" s="33"/>
      <c r="C79" s="33"/>
      <c r="D79" s="15"/>
      <c r="E79" s="58" t="s">
        <v>2</v>
      </c>
      <c r="F79" s="58" t="s">
        <v>2</v>
      </c>
      <c r="G79" s="33"/>
      <c r="H79" s="33"/>
      <c r="I79" s="33"/>
      <c r="J79" s="33"/>
      <c r="K79" s="60" t="s">
        <v>75</v>
      </c>
      <c r="L79" s="58" t="s">
        <v>2</v>
      </c>
      <c r="M79" s="58" t="s">
        <v>2</v>
      </c>
      <c r="N79" s="60" t="s">
        <v>75</v>
      </c>
      <c r="O79" s="33"/>
      <c r="P79" s="33"/>
      <c r="Q79" s="33"/>
      <c r="R79" s="14" t="s">
        <v>120</v>
      </c>
      <c r="S79" s="58" t="s">
        <v>2</v>
      </c>
      <c r="T79" s="58" t="s">
        <v>2</v>
      </c>
      <c r="U79" s="33" t="s">
        <v>120</v>
      </c>
      <c r="V79" s="33"/>
      <c r="W79" s="14"/>
      <c r="X79" s="33"/>
      <c r="Y79" s="15"/>
      <c r="Z79" s="58" t="s">
        <v>2</v>
      </c>
      <c r="AA79" s="58" t="s">
        <v>2</v>
      </c>
      <c r="AB79" s="33" t="s">
        <v>120</v>
      </c>
      <c r="AC79" s="33"/>
      <c r="AD79" s="33"/>
      <c r="AE79" s="33" t="s">
        <v>120</v>
      </c>
      <c r="AF79" s="1"/>
      <c r="AH79" s="16">
        <f t="shared" si="9"/>
        <v>0</v>
      </c>
      <c r="AI79" s="16">
        <f t="shared" si="10"/>
        <v>0</v>
      </c>
    </row>
    <row r="80" spans="1:35" ht="20.100000000000001" customHeight="1">
      <c r="A80" s="18" t="str">
        <f>ÖSSZES!$A$99</f>
        <v>Fekete Tamás</v>
      </c>
      <c r="B80" s="33"/>
      <c r="C80" s="33"/>
      <c r="D80" s="15" t="s">
        <v>120</v>
      </c>
      <c r="E80" s="58" t="s">
        <v>2</v>
      </c>
      <c r="F80" s="58" t="s">
        <v>2</v>
      </c>
      <c r="G80" s="33"/>
      <c r="H80" s="33"/>
      <c r="I80" s="33"/>
      <c r="J80" s="33"/>
      <c r="K80" s="60" t="s">
        <v>75</v>
      </c>
      <c r="L80" s="58" t="s">
        <v>2</v>
      </c>
      <c r="M80" s="58" t="s">
        <v>2</v>
      </c>
      <c r="N80" s="60" t="s">
        <v>75</v>
      </c>
      <c r="O80" s="33"/>
      <c r="P80" s="33"/>
      <c r="Q80" s="33"/>
      <c r="R80" s="14"/>
      <c r="S80" s="58" t="s">
        <v>2</v>
      </c>
      <c r="T80" s="58" t="s">
        <v>2</v>
      </c>
      <c r="U80" s="33"/>
      <c r="V80" s="33"/>
      <c r="W80" s="14"/>
      <c r="X80" s="33"/>
      <c r="Y80" s="15"/>
      <c r="Z80" s="58" t="s">
        <v>2</v>
      </c>
      <c r="AA80" s="58" t="s">
        <v>2</v>
      </c>
      <c r="AB80" s="33"/>
      <c r="AC80" s="33"/>
      <c r="AD80" s="33"/>
      <c r="AE80" s="33" t="s">
        <v>120</v>
      </c>
      <c r="AF80" s="1"/>
      <c r="AH80" s="16">
        <f t="shared" si="9"/>
        <v>0</v>
      </c>
      <c r="AI80" s="16">
        <f t="shared" si="10"/>
        <v>0</v>
      </c>
    </row>
    <row r="81" spans="1:35" ht="20.100000000000001" customHeight="1">
      <c r="A81" s="18" t="str">
        <f>ÖSSZES!$A$100</f>
        <v>Péter Csaba</v>
      </c>
      <c r="B81" s="33"/>
      <c r="C81" s="33"/>
      <c r="D81" s="15"/>
      <c r="E81" s="58" t="s">
        <v>2</v>
      </c>
      <c r="F81" s="58" t="s">
        <v>2</v>
      </c>
      <c r="G81" s="33"/>
      <c r="H81" s="33"/>
      <c r="I81" s="33"/>
      <c r="J81" s="33"/>
      <c r="K81" s="60" t="s">
        <v>75</v>
      </c>
      <c r="L81" s="58" t="s">
        <v>2</v>
      </c>
      <c r="M81" s="58" t="s">
        <v>2</v>
      </c>
      <c r="N81" s="60" t="s">
        <v>75</v>
      </c>
      <c r="O81" s="33"/>
      <c r="P81" s="33"/>
      <c r="Q81" s="33"/>
      <c r="R81" s="14"/>
      <c r="S81" s="58" t="s">
        <v>2</v>
      </c>
      <c r="T81" s="58" t="s">
        <v>2</v>
      </c>
      <c r="U81" s="33"/>
      <c r="V81" s="33"/>
      <c r="W81" s="14"/>
      <c r="X81" s="33"/>
      <c r="Y81" s="15"/>
      <c r="Z81" s="58" t="s">
        <v>2</v>
      </c>
      <c r="AA81" s="58" t="s">
        <v>2</v>
      </c>
      <c r="AB81" s="33"/>
      <c r="AC81" s="33"/>
      <c r="AD81" s="33"/>
      <c r="AE81" s="15"/>
      <c r="AF81" s="1"/>
      <c r="AH81" s="16">
        <f t="shared" si="9"/>
        <v>0</v>
      </c>
      <c r="AI81" s="16">
        <f t="shared" si="10"/>
        <v>0</v>
      </c>
    </row>
    <row r="82" spans="1:35" ht="20.100000000000001" customHeight="1">
      <c r="A82" s="18" t="str">
        <f>ÖSSZES!$A$101</f>
        <v>Tóth János</v>
      </c>
      <c r="B82" s="33"/>
      <c r="C82" s="33"/>
      <c r="D82" s="15"/>
      <c r="E82" s="58" t="s">
        <v>2</v>
      </c>
      <c r="F82" s="58" t="s">
        <v>2</v>
      </c>
      <c r="G82" s="33" t="s">
        <v>118</v>
      </c>
      <c r="H82" s="33" t="s">
        <v>118</v>
      </c>
      <c r="I82" s="33" t="s">
        <v>118</v>
      </c>
      <c r="J82" s="33" t="s">
        <v>118</v>
      </c>
      <c r="K82" s="60" t="s">
        <v>75</v>
      </c>
      <c r="L82" s="58" t="s">
        <v>2</v>
      </c>
      <c r="M82" s="58" t="s">
        <v>2</v>
      </c>
      <c r="N82" s="60" t="s">
        <v>75</v>
      </c>
      <c r="O82" s="33" t="s">
        <v>118</v>
      </c>
      <c r="P82" s="33" t="s">
        <v>20</v>
      </c>
      <c r="Q82" s="33" t="s">
        <v>20</v>
      </c>
      <c r="R82" s="14" t="s">
        <v>20</v>
      </c>
      <c r="S82" s="58" t="s">
        <v>2</v>
      </c>
      <c r="T82" s="58" t="s">
        <v>2</v>
      </c>
      <c r="U82" s="33"/>
      <c r="V82" s="33"/>
      <c r="W82" s="14"/>
      <c r="X82" s="33"/>
      <c r="Y82" s="15"/>
      <c r="Z82" s="58" t="s">
        <v>2</v>
      </c>
      <c r="AA82" s="58" t="s">
        <v>2</v>
      </c>
      <c r="AB82" s="33"/>
      <c r="AC82" s="33"/>
      <c r="AD82" s="33"/>
      <c r="AE82" s="15"/>
      <c r="AF82" s="1"/>
      <c r="AH82" s="16">
        <f t="shared" si="9"/>
        <v>0</v>
      </c>
      <c r="AI82" s="16">
        <f t="shared" si="10"/>
        <v>3</v>
      </c>
    </row>
    <row r="83" spans="1:35" ht="20.100000000000001" customHeight="1">
      <c r="A83" s="18" t="str">
        <f>ÖSSZES!$A$102</f>
        <v>Tóth Krisztián</v>
      </c>
      <c r="B83" s="33" t="s">
        <v>120</v>
      </c>
      <c r="C83" s="33" t="s">
        <v>120</v>
      </c>
      <c r="D83" s="15" t="s">
        <v>120</v>
      </c>
      <c r="E83" s="58" t="s">
        <v>2</v>
      </c>
      <c r="F83" s="58" t="s">
        <v>2</v>
      </c>
      <c r="G83" s="33"/>
      <c r="H83" s="33"/>
      <c r="I83" s="33"/>
      <c r="J83" s="33"/>
      <c r="K83" s="60" t="s">
        <v>75</v>
      </c>
      <c r="L83" s="58" t="s">
        <v>2</v>
      </c>
      <c r="M83" s="58" t="s">
        <v>2</v>
      </c>
      <c r="N83" s="60" t="s">
        <v>75</v>
      </c>
      <c r="O83" s="33"/>
      <c r="P83" s="33"/>
      <c r="Q83" s="33"/>
      <c r="R83" s="14"/>
      <c r="S83" s="58" t="s">
        <v>2</v>
      </c>
      <c r="T83" s="58" t="s">
        <v>2</v>
      </c>
      <c r="U83" s="33"/>
      <c r="V83" s="33"/>
      <c r="W83" s="14"/>
      <c r="X83" s="33"/>
      <c r="Y83" s="15"/>
      <c r="Z83" s="58" t="s">
        <v>2</v>
      </c>
      <c r="AA83" s="58" t="s">
        <v>2</v>
      </c>
      <c r="AB83" s="33"/>
      <c r="AC83" s="33"/>
      <c r="AD83" s="33"/>
      <c r="AE83" s="15"/>
      <c r="AF83" s="1"/>
      <c r="AH83" s="16">
        <f t="shared" si="9"/>
        <v>0</v>
      </c>
      <c r="AI83" s="16">
        <f t="shared" si="10"/>
        <v>0</v>
      </c>
    </row>
    <row r="84" spans="1:35" ht="20.100000000000001" customHeight="1">
      <c r="A84" s="18" t="str">
        <f>ÖSSZES!$A$103</f>
        <v>Tassi Szilárd</v>
      </c>
      <c r="B84" s="33"/>
      <c r="C84" s="33"/>
      <c r="D84" s="15"/>
      <c r="E84" s="58" t="s">
        <v>2</v>
      </c>
      <c r="F84" s="58" t="s">
        <v>2</v>
      </c>
      <c r="G84" s="33" t="s">
        <v>120</v>
      </c>
      <c r="H84" s="33"/>
      <c r="I84" s="33" t="s">
        <v>120</v>
      </c>
      <c r="J84" s="33"/>
      <c r="K84" s="60" t="s">
        <v>75</v>
      </c>
      <c r="L84" s="58" t="s">
        <v>2</v>
      </c>
      <c r="M84" s="58" t="s">
        <v>2</v>
      </c>
      <c r="N84" s="60" t="s">
        <v>75</v>
      </c>
      <c r="O84" s="33"/>
      <c r="P84" s="33"/>
      <c r="Q84" s="33"/>
      <c r="R84" s="14" t="s">
        <v>120</v>
      </c>
      <c r="S84" s="58" t="s">
        <v>2</v>
      </c>
      <c r="T84" s="58" t="s">
        <v>2</v>
      </c>
      <c r="U84" s="33"/>
      <c r="V84" s="33"/>
      <c r="W84" s="14"/>
      <c r="X84" s="33" t="s">
        <v>118</v>
      </c>
      <c r="Y84" s="15" t="s">
        <v>118</v>
      </c>
      <c r="Z84" s="58" t="s">
        <v>2</v>
      </c>
      <c r="AA84" s="58" t="s">
        <v>2</v>
      </c>
      <c r="AB84" s="33"/>
      <c r="AC84" s="33"/>
      <c r="AD84" s="33"/>
      <c r="AE84" s="15"/>
      <c r="AF84" s="1"/>
      <c r="AH84" s="16">
        <f t="shared" si="9"/>
        <v>0</v>
      </c>
      <c r="AI84" s="16">
        <f t="shared" si="10"/>
        <v>0</v>
      </c>
    </row>
    <row r="85" spans="1:35" ht="20.100000000000001" customHeight="1">
      <c r="A85" s="18" t="str">
        <f>ÖSSZES!$A$104</f>
        <v>Dancsi Attila</v>
      </c>
      <c r="B85" s="33"/>
      <c r="C85" s="33"/>
      <c r="D85" s="15"/>
      <c r="E85" s="58" t="s">
        <v>2</v>
      </c>
      <c r="F85" s="58" t="s">
        <v>2</v>
      </c>
      <c r="G85" s="33"/>
      <c r="H85" s="33"/>
      <c r="I85" s="33"/>
      <c r="J85" s="33"/>
      <c r="K85" s="60" t="s">
        <v>75</v>
      </c>
      <c r="L85" s="58" t="s">
        <v>2</v>
      </c>
      <c r="M85" s="58" t="s">
        <v>2</v>
      </c>
      <c r="N85" s="60" t="s">
        <v>75</v>
      </c>
      <c r="O85" s="33"/>
      <c r="P85" s="33"/>
      <c r="Q85" s="33"/>
      <c r="R85" s="14" t="s">
        <v>20</v>
      </c>
      <c r="S85" s="58" t="s">
        <v>2</v>
      </c>
      <c r="T85" s="58" t="s">
        <v>2</v>
      </c>
      <c r="U85" s="33"/>
      <c r="V85" s="33"/>
      <c r="W85" s="14"/>
      <c r="X85" s="33"/>
      <c r="Y85" s="15"/>
      <c r="Z85" s="58" t="s">
        <v>2</v>
      </c>
      <c r="AA85" s="58" t="s">
        <v>2</v>
      </c>
      <c r="AB85" s="33"/>
      <c r="AC85" s="33"/>
      <c r="AD85" s="33"/>
      <c r="AE85" s="15"/>
      <c r="AF85" s="1"/>
      <c r="AH85" s="16">
        <f t="shared" si="9"/>
        <v>0</v>
      </c>
      <c r="AI85" s="16">
        <f t="shared" si="10"/>
        <v>1</v>
      </c>
    </row>
    <row r="86" spans="1:35" ht="20.100000000000001" customHeight="1">
      <c r="A86" s="18" t="str">
        <f>ÖSSZES!$A$105</f>
        <v>Iványi Roland</v>
      </c>
      <c r="B86" s="33"/>
      <c r="C86" s="33"/>
      <c r="D86" s="15"/>
      <c r="E86" s="58" t="s">
        <v>2</v>
      </c>
      <c r="F86" s="58" t="s">
        <v>2</v>
      </c>
      <c r="G86" s="33"/>
      <c r="H86" s="33"/>
      <c r="I86" s="33"/>
      <c r="J86" s="33"/>
      <c r="K86" s="60" t="s">
        <v>75</v>
      </c>
      <c r="L86" s="58" t="s">
        <v>2</v>
      </c>
      <c r="M86" s="58" t="s">
        <v>2</v>
      </c>
      <c r="N86" s="60" t="s">
        <v>75</v>
      </c>
      <c r="O86" s="33"/>
      <c r="P86" s="33"/>
      <c r="Q86" s="33"/>
      <c r="R86" s="14"/>
      <c r="S86" s="58" t="s">
        <v>2</v>
      </c>
      <c r="T86" s="58" t="s">
        <v>2</v>
      </c>
      <c r="U86" s="33"/>
      <c r="V86" s="33"/>
      <c r="W86" s="14"/>
      <c r="X86" s="33"/>
      <c r="Y86" s="15"/>
      <c r="Z86" s="58" t="s">
        <v>2</v>
      </c>
      <c r="AA86" s="58" t="s">
        <v>2</v>
      </c>
      <c r="AB86" s="33"/>
      <c r="AC86" s="33"/>
      <c r="AD86" s="33"/>
      <c r="AE86" s="15"/>
      <c r="AF86" s="1"/>
      <c r="AH86" s="16">
        <f t="shared" si="9"/>
        <v>0</v>
      </c>
      <c r="AI86" s="16">
        <f t="shared" si="10"/>
        <v>0</v>
      </c>
    </row>
    <row r="87" spans="1:35" ht="20.100000000000001" hidden="1" customHeight="1">
      <c r="A87" s="18" t="str">
        <f>ÖSSZES!$A$106</f>
        <v>Név12</v>
      </c>
      <c r="B87" s="33"/>
      <c r="C87" s="33"/>
      <c r="D87" s="15"/>
      <c r="E87" s="58" t="s">
        <v>2</v>
      </c>
      <c r="F87" s="58" t="s">
        <v>2</v>
      </c>
      <c r="G87" s="33"/>
      <c r="H87" s="33"/>
      <c r="I87" s="33"/>
      <c r="J87" s="33"/>
      <c r="K87" s="60" t="s">
        <v>75</v>
      </c>
      <c r="L87" s="58" t="s">
        <v>2</v>
      </c>
      <c r="M87" s="58" t="s">
        <v>2</v>
      </c>
      <c r="N87" s="60" t="s">
        <v>75</v>
      </c>
      <c r="O87" s="33"/>
      <c r="P87" s="33"/>
      <c r="Q87" s="33"/>
      <c r="R87" s="14"/>
      <c r="S87" s="58" t="s">
        <v>2</v>
      </c>
      <c r="T87" s="58" t="s">
        <v>2</v>
      </c>
      <c r="U87" s="33"/>
      <c r="V87" s="33"/>
      <c r="W87" s="14"/>
      <c r="X87" s="33"/>
      <c r="Y87" s="15"/>
      <c r="Z87" s="58" t="s">
        <v>2</v>
      </c>
      <c r="AA87" s="58" t="s">
        <v>2</v>
      </c>
      <c r="AB87" s="33"/>
      <c r="AC87" s="33"/>
      <c r="AD87" s="33"/>
      <c r="AE87" s="15"/>
      <c r="AF87" s="1"/>
      <c r="AH87" s="16">
        <f t="shared" si="9"/>
        <v>0</v>
      </c>
      <c r="AI87" s="16">
        <f t="shared" si="10"/>
        <v>0</v>
      </c>
    </row>
    <row r="88" spans="1:35" ht="20.100000000000001" hidden="1" customHeight="1">
      <c r="A88" s="18" t="str">
        <f>ÖSSZES!$A$107</f>
        <v>Név13</v>
      </c>
      <c r="B88" s="33"/>
      <c r="C88" s="33"/>
      <c r="D88" s="15"/>
      <c r="E88" s="58" t="s">
        <v>2</v>
      </c>
      <c r="F88" s="58" t="s">
        <v>2</v>
      </c>
      <c r="G88" s="33"/>
      <c r="H88" s="33"/>
      <c r="I88" s="33"/>
      <c r="J88" s="33"/>
      <c r="K88" s="60" t="s">
        <v>75</v>
      </c>
      <c r="L88" s="58" t="s">
        <v>2</v>
      </c>
      <c r="M88" s="58" t="s">
        <v>2</v>
      </c>
      <c r="N88" s="60" t="s">
        <v>75</v>
      </c>
      <c r="O88" s="33"/>
      <c r="P88" s="33"/>
      <c r="Q88" s="33"/>
      <c r="R88" s="14"/>
      <c r="S88" s="58" t="s">
        <v>2</v>
      </c>
      <c r="T88" s="58" t="s">
        <v>2</v>
      </c>
      <c r="U88" s="33"/>
      <c r="V88" s="33"/>
      <c r="W88" s="14"/>
      <c r="X88" s="33"/>
      <c r="Y88" s="15"/>
      <c r="Z88" s="58" t="s">
        <v>2</v>
      </c>
      <c r="AA88" s="58" t="s">
        <v>2</v>
      </c>
      <c r="AB88" s="33"/>
      <c r="AC88" s="33"/>
      <c r="AD88" s="33"/>
      <c r="AE88" s="15"/>
      <c r="AF88" s="1"/>
      <c r="AH88" s="16">
        <f t="shared" si="9"/>
        <v>0</v>
      </c>
      <c r="AI88" s="16">
        <f t="shared" si="10"/>
        <v>0</v>
      </c>
    </row>
    <row r="89" spans="1:35" ht="20.100000000000001" hidden="1" customHeight="1">
      <c r="A89" s="18" t="str">
        <f>ÖSSZES!$A$108</f>
        <v>Név14</v>
      </c>
      <c r="B89" s="33"/>
      <c r="C89" s="33"/>
      <c r="D89" s="15"/>
      <c r="E89" s="58" t="s">
        <v>2</v>
      </c>
      <c r="F89" s="58" t="s">
        <v>2</v>
      </c>
      <c r="G89" s="33"/>
      <c r="H89" s="33"/>
      <c r="I89" s="33"/>
      <c r="J89" s="33"/>
      <c r="K89" s="60" t="s">
        <v>75</v>
      </c>
      <c r="L89" s="58" t="s">
        <v>2</v>
      </c>
      <c r="M89" s="58" t="s">
        <v>2</v>
      </c>
      <c r="N89" s="60" t="s">
        <v>75</v>
      </c>
      <c r="O89" s="33"/>
      <c r="P89" s="33"/>
      <c r="Q89" s="33"/>
      <c r="R89" s="14"/>
      <c r="S89" s="58" t="s">
        <v>2</v>
      </c>
      <c r="T89" s="58" t="s">
        <v>2</v>
      </c>
      <c r="U89" s="33"/>
      <c r="V89" s="33"/>
      <c r="W89" s="14"/>
      <c r="X89" s="33"/>
      <c r="Y89" s="15"/>
      <c r="Z89" s="58" t="s">
        <v>2</v>
      </c>
      <c r="AA89" s="58" t="s">
        <v>2</v>
      </c>
      <c r="AB89" s="33"/>
      <c r="AC89" s="33"/>
      <c r="AD89" s="33"/>
      <c r="AE89" s="15"/>
      <c r="AF89" s="1"/>
      <c r="AH89" s="16">
        <f t="shared" si="9"/>
        <v>0</v>
      </c>
      <c r="AI89" s="16">
        <f t="shared" si="10"/>
        <v>0</v>
      </c>
    </row>
    <row r="90" spans="1:35" ht="20.100000000000001" hidden="1" customHeight="1">
      <c r="A90" s="18" t="str">
        <f>ÖSSZES!$A$109</f>
        <v>Név15</v>
      </c>
      <c r="B90" s="33"/>
      <c r="C90" s="33"/>
      <c r="D90" s="15"/>
      <c r="E90" s="58" t="s">
        <v>2</v>
      </c>
      <c r="F90" s="58" t="s">
        <v>2</v>
      </c>
      <c r="G90" s="33"/>
      <c r="H90" s="33"/>
      <c r="I90" s="33"/>
      <c r="J90" s="33"/>
      <c r="K90" s="60" t="s">
        <v>75</v>
      </c>
      <c r="L90" s="58" t="s">
        <v>2</v>
      </c>
      <c r="M90" s="58" t="s">
        <v>2</v>
      </c>
      <c r="N90" s="60" t="s">
        <v>75</v>
      </c>
      <c r="O90" s="33"/>
      <c r="P90" s="33"/>
      <c r="Q90" s="33"/>
      <c r="R90" s="14"/>
      <c r="S90" s="58" t="s">
        <v>2</v>
      </c>
      <c r="T90" s="58" t="s">
        <v>2</v>
      </c>
      <c r="U90" s="33"/>
      <c r="V90" s="33"/>
      <c r="W90" s="14"/>
      <c r="X90" s="33"/>
      <c r="Y90" s="15"/>
      <c r="Z90" s="58" t="s">
        <v>2</v>
      </c>
      <c r="AA90" s="58" t="s">
        <v>2</v>
      </c>
      <c r="AB90" s="33"/>
      <c r="AC90" s="33"/>
      <c r="AD90" s="33"/>
      <c r="AE90" s="15"/>
      <c r="AF90" s="1"/>
      <c r="AH90" s="16">
        <f t="shared" si="9"/>
        <v>0</v>
      </c>
      <c r="AI90" s="16">
        <f t="shared" si="10"/>
        <v>0</v>
      </c>
    </row>
    <row r="91" spans="1:35" ht="20.100000000000001" hidden="1" customHeight="1">
      <c r="A91" s="18" t="str">
        <f>ÖSSZES!$A$110</f>
        <v>Név16</v>
      </c>
      <c r="B91" s="33"/>
      <c r="C91" s="33"/>
      <c r="D91" s="15"/>
      <c r="E91" s="58" t="s">
        <v>2</v>
      </c>
      <c r="F91" s="58" t="s">
        <v>2</v>
      </c>
      <c r="G91" s="33"/>
      <c r="H91" s="33"/>
      <c r="I91" s="33"/>
      <c r="J91" s="33"/>
      <c r="K91" s="60" t="s">
        <v>75</v>
      </c>
      <c r="L91" s="58" t="s">
        <v>2</v>
      </c>
      <c r="M91" s="58" t="s">
        <v>2</v>
      </c>
      <c r="N91" s="60" t="s">
        <v>75</v>
      </c>
      <c r="O91" s="33"/>
      <c r="P91" s="33"/>
      <c r="Q91" s="33"/>
      <c r="R91" s="14"/>
      <c r="S91" s="58" t="s">
        <v>2</v>
      </c>
      <c r="T91" s="58" t="s">
        <v>2</v>
      </c>
      <c r="U91" s="33"/>
      <c r="V91" s="33"/>
      <c r="W91" s="14"/>
      <c r="X91" s="33"/>
      <c r="Y91" s="15"/>
      <c r="Z91" s="58" t="s">
        <v>2</v>
      </c>
      <c r="AA91" s="58" t="s">
        <v>2</v>
      </c>
      <c r="AB91" s="33"/>
      <c r="AC91" s="33"/>
      <c r="AD91" s="33"/>
      <c r="AE91" s="15"/>
      <c r="AF91" s="1"/>
      <c r="AH91" s="16">
        <f t="shared" si="9"/>
        <v>0</v>
      </c>
      <c r="AI91" s="16">
        <f t="shared" si="10"/>
        <v>0</v>
      </c>
    </row>
    <row r="92" spans="1:35" ht="20.100000000000001" hidden="1" customHeight="1">
      <c r="A92" s="18" t="str">
        <f>ÖSSZES!$A$111</f>
        <v>Név17</v>
      </c>
      <c r="B92" s="33"/>
      <c r="C92" s="33"/>
      <c r="D92" s="15"/>
      <c r="E92" s="58" t="s">
        <v>2</v>
      </c>
      <c r="F92" s="58" t="s">
        <v>2</v>
      </c>
      <c r="G92" s="33"/>
      <c r="H92" s="33"/>
      <c r="I92" s="33"/>
      <c r="J92" s="33"/>
      <c r="K92" s="60" t="s">
        <v>75</v>
      </c>
      <c r="L92" s="58" t="s">
        <v>2</v>
      </c>
      <c r="M92" s="58" t="s">
        <v>2</v>
      </c>
      <c r="N92" s="60" t="s">
        <v>75</v>
      </c>
      <c r="O92" s="33"/>
      <c r="P92" s="33"/>
      <c r="Q92" s="33"/>
      <c r="R92" s="14"/>
      <c r="S92" s="58" t="s">
        <v>2</v>
      </c>
      <c r="T92" s="58" t="s">
        <v>2</v>
      </c>
      <c r="U92" s="33"/>
      <c r="V92" s="33"/>
      <c r="W92" s="14"/>
      <c r="X92" s="33"/>
      <c r="Y92" s="15"/>
      <c r="Z92" s="58" t="s">
        <v>2</v>
      </c>
      <c r="AA92" s="58" t="s">
        <v>2</v>
      </c>
      <c r="AB92" s="33"/>
      <c r="AC92" s="33"/>
      <c r="AD92" s="33"/>
      <c r="AE92" s="15"/>
      <c r="AF92" s="1"/>
      <c r="AH92" s="16">
        <f t="shared" si="9"/>
        <v>0</v>
      </c>
      <c r="AI92" s="16">
        <f t="shared" si="10"/>
        <v>0</v>
      </c>
    </row>
    <row r="93" spans="1:35" ht="20.100000000000001" hidden="1" customHeight="1">
      <c r="A93" s="18" t="str">
        <f>ÖSSZES!$A$112</f>
        <v>Név18</v>
      </c>
      <c r="B93" s="33"/>
      <c r="C93" s="33"/>
      <c r="D93" s="15"/>
      <c r="E93" s="58" t="s">
        <v>2</v>
      </c>
      <c r="F93" s="58" t="s">
        <v>2</v>
      </c>
      <c r="G93" s="33"/>
      <c r="H93" s="33"/>
      <c r="I93" s="33"/>
      <c r="J93" s="33"/>
      <c r="K93" s="60" t="s">
        <v>75</v>
      </c>
      <c r="L93" s="58" t="s">
        <v>2</v>
      </c>
      <c r="M93" s="58" t="s">
        <v>2</v>
      </c>
      <c r="N93" s="60" t="s">
        <v>75</v>
      </c>
      <c r="O93" s="33"/>
      <c r="P93" s="33"/>
      <c r="Q93" s="33"/>
      <c r="R93" s="14"/>
      <c r="S93" s="58" t="s">
        <v>2</v>
      </c>
      <c r="T93" s="58" t="s">
        <v>2</v>
      </c>
      <c r="U93" s="33"/>
      <c r="V93" s="33"/>
      <c r="W93" s="14"/>
      <c r="X93" s="33"/>
      <c r="Y93" s="15"/>
      <c r="Z93" s="58" t="s">
        <v>2</v>
      </c>
      <c r="AA93" s="58" t="s">
        <v>2</v>
      </c>
      <c r="AB93" s="33"/>
      <c r="AC93" s="33"/>
      <c r="AD93" s="33"/>
      <c r="AE93" s="15"/>
      <c r="AF93" s="1"/>
      <c r="AH93" s="16">
        <f t="shared" si="9"/>
        <v>0</v>
      </c>
      <c r="AI93" s="16">
        <f t="shared" si="10"/>
        <v>0</v>
      </c>
    </row>
    <row r="94" spans="1:35" ht="20.100000000000001" hidden="1" customHeight="1">
      <c r="A94" s="18" t="str">
        <f>ÖSSZES!$A$113</f>
        <v>Név19</v>
      </c>
      <c r="B94" s="33"/>
      <c r="C94" s="33"/>
      <c r="D94" s="15"/>
      <c r="E94" s="58" t="s">
        <v>2</v>
      </c>
      <c r="F94" s="58" t="s">
        <v>2</v>
      </c>
      <c r="G94" s="33"/>
      <c r="H94" s="33"/>
      <c r="I94" s="33"/>
      <c r="J94" s="33"/>
      <c r="K94" s="60" t="s">
        <v>75</v>
      </c>
      <c r="L94" s="58" t="s">
        <v>2</v>
      </c>
      <c r="M94" s="58" t="s">
        <v>2</v>
      </c>
      <c r="N94" s="60" t="s">
        <v>75</v>
      </c>
      <c r="O94" s="33"/>
      <c r="P94" s="33"/>
      <c r="Q94" s="33"/>
      <c r="R94" s="14"/>
      <c r="S94" s="58" t="s">
        <v>2</v>
      </c>
      <c r="T94" s="58" t="s">
        <v>2</v>
      </c>
      <c r="U94" s="33"/>
      <c r="V94" s="33"/>
      <c r="W94" s="14"/>
      <c r="X94" s="33"/>
      <c r="Y94" s="15"/>
      <c r="Z94" s="58" t="s">
        <v>2</v>
      </c>
      <c r="AA94" s="58" t="s">
        <v>2</v>
      </c>
      <c r="AB94" s="33"/>
      <c r="AC94" s="33"/>
      <c r="AD94" s="33"/>
      <c r="AE94" s="15"/>
      <c r="AF94" s="1"/>
      <c r="AH94" s="16">
        <f t="shared" si="9"/>
        <v>0</v>
      </c>
      <c r="AI94" s="16">
        <f t="shared" si="10"/>
        <v>0</v>
      </c>
    </row>
    <row r="95" spans="1:35" ht="20.100000000000001" hidden="1" customHeight="1">
      <c r="A95" s="18" t="str">
        <f>ÖSSZES!$A$114</f>
        <v>Név20</v>
      </c>
      <c r="B95" s="33"/>
      <c r="C95" s="33"/>
      <c r="D95" s="15"/>
      <c r="E95" s="58" t="s">
        <v>2</v>
      </c>
      <c r="F95" s="58" t="s">
        <v>2</v>
      </c>
      <c r="G95" s="33"/>
      <c r="H95" s="33"/>
      <c r="I95" s="33"/>
      <c r="J95" s="33"/>
      <c r="K95" s="60" t="s">
        <v>75</v>
      </c>
      <c r="L95" s="58" t="s">
        <v>2</v>
      </c>
      <c r="M95" s="58" t="s">
        <v>2</v>
      </c>
      <c r="N95" s="60" t="s">
        <v>75</v>
      </c>
      <c r="O95" s="33"/>
      <c r="P95" s="33"/>
      <c r="Q95" s="33"/>
      <c r="R95" s="14"/>
      <c r="S95" s="58" t="s">
        <v>2</v>
      </c>
      <c r="T95" s="58" t="s">
        <v>2</v>
      </c>
      <c r="U95" s="33"/>
      <c r="V95" s="33"/>
      <c r="W95" s="14"/>
      <c r="X95" s="33"/>
      <c r="Y95" s="15"/>
      <c r="Z95" s="58" t="s">
        <v>2</v>
      </c>
      <c r="AA95" s="58" t="s">
        <v>2</v>
      </c>
      <c r="AB95" s="33"/>
      <c r="AC95" s="33"/>
      <c r="AD95" s="33"/>
      <c r="AE95" s="15"/>
      <c r="AF95" s="1"/>
      <c r="AH95" s="16">
        <f t="shared" si="9"/>
        <v>0</v>
      </c>
      <c r="AI95" s="16">
        <f t="shared" si="10"/>
        <v>0</v>
      </c>
    </row>
    <row r="96" spans="1:35" ht="20.100000000000001" customHeight="1"/>
    <row r="97" spans="1:35" s="6" customFormat="1" ht="20.100000000000001" customHeight="1">
      <c r="A97" s="91" t="s">
        <v>9</v>
      </c>
      <c r="B97" s="19">
        <v>1</v>
      </c>
      <c r="C97" s="17">
        <v>2</v>
      </c>
      <c r="D97" s="17">
        <v>3</v>
      </c>
      <c r="E97" s="17">
        <v>4</v>
      </c>
      <c r="F97" s="17">
        <v>5</v>
      </c>
      <c r="G97" s="17">
        <v>6</v>
      </c>
      <c r="H97" s="17">
        <v>7</v>
      </c>
      <c r="I97" s="17">
        <v>8</v>
      </c>
      <c r="J97" s="17">
        <v>9</v>
      </c>
      <c r="K97" s="17">
        <v>10</v>
      </c>
      <c r="L97" s="17">
        <v>11</v>
      </c>
      <c r="M97" s="17">
        <v>12</v>
      </c>
      <c r="N97" s="17">
        <v>13</v>
      </c>
      <c r="O97" s="17">
        <v>14</v>
      </c>
      <c r="P97" s="17">
        <v>15</v>
      </c>
      <c r="Q97" s="17">
        <v>16</v>
      </c>
      <c r="R97" s="17">
        <v>17</v>
      </c>
      <c r="S97" s="17">
        <v>18</v>
      </c>
      <c r="T97" s="17">
        <v>19</v>
      </c>
      <c r="U97" s="17">
        <v>20</v>
      </c>
      <c r="V97" s="17">
        <v>21</v>
      </c>
      <c r="W97" s="17">
        <v>22</v>
      </c>
      <c r="X97" s="17">
        <v>23</v>
      </c>
      <c r="Y97" s="17">
        <v>24</v>
      </c>
      <c r="Z97" s="17">
        <v>25</v>
      </c>
      <c r="AA97" s="17">
        <v>26</v>
      </c>
      <c r="AB97" s="17">
        <v>27</v>
      </c>
      <c r="AC97" s="17">
        <v>28</v>
      </c>
      <c r="AD97" s="17">
        <v>29</v>
      </c>
      <c r="AE97" s="17">
        <v>30</v>
      </c>
      <c r="AF97" s="32">
        <v>31</v>
      </c>
      <c r="AH97" s="93" t="s">
        <v>18</v>
      </c>
      <c r="AI97" s="93" t="s">
        <v>19</v>
      </c>
    </row>
    <row r="98" spans="1:35" ht="20.100000000000001" customHeight="1">
      <c r="A98" s="96"/>
      <c r="B98" s="11" t="str">
        <f>'2020'!B36</f>
        <v>P</v>
      </c>
      <c r="C98" s="11" t="str">
        <f>'2020'!C36</f>
        <v>Szo</v>
      </c>
      <c r="D98" s="11" t="str">
        <f>'2020'!D36</f>
        <v>V</v>
      </c>
      <c r="E98" s="11" t="str">
        <f>'2020'!E36</f>
        <v>H</v>
      </c>
      <c r="F98" s="11" t="str">
        <f>'2020'!F36</f>
        <v>K</v>
      </c>
      <c r="G98" s="11" t="str">
        <f>'2020'!G36</f>
        <v>Sze</v>
      </c>
      <c r="H98" s="11" t="str">
        <f>'2020'!H36</f>
        <v>Cs</v>
      </c>
      <c r="I98" s="11" t="str">
        <f>'2020'!I36</f>
        <v>P</v>
      </c>
      <c r="J98" s="11" t="str">
        <f>'2020'!J36</f>
        <v>Szo</v>
      </c>
      <c r="K98" s="11" t="str">
        <f>'2020'!K36</f>
        <v>V</v>
      </c>
      <c r="L98" s="11" t="str">
        <f>'2020'!L36</f>
        <v>H</v>
      </c>
      <c r="M98" s="11" t="str">
        <f>'2020'!M36</f>
        <v>K</v>
      </c>
      <c r="N98" s="11" t="str">
        <f>'2020'!N36</f>
        <v>Sze</v>
      </c>
      <c r="O98" s="11" t="str">
        <f>'2020'!O36</f>
        <v>Cs</v>
      </c>
      <c r="P98" s="11" t="str">
        <f>'2020'!P36</f>
        <v>P</v>
      </c>
      <c r="Q98" s="11" t="str">
        <f>'2020'!Q36</f>
        <v>Szo</v>
      </c>
      <c r="R98" s="11" t="str">
        <f>'2020'!R36</f>
        <v>V</v>
      </c>
      <c r="S98" s="11" t="str">
        <f>'2020'!S36</f>
        <v>H</v>
      </c>
      <c r="T98" s="11" t="str">
        <f>'2020'!T36</f>
        <v>K</v>
      </c>
      <c r="U98" s="11" t="str">
        <f>'2020'!U36</f>
        <v>Sze</v>
      </c>
      <c r="V98" s="11" t="str">
        <f>'2020'!V36</f>
        <v>Cs</v>
      </c>
      <c r="W98" s="11" t="str">
        <f>'2020'!W36</f>
        <v>P</v>
      </c>
      <c r="X98" s="11" t="str">
        <f>'2020'!X36</f>
        <v>Szo</v>
      </c>
      <c r="Y98" s="11" t="str">
        <f>'2020'!Y36</f>
        <v>V</v>
      </c>
      <c r="Z98" s="11" t="str">
        <f>'2020'!Z36</f>
        <v>H</v>
      </c>
      <c r="AA98" s="11" t="str">
        <f>'2020'!AA36</f>
        <v>K</v>
      </c>
      <c r="AB98" s="11" t="str">
        <f>'2020'!AB36</f>
        <v>Sze</v>
      </c>
      <c r="AC98" s="11" t="str">
        <f>'2020'!AC36</f>
        <v>Cs</v>
      </c>
      <c r="AD98" s="11" t="str">
        <f>'2020'!AD36</f>
        <v>P</v>
      </c>
      <c r="AE98" s="11" t="str">
        <f>'2020'!AE36</f>
        <v>Szo</v>
      </c>
      <c r="AF98" s="11" t="str">
        <f>'2020'!AF36</f>
        <v>V</v>
      </c>
      <c r="AH98" s="94"/>
      <c r="AI98" s="94"/>
    </row>
    <row r="99" spans="1:35" ht="20.100000000000001" customHeight="1">
      <c r="A99" s="96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H99" s="94"/>
      <c r="AI99" s="94"/>
    </row>
    <row r="100" spans="1:35" ht="20.100000000000001" customHeight="1">
      <c r="A100" s="18" t="str">
        <f>ÖSSZES!$A$95</f>
        <v>Kovács Kriszitán</v>
      </c>
      <c r="B100" s="60" t="s">
        <v>75</v>
      </c>
      <c r="C100" s="58" t="s">
        <v>2</v>
      </c>
      <c r="D100" s="58" t="s">
        <v>2</v>
      </c>
      <c r="E100" s="33"/>
      <c r="F100" s="33"/>
      <c r="G100" s="33"/>
      <c r="H100" s="33"/>
      <c r="I100" s="14"/>
      <c r="J100" s="58" t="s">
        <v>2</v>
      </c>
      <c r="K100" s="58" t="s">
        <v>2</v>
      </c>
      <c r="L100" s="33"/>
      <c r="M100" s="33"/>
      <c r="N100" s="33"/>
      <c r="O100" s="33"/>
      <c r="P100" s="14"/>
      <c r="Q100" s="58" t="s">
        <v>2</v>
      </c>
      <c r="R100" s="58" t="s">
        <v>2</v>
      </c>
      <c r="S100" s="33"/>
      <c r="T100" s="33"/>
      <c r="U100" s="33"/>
      <c r="V100" s="33"/>
      <c r="W100" s="14"/>
      <c r="X100" s="58" t="s">
        <v>2</v>
      </c>
      <c r="Y100" s="58" t="s">
        <v>2</v>
      </c>
      <c r="Z100" s="33"/>
      <c r="AA100" s="33"/>
      <c r="AB100" s="33"/>
      <c r="AC100" s="33"/>
      <c r="AD100" s="14"/>
      <c r="AE100" s="58" t="s">
        <v>2</v>
      </c>
      <c r="AF100" s="58" t="s">
        <v>2</v>
      </c>
      <c r="AH100" s="16">
        <f>1*COUNTIF(A100:AF100,"+")</f>
        <v>0</v>
      </c>
      <c r="AI100" s="16">
        <f t="shared" ref="AI100" si="11">1*COUNTIF(B100:AF100,"szf")</f>
        <v>0</v>
      </c>
    </row>
    <row r="101" spans="1:35" ht="20.100000000000001" customHeight="1">
      <c r="A101" s="18" t="str">
        <f>ÖSSZES!$A$96</f>
        <v>Besse Éva</v>
      </c>
      <c r="B101" s="60" t="s">
        <v>75</v>
      </c>
      <c r="C101" s="58" t="s">
        <v>2</v>
      </c>
      <c r="D101" s="58" t="s">
        <v>2</v>
      </c>
      <c r="E101" s="33"/>
      <c r="F101" s="33"/>
      <c r="G101" s="33"/>
      <c r="H101" s="33"/>
      <c r="I101" s="14"/>
      <c r="J101" s="58" t="s">
        <v>2</v>
      </c>
      <c r="K101" s="58" t="s">
        <v>2</v>
      </c>
      <c r="L101" s="33"/>
      <c r="M101" s="33"/>
      <c r="N101" s="33"/>
      <c r="O101" s="33"/>
      <c r="P101" s="14"/>
      <c r="Q101" s="58" t="s">
        <v>2</v>
      </c>
      <c r="R101" s="58" t="s">
        <v>2</v>
      </c>
      <c r="S101" s="33"/>
      <c r="T101" s="33"/>
      <c r="U101" s="33"/>
      <c r="V101" s="33"/>
      <c r="W101" s="14"/>
      <c r="X101" s="58" t="s">
        <v>2</v>
      </c>
      <c r="Y101" s="58" t="s">
        <v>2</v>
      </c>
      <c r="Z101" s="33"/>
      <c r="AA101" s="33"/>
      <c r="AB101" s="33"/>
      <c r="AC101" s="33"/>
      <c r="AD101" s="14"/>
      <c r="AE101" s="58" t="s">
        <v>2</v>
      </c>
      <c r="AF101" s="58" t="s">
        <v>2</v>
      </c>
      <c r="AH101" s="16">
        <f t="shared" ref="AH101:AH119" si="12">1*COUNTIF(A101:AF101,"+")</f>
        <v>0</v>
      </c>
      <c r="AI101" s="16">
        <f t="shared" ref="AI101:AI119" si="13">1*COUNTIF(B101:AF101,"szf")</f>
        <v>0</v>
      </c>
    </row>
    <row r="102" spans="1:35" ht="20.100000000000001" customHeight="1">
      <c r="A102" s="18" t="str">
        <f>ÖSSZES!$A$97</f>
        <v>Oláh Erika</v>
      </c>
      <c r="B102" s="60" t="s">
        <v>75</v>
      </c>
      <c r="C102" s="58" t="s">
        <v>2</v>
      </c>
      <c r="D102" s="58" t="s">
        <v>2</v>
      </c>
      <c r="E102" s="33"/>
      <c r="F102" s="33"/>
      <c r="G102" s="33"/>
      <c r="H102" s="33"/>
      <c r="I102" s="14"/>
      <c r="J102" s="58" t="s">
        <v>2</v>
      </c>
      <c r="K102" s="58" t="s">
        <v>2</v>
      </c>
      <c r="L102" s="33"/>
      <c r="M102" s="33"/>
      <c r="N102" s="33"/>
      <c r="O102" s="33"/>
      <c r="P102" s="14"/>
      <c r="Q102" s="58" t="s">
        <v>2</v>
      </c>
      <c r="R102" s="58" t="s">
        <v>2</v>
      </c>
      <c r="S102" s="33"/>
      <c r="T102" s="33"/>
      <c r="U102" s="33"/>
      <c r="V102" s="33"/>
      <c r="W102" s="14"/>
      <c r="X102" s="58" t="s">
        <v>2</v>
      </c>
      <c r="Y102" s="58" t="s">
        <v>2</v>
      </c>
      <c r="Z102" s="33"/>
      <c r="AA102" s="33"/>
      <c r="AB102" s="33"/>
      <c r="AC102" s="33"/>
      <c r="AD102" s="14"/>
      <c r="AE102" s="58" t="s">
        <v>2</v>
      </c>
      <c r="AF102" s="58" t="s">
        <v>2</v>
      </c>
      <c r="AH102" s="16">
        <f t="shared" si="12"/>
        <v>0</v>
      </c>
      <c r="AI102" s="16">
        <f t="shared" si="13"/>
        <v>0</v>
      </c>
    </row>
    <row r="103" spans="1:35" ht="20.100000000000001" customHeight="1">
      <c r="A103" s="18" t="str">
        <f>ÖSSZES!$A$98</f>
        <v>Bulyáki Csaba</v>
      </c>
      <c r="B103" s="60" t="s">
        <v>75</v>
      </c>
      <c r="C103" s="58" t="s">
        <v>2</v>
      </c>
      <c r="D103" s="58" t="s">
        <v>2</v>
      </c>
      <c r="E103" s="33"/>
      <c r="F103" s="33"/>
      <c r="G103" s="33"/>
      <c r="H103" s="33"/>
      <c r="I103" s="14"/>
      <c r="J103" s="58" t="s">
        <v>2</v>
      </c>
      <c r="K103" s="58" t="s">
        <v>2</v>
      </c>
      <c r="L103" s="33"/>
      <c r="M103" s="33"/>
      <c r="N103" s="33"/>
      <c r="O103" s="33"/>
      <c r="P103" s="14"/>
      <c r="Q103" s="58" t="s">
        <v>2</v>
      </c>
      <c r="R103" s="58" t="s">
        <v>2</v>
      </c>
      <c r="S103" s="33"/>
      <c r="T103" s="33"/>
      <c r="U103" s="33"/>
      <c r="V103" s="33"/>
      <c r="W103" s="14"/>
      <c r="X103" s="58" t="s">
        <v>2</v>
      </c>
      <c r="Y103" s="58" t="s">
        <v>2</v>
      </c>
      <c r="Z103" s="33"/>
      <c r="AA103" s="33"/>
      <c r="AB103" s="33"/>
      <c r="AC103" s="33"/>
      <c r="AD103" s="14"/>
      <c r="AE103" s="58" t="s">
        <v>2</v>
      </c>
      <c r="AF103" s="58" t="s">
        <v>2</v>
      </c>
      <c r="AH103" s="16">
        <f t="shared" si="12"/>
        <v>0</v>
      </c>
      <c r="AI103" s="16">
        <f t="shared" si="13"/>
        <v>0</v>
      </c>
    </row>
    <row r="104" spans="1:35" ht="20.100000000000001" customHeight="1">
      <c r="A104" s="18" t="str">
        <f>ÖSSZES!$A$99</f>
        <v>Fekete Tamás</v>
      </c>
      <c r="B104" s="60" t="s">
        <v>75</v>
      </c>
      <c r="C104" s="58" t="s">
        <v>2</v>
      </c>
      <c r="D104" s="58" t="s">
        <v>2</v>
      </c>
      <c r="E104" s="33"/>
      <c r="F104" s="33"/>
      <c r="G104" s="33"/>
      <c r="H104" s="33"/>
      <c r="I104" s="14"/>
      <c r="J104" s="58" t="s">
        <v>2</v>
      </c>
      <c r="K104" s="58" t="s">
        <v>2</v>
      </c>
      <c r="L104" s="33"/>
      <c r="M104" s="33"/>
      <c r="N104" s="33"/>
      <c r="O104" s="33"/>
      <c r="P104" s="14"/>
      <c r="Q104" s="58" t="s">
        <v>2</v>
      </c>
      <c r="R104" s="58" t="s">
        <v>2</v>
      </c>
      <c r="S104" s="33"/>
      <c r="T104" s="33"/>
      <c r="U104" s="33"/>
      <c r="V104" s="33"/>
      <c r="W104" s="14"/>
      <c r="X104" s="58" t="s">
        <v>2</v>
      </c>
      <c r="Y104" s="58" t="s">
        <v>2</v>
      </c>
      <c r="Z104" s="33"/>
      <c r="AA104" s="33"/>
      <c r="AB104" s="33"/>
      <c r="AC104" s="33"/>
      <c r="AD104" s="14"/>
      <c r="AE104" s="58" t="s">
        <v>2</v>
      </c>
      <c r="AF104" s="58" t="s">
        <v>2</v>
      </c>
      <c r="AH104" s="16">
        <f t="shared" si="12"/>
        <v>0</v>
      </c>
      <c r="AI104" s="16">
        <f t="shared" si="13"/>
        <v>0</v>
      </c>
    </row>
    <row r="105" spans="1:35" ht="20.100000000000001" customHeight="1">
      <c r="A105" s="18" t="str">
        <f>ÖSSZES!$A$100</f>
        <v>Péter Csaba</v>
      </c>
      <c r="B105" s="60" t="s">
        <v>75</v>
      </c>
      <c r="C105" s="58" t="s">
        <v>2</v>
      </c>
      <c r="D105" s="58" t="s">
        <v>2</v>
      </c>
      <c r="E105" s="33"/>
      <c r="F105" s="33"/>
      <c r="G105" s="33"/>
      <c r="H105" s="33"/>
      <c r="I105" s="14"/>
      <c r="J105" s="58" t="s">
        <v>2</v>
      </c>
      <c r="K105" s="58" t="s">
        <v>2</v>
      </c>
      <c r="L105" s="33"/>
      <c r="M105" s="33"/>
      <c r="N105" s="33"/>
      <c r="O105" s="33"/>
      <c r="P105" s="14"/>
      <c r="Q105" s="58" t="s">
        <v>2</v>
      </c>
      <c r="R105" s="58" t="s">
        <v>2</v>
      </c>
      <c r="S105" s="33"/>
      <c r="T105" s="33"/>
      <c r="U105" s="33"/>
      <c r="V105" s="33"/>
      <c r="W105" s="14"/>
      <c r="X105" s="58" t="s">
        <v>2</v>
      </c>
      <c r="Y105" s="58" t="s">
        <v>2</v>
      </c>
      <c r="Z105" s="33"/>
      <c r="AA105" s="33"/>
      <c r="AB105" s="33"/>
      <c r="AC105" s="33"/>
      <c r="AD105" s="14"/>
      <c r="AE105" s="58" t="s">
        <v>2</v>
      </c>
      <c r="AF105" s="58" t="s">
        <v>2</v>
      </c>
      <c r="AH105" s="16">
        <f t="shared" si="12"/>
        <v>0</v>
      </c>
      <c r="AI105" s="16">
        <f t="shared" si="13"/>
        <v>0</v>
      </c>
    </row>
    <row r="106" spans="1:35" ht="20.100000000000001" customHeight="1">
      <c r="A106" s="18" t="str">
        <f>ÖSSZES!$A$101</f>
        <v>Tóth János</v>
      </c>
      <c r="B106" s="60" t="s">
        <v>75</v>
      </c>
      <c r="C106" s="58" t="s">
        <v>2</v>
      </c>
      <c r="D106" s="58" t="s">
        <v>2</v>
      </c>
      <c r="E106" s="33"/>
      <c r="F106" s="33"/>
      <c r="G106" s="33"/>
      <c r="H106" s="33"/>
      <c r="I106" s="14"/>
      <c r="J106" s="58" t="s">
        <v>2</v>
      </c>
      <c r="K106" s="58" t="s">
        <v>2</v>
      </c>
      <c r="L106" s="33"/>
      <c r="M106" s="33"/>
      <c r="N106" s="33"/>
      <c r="O106" s="33"/>
      <c r="P106" s="14"/>
      <c r="Q106" s="58" t="s">
        <v>2</v>
      </c>
      <c r="R106" s="58" t="s">
        <v>2</v>
      </c>
      <c r="S106" s="33"/>
      <c r="T106" s="33"/>
      <c r="U106" s="33"/>
      <c r="V106" s="33"/>
      <c r="W106" s="14"/>
      <c r="X106" s="58" t="s">
        <v>2</v>
      </c>
      <c r="Y106" s="58" t="s">
        <v>2</v>
      </c>
      <c r="Z106" s="33"/>
      <c r="AA106" s="33"/>
      <c r="AB106" s="33"/>
      <c r="AC106" s="33"/>
      <c r="AD106" s="14"/>
      <c r="AE106" s="58" t="s">
        <v>2</v>
      </c>
      <c r="AF106" s="58" t="s">
        <v>2</v>
      </c>
      <c r="AH106" s="16">
        <f t="shared" si="12"/>
        <v>0</v>
      </c>
      <c r="AI106" s="16">
        <f t="shared" si="13"/>
        <v>0</v>
      </c>
    </row>
    <row r="107" spans="1:35" ht="20.100000000000001" customHeight="1">
      <c r="A107" s="18" t="str">
        <f>ÖSSZES!$A$102</f>
        <v>Tóth Krisztián</v>
      </c>
      <c r="B107" s="60" t="s">
        <v>75</v>
      </c>
      <c r="C107" s="58" t="s">
        <v>2</v>
      </c>
      <c r="D107" s="58" t="s">
        <v>2</v>
      </c>
      <c r="E107" s="33"/>
      <c r="F107" s="33"/>
      <c r="G107" s="33"/>
      <c r="H107" s="33"/>
      <c r="I107" s="14"/>
      <c r="J107" s="58" t="s">
        <v>2</v>
      </c>
      <c r="K107" s="58" t="s">
        <v>2</v>
      </c>
      <c r="L107" s="33"/>
      <c r="M107" s="33"/>
      <c r="N107" s="33"/>
      <c r="O107" s="33"/>
      <c r="P107" s="14"/>
      <c r="Q107" s="58" t="s">
        <v>2</v>
      </c>
      <c r="R107" s="58" t="s">
        <v>2</v>
      </c>
      <c r="S107" s="33"/>
      <c r="T107" s="33"/>
      <c r="U107" s="33"/>
      <c r="V107" s="33"/>
      <c r="W107" s="14"/>
      <c r="X107" s="58" t="s">
        <v>2</v>
      </c>
      <c r="Y107" s="58" t="s">
        <v>2</v>
      </c>
      <c r="Z107" s="33"/>
      <c r="AA107" s="33"/>
      <c r="AB107" s="33"/>
      <c r="AC107" s="33"/>
      <c r="AD107" s="14"/>
      <c r="AE107" s="58" t="s">
        <v>2</v>
      </c>
      <c r="AF107" s="58" t="s">
        <v>2</v>
      </c>
      <c r="AH107" s="16">
        <f t="shared" si="12"/>
        <v>0</v>
      </c>
      <c r="AI107" s="16">
        <f t="shared" si="13"/>
        <v>0</v>
      </c>
    </row>
    <row r="108" spans="1:35" ht="20.100000000000001" customHeight="1">
      <c r="A108" s="18" t="str">
        <f>ÖSSZES!$A$103</f>
        <v>Tassi Szilárd</v>
      </c>
      <c r="B108" s="60" t="s">
        <v>75</v>
      </c>
      <c r="C108" s="58" t="s">
        <v>2</v>
      </c>
      <c r="D108" s="58" t="s">
        <v>2</v>
      </c>
      <c r="E108" s="33"/>
      <c r="F108" s="33"/>
      <c r="G108" s="33"/>
      <c r="H108" s="33"/>
      <c r="I108" s="14"/>
      <c r="J108" s="58" t="s">
        <v>2</v>
      </c>
      <c r="K108" s="58" t="s">
        <v>2</v>
      </c>
      <c r="L108" s="33"/>
      <c r="M108" s="33"/>
      <c r="N108" s="33"/>
      <c r="O108" s="33"/>
      <c r="P108" s="14"/>
      <c r="Q108" s="58" t="s">
        <v>2</v>
      </c>
      <c r="R108" s="58" t="s">
        <v>2</v>
      </c>
      <c r="S108" s="33"/>
      <c r="T108" s="33"/>
      <c r="U108" s="33"/>
      <c r="V108" s="33"/>
      <c r="W108" s="14"/>
      <c r="X108" s="58" t="s">
        <v>2</v>
      </c>
      <c r="Y108" s="58" t="s">
        <v>2</v>
      </c>
      <c r="Z108" s="33"/>
      <c r="AA108" s="33"/>
      <c r="AB108" s="33"/>
      <c r="AC108" s="33"/>
      <c r="AD108" s="14"/>
      <c r="AE108" s="58" t="s">
        <v>2</v>
      </c>
      <c r="AF108" s="58" t="s">
        <v>2</v>
      </c>
      <c r="AH108" s="16">
        <f t="shared" si="12"/>
        <v>0</v>
      </c>
      <c r="AI108" s="16">
        <f t="shared" si="13"/>
        <v>0</v>
      </c>
    </row>
    <row r="109" spans="1:35" ht="20.100000000000001" customHeight="1">
      <c r="A109" s="18" t="str">
        <f>ÖSSZES!$A$104</f>
        <v>Dancsi Attila</v>
      </c>
      <c r="B109" s="60" t="s">
        <v>75</v>
      </c>
      <c r="C109" s="58" t="s">
        <v>2</v>
      </c>
      <c r="D109" s="58" t="s">
        <v>2</v>
      </c>
      <c r="E109" s="33"/>
      <c r="F109" s="33"/>
      <c r="G109" s="33"/>
      <c r="H109" s="33"/>
      <c r="I109" s="14"/>
      <c r="J109" s="58" t="s">
        <v>2</v>
      </c>
      <c r="K109" s="58" t="s">
        <v>2</v>
      </c>
      <c r="L109" s="33"/>
      <c r="M109" s="33"/>
      <c r="N109" s="33"/>
      <c r="O109" s="33"/>
      <c r="P109" s="14"/>
      <c r="Q109" s="58" t="s">
        <v>2</v>
      </c>
      <c r="R109" s="58" t="s">
        <v>2</v>
      </c>
      <c r="S109" s="33"/>
      <c r="T109" s="33"/>
      <c r="U109" s="33"/>
      <c r="V109" s="33"/>
      <c r="W109" s="14"/>
      <c r="X109" s="58" t="s">
        <v>2</v>
      </c>
      <c r="Y109" s="58" t="s">
        <v>2</v>
      </c>
      <c r="Z109" s="33"/>
      <c r="AA109" s="33"/>
      <c r="AB109" s="33"/>
      <c r="AC109" s="33"/>
      <c r="AD109" s="14"/>
      <c r="AE109" s="58" t="s">
        <v>2</v>
      </c>
      <c r="AF109" s="58" t="s">
        <v>2</v>
      </c>
      <c r="AH109" s="16">
        <f t="shared" si="12"/>
        <v>0</v>
      </c>
      <c r="AI109" s="16">
        <f t="shared" si="13"/>
        <v>0</v>
      </c>
    </row>
    <row r="110" spans="1:35" ht="20.100000000000001" customHeight="1">
      <c r="A110" s="18" t="str">
        <f>ÖSSZES!$A$105</f>
        <v>Iványi Roland</v>
      </c>
      <c r="B110" s="60" t="s">
        <v>75</v>
      </c>
      <c r="C110" s="58" t="s">
        <v>2</v>
      </c>
      <c r="D110" s="58" t="s">
        <v>2</v>
      </c>
      <c r="E110" s="33"/>
      <c r="F110" s="33"/>
      <c r="G110" s="33"/>
      <c r="H110" s="33"/>
      <c r="I110" s="14"/>
      <c r="J110" s="58" t="s">
        <v>2</v>
      </c>
      <c r="K110" s="58" t="s">
        <v>2</v>
      </c>
      <c r="L110" s="33"/>
      <c r="M110" s="33"/>
      <c r="N110" s="33"/>
      <c r="O110" s="33"/>
      <c r="P110" s="14"/>
      <c r="Q110" s="58" t="s">
        <v>2</v>
      </c>
      <c r="R110" s="58" t="s">
        <v>2</v>
      </c>
      <c r="S110" s="33"/>
      <c r="T110" s="33"/>
      <c r="U110" s="33"/>
      <c r="V110" s="33"/>
      <c r="W110" s="14"/>
      <c r="X110" s="58" t="s">
        <v>2</v>
      </c>
      <c r="Y110" s="58" t="s">
        <v>2</v>
      </c>
      <c r="Z110" s="33"/>
      <c r="AA110" s="33"/>
      <c r="AB110" s="33"/>
      <c r="AC110" s="33"/>
      <c r="AD110" s="14"/>
      <c r="AE110" s="58" t="s">
        <v>2</v>
      </c>
      <c r="AF110" s="58" t="s">
        <v>2</v>
      </c>
      <c r="AH110" s="16">
        <f t="shared" si="12"/>
        <v>0</v>
      </c>
      <c r="AI110" s="16">
        <f t="shared" si="13"/>
        <v>0</v>
      </c>
    </row>
    <row r="111" spans="1:35" ht="20.100000000000001" hidden="1" customHeight="1">
      <c r="A111" s="18" t="str">
        <f>ÖSSZES!$A$106</f>
        <v>Név12</v>
      </c>
      <c r="B111" s="60" t="s">
        <v>75</v>
      </c>
      <c r="C111" s="58" t="s">
        <v>2</v>
      </c>
      <c r="D111" s="58" t="s">
        <v>2</v>
      </c>
      <c r="E111" s="33"/>
      <c r="F111" s="33"/>
      <c r="G111" s="33"/>
      <c r="H111" s="33"/>
      <c r="I111" s="14"/>
      <c r="J111" s="58" t="s">
        <v>2</v>
      </c>
      <c r="K111" s="58" t="s">
        <v>2</v>
      </c>
      <c r="L111" s="33"/>
      <c r="M111" s="33"/>
      <c r="N111" s="33"/>
      <c r="O111" s="33"/>
      <c r="P111" s="14"/>
      <c r="Q111" s="58" t="s">
        <v>2</v>
      </c>
      <c r="R111" s="58" t="s">
        <v>2</v>
      </c>
      <c r="S111" s="33"/>
      <c r="T111" s="33"/>
      <c r="U111" s="33"/>
      <c r="V111" s="33"/>
      <c r="W111" s="14"/>
      <c r="X111" s="58" t="s">
        <v>2</v>
      </c>
      <c r="Y111" s="58" t="s">
        <v>2</v>
      </c>
      <c r="Z111" s="33"/>
      <c r="AA111" s="33"/>
      <c r="AB111" s="33"/>
      <c r="AC111" s="33"/>
      <c r="AD111" s="14"/>
      <c r="AE111" s="58" t="s">
        <v>2</v>
      </c>
      <c r="AF111" s="58" t="s">
        <v>2</v>
      </c>
      <c r="AH111" s="16">
        <f t="shared" si="12"/>
        <v>0</v>
      </c>
      <c r="AI111" s="16">
        <f t="shared" si="13"/>
        <v>0</v>
      </c>
    </row>
    <row r="112" spans="1:35" ht="20.100000000000001" hidden="1" customHeight="1">
      <c r="A112" s="18" t="str">
        <f>ÖSSZES!$A$107</f>
        <v>Név13</v>
      </c>
      <c r="B112" s="60" t="s">
        <v>75</v>
      </c>
      <c r="C112" s="58" t="s">
        <v>2</v>
      </c>
      <c r="D112" s="58" t="s">
        <v>2</v>
      </c>
      <c r="E112" s="33"/>
      <c r="F112" s="33"/>
      <c r="G112" s="33"/>
      <c r="H112" s="33"/>
      <c r="I112" s="14"/>
      <c r="J112" s="58" t="s">
        <v>2</v>
      </c>
      <c r="K112" s="58" t="s">
        <v>2</v>
      </c>
      <c r="L112" s="33"/>
      <c r="M112" s="33"/>
      <c r="N112" s="33"/>
      <c r="O112" s="33"/>
      <c r="P112" s="14"/>
      <c r="Q112" s="58" t="s">
        <v>2</v>
      </c>
      <c r="R112" s="58" t="s">
        <v>2</v>
      </c>
      <c r="S112" s="33"/>
      <c r="T112" s="33"/>
      <c r="U112" s="33"/>
      <c r="V112" s="33"/>
      <c r="W112" s="14"/>
      <c r="X112" s="58" t="s">
        <v>2</v>
      </c>
      <c r="Y112" s="58" t="s">
        <v>2</v>
      </c>
      <c r="Z112" s="33"/>
      <c r="AA112" s="33"/>
      <c r="AB112" s="33"/>
      <c r="AC112" s="33"/>
      <c r="AD112" s="14"/>
      <c r="AE112" s="58" t="s">
        <v>2</v>
      </c>
      <c r="AF112" s="58" t="s">
        <v>2</v>
      </c>
      <c r="AH112" s="16">
        <f t="shared" si="12"/>
        <v>0</v>
      </c>
      <c r="AI112" s="16">
        <f t="shared" si="13"/>
        <v>0</v>
      </c>
    </row>
    <row r="113" spans="1:35" ht="20.100000000000001" hidden="1" customHeight="1">
      <c r="A113" s="18" t="str">
        <f>ÖSSZES!$A$108</f>
        <v>Név14</v>
      </c>
      <c r="B113" s="60" t="s">
        <v>75</v>
      </c>
      <c r="C113" s="58" t="s">
        <v>2</v>
      </c>
      <c r="D113" s="58" t="s">
        <v>2</v>
      </c>
      <c r="E113" s="33"/>
      <c r="F113" s="33"/>
      <c r="G113" s="33"/>
      <c r="H113" s="33"/>
      <c r="I113" s="14"/>
      <c r="J113" s="58" t="s">
        <v>2</v>
      </c>
      <c r="K113" s="58" t="s">
        <v>2</v>
      </c>
      <c r="L113" s="33"/>
      <c r="M113" s="33"/>
      <c r="N113" s="33"/>
      <c r="O113" s="33"/>
      <c r="P113" s="14"/>
      <c r="Q113" s="58" t="s">
        <v>2</v>
      </c>
      <c r="R113" s="58" t="s">
        <v>2</v>
      </c>
      <c r="S113" s="33"/>
      <c r="T113" s="33"/>
      <c r="U113" s="33"/>
      <c r="V113" s="33"/>
      <c r="W113" s="14"/>
      <c r="X113" s="58" t="s">
        <v>2</v>
      </c>
      <c r="Y113" s="58" t="s">
        <v>2</v>
      </c>
      <c r="Z113" s="33"/>
      <c r="AA113" s="33"/>
      <c r="AB113" s="33"/>
      <c r="AC113" s="33"/>
      <c r="AD113" s="14"/>
      <c r="AE113" s="58" t="s">
        <v>2</v>
      </c>
      <c r="AF113" s="58" t="s">
        <v>2</v>
      </c>
      <c r="AH113" s="16">
        <f t="shared" si="12"/>
        <v>0</v>
      </c>
      <c r="AI113" s="16">
        <f t="shared" si="13"/>
        <v>0</v>
      </c>
    </row>
    <row r="114" spans="1:35" ht="20.100000000000001" hidden="1" customHeight="1">
      <c r="A114" s="18" t="str">
        <f>ÖSSZES!$A$109</f>
        <v>Név15</v>
      </c>
      <c r="B114" s="60" t="s">
        <v>75</v>
      </c>
      <c r="C114" s="58" t="s">
        <v>2</v>
      </c>
      <c r="D114" s="58" t="s">
        <v>2</v>
      </c>
      <c r="E114" s="33"/>
      <c r="F114" s="33"/>
      <c r="G114" s="33"/>
      <c r="H114" s="33"/>
      <c r="I114" s="14"/>
      <c r="J114" s="58" t="s">
        <v>2</v>
      </c>
      <c r="K114" s="58" t="s">
        <v>2</v>
      </c>
      <c r="L114" s="33"/>
      <c r="M114" s="33"/>
      <c r="N114" s="33"/>
      <c r="O114" s="33"/>
      <c r="P114" s="14"/>
      <c r="Q114" s="58" t="s">
        <v>2</v>
      </c>
      <c r="R114" s="58" t="s">
        <v>2</v>
      </c>
      <c r="S114" s="33"/>
      <c r="T114" s="33"/>
      <c r="U114" s="33"/>
      <c r="V114" s="33"/>
      <c r="W114" s="14"/>
      <c r="X114" s="58" t="s">
        <v>2</v>
      </c>
      <c r="Y114" s="58" t="s">
        <v>2</v>
      </c>
      <c r="Z114" s="33"/>
      <c r="AA114" s="33"/>
      <c r="AB114" s="33"/>
      <c r="AC114" s="33"/>
      <c r="AD114" s="14"/>
      <c r="AE114" s="58" t="s">
        <v>2</v>
      </c>
      <c r="AF114" s="58" t="s">
        <v>2</v>
      </c>
      <c r="AH114" s="16">
        <f t="shared" si="12"/>
        <v>0</v>
      </c>
      <c r="AI114" s="16">
        <f t="shared" si="13"/>
        <v>0</v>
      </c>
    </row>
    <row r="115" spans="1:35" ht="20.100000000000001" hidden="1" customHeight="1">
      <c r="A115" s="18" t="str">
        <f>ÖSSZES!$A$110</f>
        <v>Név16</v>
      </c>
      <c r="B115" s="60" t="s">
        <v>75</v>
      </c>
      <c r="C115" s="58" t="s">
        <v>2</v>
      </c>
      <c r="D115" s="58" t="s">
        <v>2</v>
      </c>
      <c r="E115" s="33"/>
      <c r="F115" s="33"/>
      <c r="G115" s="33"/>
      <c r="H115" s="33"/>
      <c r="I115" s="14"/>
      <c r="J115" s="58" t="s">
        <v>2</v>
      </c>
      <c r="K115" s="58" t="s">
        <v>2</v>
      </c>
      <c r="L115" s="33"/>
      <c r="M115" s="33"/>
      <c r="N115" s="33"/>
      <c r="O115" s="33"/>
      <c r="P115" s="14"/>
      <c r="Q115" s="58" t="s">
        <v>2</v>
      </c>
      <c r="R115" s="58" t="s">
        <v>2</v>
      </c>
      <c r="S115" s="33"/>
      <c r="T115" s="33"/>
      <c r="U115" s="33"/>
      <c r="V115" s="33"/>
      <c r="W115" s="14"/>
      <c r="X115" s="58" t="s">
        <v>2</v>
      </c>
      <c r="Y115" s="58" t="s">
        <v>2</v>
      </c>
      <c r="Z115" s="33"/>
      <c r="AA115" s="33"/>
      <c r="AB115" s="33"/>
      <c r="AC115" s="33"/>
      <c r="AD115" s="14"/>
      <c r="AE115" s="58" t="s">
        <v>2</v>
      </c>
      <c r="AF115" s="58" t="s">
        <v>2</v>
      </c>
      <c r="AH115" s="16">
        <f t="shared" si="12"/>
        <v>0</v>
      </c>
      <c r="AI115" s="16">
        <f t="shared" si="13"/>
        <v>0</v>
      </c>
    </row>
    <row r="116" spans="1:35" ht="20.100000000000001" hidden="1" customHeight="1">
      <c r="A116" s="18" t="str">
        <f>ÖSSZES!$A$111</f>
        <v>Név17</v>
      </c>
      <c r="B116" s="60" t="s">
        <v>75</v>
      </c>
      <c r="C116" s="58" t="s">
        <v>2</v>
      </c>
      <c r="D116" s="58" t="s">
        <v>2</v>
      </c>
      <c r="E116" s="33"/>
      <c r="F116" s="33"/>
      <c r="G116" s="33"/>
      <c r="H116" s="33"/>
      <c r="I116" s="14"/>
      <c r="J116" s="58" t="s">
        <v>2</v>
      </c>
      <c r="K116" s="58" t="s">
        <v>2</v>
      </c>
      <c r="L116" s="33"/>
      <c r="M116" s="33"/>
      <c r="N116" s="33"/>
      <c r="O116" s="33"/>
      <c r="P116" s="14"/>
      <c r="Q116" s="58" t="s">
        <v>2</v>
      </c>
      <c r="R116" s="58" t="s">
        <v>2</v>
      </c>
      <c r="S116" s="33"/>
      <c r="T116" s="33"/>
      <c r="U116" s="33"/>
      <c r="V116" s="33"/>
      <c r="W116" s="14"/>
      <c r="X116" s="58" t="s">
        <v>2</v>
      </c>
      <c r="Y116" s="58" t="s">
        <v>2</v>
      </c>
      <c r="Z116" s="33"/>
      <c r="AA116" s="33"/>
      <c r="AB116" s="33"/>
      <c r="AC116" s="33"/>
      <c r="AD116" s="14"/>
      <c r="AE116" s="58" t="s">
        <v>2</v>
      </c>
      <c r="AF116" s="58" t="s">
        <v>2</v>
      </c>
      <c r="AH116" s="16">
        <f t="shared" si="12"/>
        <v>0</v>
      </c>
      <c r="AI116" s="16">
        <f t="shared" si="13"/>
        <v>0</v>
      </c>
    </row>
    <row r="117" spans="1:35" ht="20.100000000000001" hidden="1" customHeight="1">
      <c r="A117" s="18" t="str">
        <f>ÖSSZES!$A$112</f>
        <v>Név18</v>
      </c>
      <c r="B117" s="60" t="s">
        <v>75</v>
      </c>
      <c r="C117" s="58" t="s">
        <v>2</v>
      </c>
      <c r="D117" s="58" t="s">
        <v>2</v>
      </c>
      <c r="E117" s="33"/>
      <c r="F117" s="33"/>
      <c r="G117" s="33"/>
      <c r="H117" s="33"/>
      <c r="I117" s="14"/>
      <c r="J117" s="58" t="s">
        <v>2</v>
      </c>
      <c r="K117" s="58" t="s">
        <v>2</v>
      </c>
      <c r="L117" s="33"/>
      <c r="M117" s="33"/>
      <c r="N117" s="33"/>
      <c r="O117" s="33"/>
      <c r="P117" s="14"/>
      <c r="Q117" s="58" t="s">
        <v>2</v>
      </c>
      <c r="R117" s="58" t="s">
        <v>2</v>
      </c>
      <c r="S117" s="33"/>
      <c r="T117" s="33"/>
      <c r="U117" s="33"/>
      <c r="V117" s="33"/>
      <c r="W117" s="14"/>
      <c r="X117" s="58" t="s">
        <v>2</v>
      </c>
      <c r="Y117" s="58" t="s">
        <v>2</v>
      </c>
      <c r="Z117" s="33"/>
      <c r="AA117" s="33"/>
      <c r="AB117" s="33"/>
      <c r="AC117" s="33"/>
      <c r="AD117" s="14"/>
      <c r="AE117" s="58" t="s">
        <v>2</v>
      </c>
      <c r="AF117" s="58" t="s">
        <v>2</v>
      </c>
      <c r="AH117" s="16">
        <f t="shared" si="12"/>
        <v>0</v>
      </c>
      <c r="AI117" s="16">
        <f t="shared" si="13"/>
        <v>0</v>
      </c>
    </row>
    <row r="118" spans="1:35" ht="20.100000000000001" hidden="1" customHeight="1">
      <c r="A118" s="18" t="str">
        <f>ÖSSZES!$A$113</f>
        <v>Név19</v>
      </c>
      <c r="B118" s="60" t="s">
        <v>75</v>
      </c>
      <c r="C118" s="58" t="s">
        <v>2</v>
      </c>
      <c r="D118" s="58" t="s">
        <v>2</v>
      </c>
      <c r="E118" s="33"/>
      <c r="F118" s="33"/>
      <c r="G118" s="33"/>
      <c r="H118" s="33"/>
      <c r="I118" s="14"/>
      <c r="J118" s="58" t="s">
        <v>2</v>
      </c>
      <c r="K118" s="58" t="s">
        <v>2</v>
      </c>
      <c r="L118" s="33"/>
      <c r="M118" s="33"/>
      <c r="N118" s="33"/>
      <c r="O118" s="33"/>
      <c r="P118" s="14"/>
      <c r="Q118" s="58" t="s">
        <v>2</v>
      </c>
      <c r="R118" s="58" t="s">
        <v>2</v>
      </c>
      <c r="S118" s="33"/>
      <c r="T118" s="33"/>
      <c r="U118" s="33"/>
      <c r="V118" s="33"/>
      <c r="W118" s="14"/>
      <c r="X118" s="58" t="s">
        <v>2</v>
      </c>
      <c r="Y118" s="58" t="s">
        <v>2</v>
      </c>
      <c r="Z118" s="33"/>
      <c r="AA118" s="33"/>
      <c r="AB118" s="33"/>
      <c r="AC118" s="33"/>
      <c r="AD118" s="14"/>
      <c r="AE118" s="58" t="s">
        <v>2</v>
      </c>
      <c r="AF118" s="58" t="s">
        <v>2</v>
      </c>
      <c r="AH118" s="16">
        <f t="shared" si="12"/>
        <v>0</v>
      </c>
      <c r="AI118" s="16">
        <f t="shared" si="13"/>
        <v>0</v>
      </c>
    </row>
    <row r="119" spans="1:35" ht="20.100000000000001" hidden="1" customHeight="1">
      <c r="A119" s="18" t="str">
        <f>ÖSSZES!$A$114</f>
        <v>Név20</v>
      </c>
      <c r="B119" s="60" t="s">
        <v>75</v>
      </c>
      <c r="C119" s="58" t="s">
        <v>2</v>
      </c>
      <c r="D119" s="58" t="s">
        <v>2</v>
      </c>
      <c r="E119" s="33"/>
      <c r="F119" s="33"/>
      <c r="G119" s="33"/>
      <c r="H119" s="33"/>
      <c r="I119" s="14"/>
      <c r="J119" s="58" t="s">
        <v>2</v>
      </c>
      <c r="K119" s="58" t="s">
        <v>2</v>
      </c>
      <c r="L119" s="33"/>
      <c r="M119" s="33"/>
      <c r="N119" s="33"/>
      <c r="O119" s="33"/>
      <c r="P119" s="14"/>
      <c r="Q119" s="58" t="s">
        <v>2</v>
      </c>
      <c r="R119" s="58" t="s">
        <v>2</v>
      </c>
      <c r="S119" s="33"/>
      <c r="T119" s="33"/>
      <c r="U119" s="33"/>
      <c r="V119" s="33"/>
      <c r="W119" s="14"/>
      <c r="X119" s="58" t="s">
        <v>2</v>
      </c>
      <c r="Y119" s="58" t="s">
        <v>2</v>
      </c>
      <c r="Z119" s="33"/>
      <c r="AA119" s="33"/>
      <c r="AB119" s="33"/>
      <c r="AC119" s="33"/>
      <c r="AD119" s="14"/>
      <c r="AE119" s="58" t="s">
        <v>2</v>
      </c>
      <c r="AF119" s="58" t="s">
        <v>2</v>
      </c>
      <c r="AH119" s="16">
        <f t="shared" si="12"/>
        <v>0</v>
      </c>
      <c r="AI119" s="16">
        <f t="shared" si="13"/>
        <v>0</v>
      </c>
    </row>
    <row r="120" spans="1:35" ht="20.100000000000001" customHeight="1"/>
    <row r="121" spans="1:35" s="6" customFormat="1" ht="20.100000000000001" customHeight="1">
      <c r="A121" s="91" t="s">
        <v>10</v>
      </c>
      <c r="B121" s="32">
        <v>1</v>
      </c>
      <c r="C121" s="17">
        <v>2</v>
      </c>
      <c r="D121" s="17">
        <v>3</v>
      </c>
      <c r="E121" s="17">
        <v>4</v>
      </c>
      <c r="F121" s="17">
        <v>5</v>
      </c>
      <c r="G121" s="17">
        <v>6</v>
      </c>
      <c r="H121" s="17">
        <v>7</v>
      </c>
      <c r="I121" s="17">
        <v>8</v>
      </c>
      <c r="J121" s="17">
        <v>9</v>
      </c>
      <c r="K121" s="17">
        <v>10</v>
      </c>
      <c r="L121" s="17">
        <v>11</v>
      </c>
      <c r="M121" s="17">
        <v>12</v>
      </c>
      <c r="N121" s="17">
        <v>13</v>
      </c>
      <c r="O121" s="17">
        <v>14</v>
      </c>
      <c r="P121" s="17">
        <v>15</v>
      </c>
      <c r="Q121" s="17">
        <v>16</v>
      </c>
      <c r="R121" s="17">
        <v>17</v>
      </c>
      <c r="S121" s="17">
        <v>18</v>
      </c>
      <c r="T121" s="17">
        <v>19</v>
      </c>
      <c r="U121" s="17">
        <v>20</v>
      </c>
      <c r="V121" s="17">
        <v>21</v>
      </c>
      <c r="W121" s="17">
        <v>22</v>
      </c>
      <c r="X121" s="17">
        <v>23</v>
      </c>
      <c r="Y121" s="17">
        <v>24</v>
      </c>
      <c r="Z121" s="17">
        <v>25</v>
      </c>
      <c r="AA121" s="17">
        <v>26</v>
      </c>
      <c r="AB121" s="17">
        <v>27</v>
      </c>
      <c r="AC121" s="17">
        <v>28</v>
      </c>
      <c r="AD121" s="17">
        <v>29</v>
      </c>
      <c r="AE121" s="17">
        <v>30</v>
      </c>
      <c r="AH121" s="93" t="s">
        <v>18</v>
      </c>
      <c r="AI121" s="93" t="s">
        <v>19</v>
      </c>
    </row>
    <row r="122" spans="1:35" ht="20.100000000000001" customHeight="1">
      <c r="A122" s="96"/>
      <c r="B122" s="10" t="str">
        <f>'2020'!B44</f>
        <v>H</v>
      </c>
      <c r="C122" s="10" t="str">
        <f>'2020'!C44</f>
        <v>K</v>
      </c>
      <c r="D122" s="10" t="str">
        <f>'2020'!D44</f>
        <v>Sze</v>
      </c>
      <c r="E122" s="10" t="str">
        <f>'2020'!E44</f>
        <v>Cs</v>
      </c>
      <c r="F122" s="10" t="str">
        <f>'2020'!F44</f>
        <v>P</v>
      </c>
      <c r="G122" s="10" t="str">
        <f>'2020'!G44</f>
        <v>Szo</v>
      </c>
      <c r="H122" s="10" t="str">
        <f>'2020'!H44</f>
        <v>V</v>
      </c>
      <c r="I122" s="10" t="str">
        <f>'2020'!I44</f>
        <v>H</v>
      </c>
      <c r="J122" s="10" t="str">
        <f>'2020'!J44</f>
        <v>K</v>
      </c>
      <c r="K122" s="10" t="str">
        <f>'2020'!K44</f>
        <v>Sze</v>
      </c>
      <c r="L122" s="10" t="str">
        <f>'2020'!L44</f>
        <v>Cs</v>
      </c>
      <c r="M122" s="10" t="str">
        <f>'2020'!M44</f>
        <v>P</v>
      </c>
      <c r="N122" s="10" t="str">
        <f>'2020'!N44</f>
        <v>Szo</v>
      </c>
      <c r="O122" s="10" t="str">
        <f>'2020'!O44</f>
        <v>V</v>
      </c>
      <c r="P122" s="10" t="str">
        <f>'2020'!P44</f>
        <v>H</v>
      </c>
      <c r="Q122" s="10" t="str">
        <f>'2020'!Q44</f>
        <v>K</v>
      </c>
      <c r="R122" s="10" t="str">
        <f>'2020'!R44</f>
        <v>Sze</v>
      </c>
      <c r="S122" s="10" t="str">
        <f>'2020'!S44</f>
        <v>Cs</v>
      </c>
      <c r="T122" s="10" t="str">
        <f>'2020'!T44</f>
        <v>P</v>
      </c>
      <c r="U122" s="10" t="str">
        <f>'2020'!U44</f>
        <v>Szo</v>
      </c>
      <c r="V122" s="10" t="str">
        <f>'2020'!V44</f>
        <v>V</v>
      </c>
      <c r="W122" s="10" t="str">
        <f>'2020'!W44</f>
        <v>H</v>
      </c>
      <c r="X122" s="10" t="str">
        <f>'2020'!X44</f>
        <v>K</v>
      </c>
      <c r="Y122" s="10" t="str">
        <f>'2020'!Y44</f>
        <v>Sze</v>
      </c>
      <c r="Z122" s="10" t="str">
        <f>'2020'!Z44</f>
        <v>Cs</v>
      </c>
      <c r="AA122" s="10" t="str">
        <f>'2020'!AA44</f>
        <v>P</v>
      </c>
      <c r="AB122" s="10" t="str">
        <f>'2020'!AB44</f>
        <v>Szo</v>
      </c>
      <c r="AC122" s="10" t="str">
        <f>'2020'!AC44</f>
        <v>V</v>
      </c>
      <c r="AD122" s="10" t="str">
        <f>'2020'!AD44</f>
        <v>H</v>
      </c>
      <c r="AE122" s="10" t="str">
        <f>'2020'!AE44</f>
        <v>K</v>
      </c>
      <c r="AF122" s="1"/>
      <c r="AH122" s="94"/>
      <c r="AI122" s="94"/>
    </row>
    <row r="123" spans="1:35" ht="20.100000000000001" customHeight="1">
      <c r="A123" s="96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"/>
      <c r="AH123" s="94"/>
      <c r="AI123" s="94"/>
    </row>
    <row r="124" spans="1:35" ht="20.100000000000001" customHeight="1">
      <c r="A124" s="18" t="str">
        <f>ÖSSZES!$A$95</f>
        <v>Kovács Kriszitán</v>
      </c>
      <c r="B124" s="60" t="s">
        <v>75</v>
      </c>
      <c r="C124" s="33"/>
      <c r="D124" s="33"/>
      <c r="E124" s="33"/>
      <c r="F124" s="14"/>
      <c r="G124" s="58" t="s">
        <v>2</v>
      </c>
      <c r="H124" s="58" t="s">
        <v>2</v>
      </c>
      <c r="I124" s="33"/>
      <c r="J124" s="33"/>
      <c r="K124" s="14"/>
      <c r="L124" s="33"/>
      <c r="M124" s="33"/>
      <c r="N124" s="58" t="s">
        <v>2</v>
      </c>
      <c r="O124" s="58" t="s">
        <v>2</v>
      </c>
      <c r="P124" s="33"/>
      <c r="Q124" s="33"/>
      <c r="R124" s="33"/>
      <c r="S124" s="33"/>
      <c r="T124" s="33"/>
      <c r="U124" s="58" t="s">
        <v>2</v>
      </c>
      <c r="V124" s="58" t="s">
        <v>2</v>
      </c>
      <c r="W124" s="33"/>
      <c r="X124" s="33"/>
      <c r="Y124" s="33"/>
      <c r="Z124" s="33"/>
      <c r="AA124" s="33"/>
      <c r="AB124" s="58" t="s">
        <v>2</v>
      </c>
      <c r="AC124" s="58" t="s">
        <v>2</v>
      </c>
      <c r="AD124" s="33"/>
      <c r="AE124" s="33"/>
      <c r="AF124" s="1"/>
      <c r="AH124" s="16">
        <f>1*COUNTIF(A124:AF124,"+")</f>
        <v>0</v>
      </c>
      <c r="AI124" s="16">
        <f t="shared" ref="AI124" si="14">1*COUNTIF(B124:AF124,"szf")</f>
        <v>0</v>
      </c>
    </row>
    <row r="125" spans="1:35" ht="20.100000000000001" customHeight="1">
      <c r="A125" s="18" t="str">
        <f>ÖSSZES!$A$96</f>
        <v>Besse Éva</v>
      </c>
      <c r="B125" s="60" t="s">
        <v>75</v>
      </c>
      <c r="C125" s="33"/>
      <c r="D125" s="33"/>
      <c r="E125" s="33"/>
      <c r="F125" s="14"/>
      <c r="G125" s="58" t="s">
        <v>2</v>
      </c>
      <c r="H125" s="58" t="s">
        <v>2</v>
      </c>
      <c r="I125" s="33"/>
      <c r="J125" s="33"/>
      <c r="K125" s="14"/>
      <c r="L125" s="33"/>
      <c r="M125" s="33"/>
      <c r="N125" s="58" t="s">
        <v>2</v>
      </c>
      <c r="O125" s="58" t="s">
        <v>2</v>
      </c>
      <c r="P125" s="33"/>
      <c r="Q125" s="33"/>
      <c r="R125" s="33"/>
      <c r="S125" s="33"/>
      <c r="T125" s="33"/>
      <c r="U125" s="58" t="s">
        <v>2</v>
      </c>
      <c r="V125" s="58" t="s">
        <v>2</v>
      </c>
      <c r="W125" s="33"/>
      <c r="X125" s="33"/>
      <c r="Y125" s="33"/>
      <c r="Z125" s="33"/>
      <c r="AA125" s="33"/>
      <c r="AB125" s="58" t="s">
        <v>2</v>
      </c>
      <c r="AC125" s="58" t="s">
        <v>2</v>
      </c>
      <c r="AD125" s="33"/>
      <c r="AE125" s="33"/>
      <c r="AF125" s="1"/>
      <c r="AH125" s="16">
        <f t="shared" ref="AH125:AH143" si="15">1*COUNTIF(A125:AF125,"+")</f>
        <v>0</v>
      </c>
      <c r="AI125" s="16">
        <f t="shared" ref="AI125:AI143" si="16">1*COUNTIF(B125:AF125,"szf")</f>
        <v>0</v>
      </c>
    </row>
    <row r="126" spans="1:35" ht="20.100000000000001" customHeight="1">
      <c r="A126" s="18" t="str">
        <f>ÖSSZES!$A$97</f>
        <v>Oláh Erika</v>
      </c>
      <c r="B126" s="60" t="s">
        <v>75</v>
      </c>
      <c r="C126" s="33"/>
      <c r="D126" s="33"/>
      <c r="E126" s="33"/>
      <c r="F126" s="14"/>
      <c r="G126" s="58" t="s">
        <v>2</v>
      </c>
      <c r="H126" s="58" t="s">
        <v>2</v>
      </c>
      <c r="I126" s="33"/>
      <c r="J126" s="33"/>
      <c r="K126" s="14"/>
      <c r="L126" s="33"/>
      <c r="M126" s="33"/>
      <c r="N126" s="58" t="s">
        <v>2</v>
      </c>
      <c r="O126" s="58" t="s">
        <v>2</v>
      </c>
      <c r="P126" s="33"/>
      <c r="Q126" s="33"/>
      <c r="R126" s="33"/>
      <c r="S126" s="33"/>
      <c r="T126" s="33"/>
      <c r="U126" s="58" t="s">
        <v>2</v>
      </c>
      <c r="V126" s="58" t="s">
        <v>2</v>
      </c>
      <c r="W126" s="33"/>
      <c r="X126" s="33"/>
      <c r="Y126" s="33"/>
      <c r="Z126" s="33"/>
      <c r="AA126" s="33"/>
      <c r="AB126" s="58" t="s">
        <v>2</v>
      </c>
      <c r="AC126" s="58" t="s">
        <v>2</v>
      </c>
      <c r="AD126" s="33"/>
      <c r="AE126" s="33"/>
      <c r="AF126" s="1"/>
      <c r="AH126" s="16">
        <f t="shared" si="15"/>
        <v>0</v>
      </c>
      <c r="AI126" s="16">
        <f t="shared" si="16"/>
        <v>0</v>
      </c>
    </row>
    <row r="127" spans="1:35" ht="20.100000000000001" customHeight="1">
      <c r="A127" s="18" t="str">
        <f>ÖSSZES!$A$98</f>
        <v>Bulyáki Csaba</v>
      </c>
      <c r="B127" s="60" t="s">
        <v>75</v>
      </c>
      <c r="C127" s="33"/>
      <c r="D127" s="33"/>
      <c r="E127" s="33"/>
      <c r="F127" s="14"/>
      <c r="G127" s="58" t="s">
        <v>2</v>
      </c>
      <c r="H127" s="58" t="s">
        <v>2</v>
      </c>
      <c r="I127" s="33"/>
      <c r="J127" s="33"/>
      <c r="K127" s="14"/>
      <c r="L127" s="33"/>
      <c r="M127" s="33"/>
      <c r="N127" s="58" t="s">
        <v>2</v>
      </c>
      <c r="O127" s="58" t="s">
        <v>2</v>
      </c>
      <c r="P127" s="33"/>
      <c r="Q127" s="33"/>
      <c r="R127" s="33"/>
      <c r="S127" s="33"/>
      <c r="T127" s="33"/>
      <c r="U127" s="58" t="s">
        <v>2</v>
      </c>
      <c r="V127" s="58" t="s">
        <v>2</v>
      </c>
      <c r="W127" s="33"/>
      <c r="X127" s="33"/>
      <c r="Y127" s="33"/>
      <c r="Z127" s="33"/>
      <c r="AA127" s="33"/>
      <c r="AB127" s="58" t="s">
        <v>2</v>
      </c>
      <c r="AC127" s="58" t="s">
        <v>2</v>
      </c>
      <c r="AD127" s="33"/>
      <c r="AE127" s="33"/>
      <c r="AF127" s="1"/>
      <c r="AH127" s="16">
        <f t="shared" si="15"/>
        <v>0</v>
      </c>
      <c r="AI127" s="16">
        <f t="shared" si="16"/>
        <v>0</v>
      </c>
    </row>
    <row r="128" spans="1:35" ht="20.100000000000001" customHeight="1">
      <c r="A128" s="18" t="str">
        <f>ÖSSZES!$A$99</f>
        <v>Fekete Tamás</v>
      </c>
      <c r="B128" s="60" t="s">
        <v>75</v>
      </c>
      <c r="C128" s="33"/>
      <c r="D128" s="33"/>
      <c r="E128" s="33"/>
      <c r="F128" s="14"/>
      <c r="G128" s="58" t="s">
        <v>2</v>
      </c>
      <c r="H128" s="58" t="s">
        <v>2</v>
      </c>
      <c r="I128" s="33"/>
      <c r="J128" s="33"/>
      <c r="K128" s="14"/>
      <c r="L128" s="33"/>
      <c r="M128" s="33"/>
      <c r="N128" s="58" t="s">
        <v>2</v>
      </c>
      <c r="O128" s="58" t="s">
        <v>2</v>
      </c>
      <c r="P128" s="33"/>
      <c r="Q128" s="33"/>
      <c r="R128" s="33"/>
      <c r="S128" s="33"/>
      <c r="T128" s="33"/>
      <c r="U128" s="58" t="s">
        <v>2</v>
      </c>
      <c r="V128" s="58" t="s">
        <v>2</v>
      </c>
      <c r="W128" s="33"/>
      <c r="X128" s="33"/>
      <c r="Y128" s="33"/>
      <c r="Z128" s="33"/>
      <c r="AA128" s="33"/>
      <c r="AB128" s="58" t="s">
        <v>2</v>
      </c>
      <c r="AC128" s="58" t="s">
        <v>2</v>
      </c>
      <c r="AD128" s="33"/>
      <c r="AE128" s="33"/>
      <c r="AF128" s="1"/>
      <c r="AH128" s="16">
        <f t="shared" si="15"/>
        <v>0</v>
      </c>
      <c r="AI128" s="16">
        <f t="shared" si="16"/>
        <v>0</v>
      </c>
    </row>
    <row r="129" spans="1:35" ht="20.100000000000001" customHeight="1">
      <c r="A129" s="18" t="str">
        <f>ÖSSZES!$A$100</f>
        <v>Péter Csaba</v>
      </c>
      <c r="B129" s="60" t="s">
        <v>75</v>
      </c>
      <c r="C129" s="33"/>
      <c r="D129" s="33"/>
      <c r="E129" s="33"/>
      <c r="F129" s="14"/>
      <c r="G129" s="58" t="s">
        <v>2</v>
      </c>
      <c r="H129" s="58" t="s">
        <v>2</v>
      </c>
      <c r="I129" s="33"/>
      <c r="J129" s="33"/>
      <c r="K129" s="14"/>
      <c r="L129" s="33"/>
      <c r="M129" s="33"/>
      <c r="N129" s="58" t="s">
        <v>2</v>
      </c>
      <c r="O129" s="58" t="s">
        <v>2</v>
      </c>
      <c r="P129" s="33"/>
      <c r="Q129" s="33"/>
      <c r="R129" s="33"/>
      <c r="S129" s="33"/>
      <c r="T129" s="33"/>
      <c r="U129" s="58" t="s">
        <v>2</v>
      </c>
      <c r="V129" s="58" t="s">
        <v>2</v>
      </c>
      <c r="W129" s="33"/>
      <c r="X129" s="33"/>
      <c r="Y129" s="33"/>
      <c r="Z129" s="33"/>
      <c r="AA129" s="33"/>
      <c r="AB129" s="58" t="s">
        <v>2</v>
      </c>
      <c r="AC129" s="58" t="s">
        <v>2</v>
      </c>
      <c r="AD129" s="33"/>
      <c r="AE129" s="33"/>
      <c r="AF129" s="1"/>
      <c r="AH129" s="16">
        <f t="shared" si="15"/>
        <v>0</v>
      </c>
      <c r="AI129" s="16">
        <f t="shared" si="16"/>
        <v>0</v>
      </c>
    </row>
    <row r="130" spans="1:35" ht="20.100000000000001" customHeight="1">
      <c r="A130" s="18" t="str">
        <f>ÖSSZES!$A$101</f>
        <v>Tóth János</v>
      </c>
      <c r="B130" s="60" t="s">
        <v>75</v>
      </c>
      <c r="C130" s="33"/>
      <c r="D130" s="33"/>
      <c r="E130" s="33"/>
      <c r="F130" s="14"/>
      <c r="G130" s="58" t="s">
        <v>2</v>
      </c>
      <c r="H130" s="58" t="s">
        <v>2</v>
      </c>
      <c r="I130" s="33"/>
      <c r="J130" s="33"/>
      <c r="K130" s="14"/>
      <c r="L130" s="33"/>
      <c r="M130" s="33"/>
      <c r="N130" s="58" t="s">
        <v>2</v>
      </c>
      <c r="O130" s="58" t="s">
        <v>2</v>
      </c>
      <c r="P130" s="33"/>
      <c r="Q130" s="33"/>
      <c r="R130" s="33"/>
      <c r="S130" s="33"/>
      <c r="T130" s="33"/>
      <c r="U130" s="58" t="s">
        <v>2</v>
      </c>
      <c r="V130" s="58" t="s">
        <v>2</v>
      </c>
      <c r="W130" s="33"/>
      <c r="X130" s="33"/>
      <c r="Y130" s="33"/>
      <c r="Z130" s="33"/>
      <c r="AA130" s="33"/>
      <c r="AB130" s="58" t="s">
        <v>2</v>
      </c>
      <c r="AC130" s="58" t="s">
        <v>2</v>
      </c>
      <c r="AD130" s="33"/>
      <c r="AE130" s="33"/>
      <c r="AF130" s="1"/>
      <c r="AH130" s="16">
        <f t="shared" si="15"/>
        <v>0</v>
      </c>
      <c r="AI130" s="16">
        <f t="shared" si="16"/>
        <v>0</v>
      </c>
    </row>
    <row r="131" spans="1:35" ht="20.100000000000001" customHeight="1">
      <c r="A131" s="18" t="str">
        <f>ÖSSZES!$A$102</f>
        <v>Tóth Krisztián</v>
      </c>
      <c r="B131" s="60" t="s">
        <v>75</v>
      </c>
      <c r="C131" s="33"/>
      <c r="D131" s="33"/>
      <c r="E131" s="33"/>
      <c r="F131" s="14"/>
      <c r="G131" s="58" t="s">
        <v>2</v>
      </c>
      <c r="H131" s="58" t="s">
        <v>2</v>
      </c>
      <c r="I131" s="33"/>
      <c r="J131" s="33"/>
      <c r="K131" s="14"/>
      <c r="L131" s="33"/>
      <c r="M131" s="33"/>
      <c r="N131" s="58" t="s">
        <v>2</v>
      </c>
      <c r="O131" s="58" t="s">
        <v>2</v>
      </c>
      <c r="P131" s="33"/>
      <c r="Q131" s="33"/>
      <c r="R131" s="33"/>
      <c r="S131" s="33"/>
      <c r="T131" s="33"/>
      <c r="U131" s="58" t="s">
        <v>2</v>
      </c>
      <c r="V131" s="58" t="s">
        <v>2</v>
      </c>
      <c r="W131" s="33"/>
      <c r="X131" s="33"/>
      <c r="Y131" s="33"/>
      <c r="Z131" s="33"/>
      <c r="AA131" s="33"/>
      <c r="AB131" s="58" t="s">
        <v>2</v>
      </c>
      <c r="AC131" s="58" t="s">
        <v>2</v>
      </c>
      <c r="AD131" s="33"/>
      <c r="AE131" s="33"/>
      <c r="AF131" s="1"/>
      <c r="AH131" s="16">
        <f t="shared" si="15"/>
        <v>0</v>
      </c>
      <c r="AI131" s="16">
        <f t="shared" si="16"/>
        <v>0</v>
      </c>
    </row>
    <row r="132" spans="1:35" ht="20.100000000000001" customHeight="1">
      <c r="A132" s="18" t="str">
        <f>ÖSSZES!$A$103</f>
        <v>Tassi Szilárd</v>
      </c>
      <c r="B132" s="60" t="s">
        <v>75</v>
      </c>
      <c r="C132" s="33"/>
      <c r="D132" s="33"/>
      <c r="E132" s="33"/>
      <c r="F132" s="14"/>
      <c r="G132" s="58" t="s">
        <v>2</v>
      </c>
      <c r="H132" s="58" t="s">
        <v>2</v>
      </c>
      <c r="I132" s="33"/>
      <c r="J132" s="33"/>
      <c r="K132" s="14"/>
      <c r="L132" s="33"/>
      <c r="M132" s="33"/>
      <c r="N132" s="58" t="s">
        <v>2</v>
      </c>
      <c r="O132" s="58" t="s">
        <v>2</v>
      </c>
      <c r="P132" s="33"/>
      <c r="Q132" s="33"/>
      <c r="R132" s="33"/>
      <c r="S132" s="33"/>
      <c r="T132" s="33"/>
      <c r="U132" s="58" t="s">
        <v>2</v>
      </c>
      <c r="V132" s="58" t="s">
        <v>2</v>
      </c>
      <c r="W132" s="33"/>
      <c r="X132" s="33"/>
      <c r="Y132" s="33"/>
      <c r="Z132" s="33"/>
      <c r="AA132" s="33"/>
      <c r="AB132" s="58" t="s">
        <v>2</v>
      </c>
      <c r="AC132" s="58" t="s">
        <v>2</v>
      </c>
      <c r="AD132" s="33"/>
      <c r="AE132" s="33"/>
      <c r="AF132" s="1"/>
      <c r="AH132" s="16">
        <f t="shared" si="15"/>
        <v>0</v>
      </c>
      <c r="AI132" s="16">
        <f t="shared" si="16"/>
        <v>0</v>
      </c>
    </row>
    <row r="133" spans="1:35" ht="20.100000000000001" customHeight="1">
      <c r="A133" s="18" t="str">
        <f>ÖSSZES!$A$104</f>
        <v>Dancsi Attila</v>
      </c>
      <c r="B133" s="60" t="s">
        <v>75</v>
      </c>
      <c r="C133" s="33"/>
      <c r="D133" s="33"/>
      <c r="E133" s="33"/>
      <c r="F133" s="14"/>
      <c r="G133" s="58" t="s">
        <v>2</v>
      </c>
      <c r="H133" s="58" t="s">
        <v>2</v>
      </c>
      <c r="I133" s="33"/>
      <c r="J133" s="33"/>
      <c r="K133" s="14"/>
      <c r="L133" s="33"/>
      <c r="M133" s="33"/>
      <c r="N133" s="58" t="s">
        <v>2</v>
      </c>
      <c r="O133" s="58" t="s">
        <v>2</v>
      </c>
      <c r="P133" s="33"/>
      <c r="Q133" s="33"/>
      <c r="R133" s="33"/>
      <c r="S133" s="33"/>
      <c r="T133" s="33"/>
      <c r="U133" s="58" t="s">
        <v>2</v>
      </c>
      <c r="V133" s="58" t="s">
        <v>2</v>
      </c>
      <c r="W133" s="33"/>
      <c r="X133" s="33"/>
      <c r="Y133" s="33"/>
      <c r="Z133" s="33"/>
      <c r="AA133" s="33"/>
      <c r="AB133" s="58" t="s">
        <v>2</v>
      </c>
      <c r="AC133" s="58" t="s">
        <v>2</v>
      </c>
      <c r="AD133" s="33"/>
      <c r="AE133" s="33"/>
      <c r="AF133" s="1"/>
      <c r="AH133" s="16">
        <f t="shared" si="15"/>
        <v>0</v>
      </c>
      <c r="AI133" s="16">
        <f t="shared" si="16"/>
        <v>0</v>
      </c>
    </row>
    <row r="134" spans="1:35" ht="20.100000000000001" customHeight="1">
      <c r="A134" s="18" t="str">
        <f>ÖSSZES!$A$105</f>
        <v>Iványi Roland</v>
      </c>
      <c r="B134" s="60" t="s">
        <v>75</v>
      </c>
      <c r="C134" s="33"/>
      <c r="D134" s="33"/>
      <c r="E134" s="33"/>
      <c r="F134" s="14"/>
      <c r="G134" s="58" t="s">
        <v>2</v>
      </c>
      <c r="H134" s="58" t="s">
        <v>2</v>
      </c>
      <c r="I134" s="33"/>
      <c r="J134" s="33"/>
      <c r="K134" s="14"/>
      <c r="L134" s="33"/>
      <c r="M134" s="33"/>
      <c r="N134" s="58" t="s">
        <v>2</v>
      </c>
      <c r="O134" s="58" t="s">
        <v>2</v>
      </c>
      <c r="P134" s="33"/>
      <c r="Q134" s="33"/>
      <c r="R134" s="33"/>
      <c r="S134" s="33"/>
      <c r="T134" s="33"/>
      <c r="U134" s="58" t="s">
        <v>2</v>
      </c>
      <c r="V134" s="58" t="s">
        <v>2</v>
      </c>
      <c r="W134" s="33"/>
      <c r="X134" s="33"/>
      <c r="Y134" s="33"/>
      <c r="Z134" s="33"/>
      <c r="AA134" s="33"/>
      <c r="AB134" s="58" t="s">
        <v>2</v>
      </c>
      <c r="AC134" s="58" t="s">
        <v>2</v>
      </c>
      <c r="AD134" s="33"/>
      <c r="AE134" s="33"/>
      <c r="AF134" s="1"/>
      <c r="AH134" s="16">
        <f t="shared" si="15"/>
        <v>0</v>
      </c>
      <c r="AI134" s="16">
        <f t="shared" si="16"/>
        <v>0</v>
      </c>
    </row>
    <row r="135" spans="1:35" ht="20.100000000000001" hidden="1" customHeight="1">
      <c r="A135" s="18" t="str">
        <f>ÖSSZES!$A$106</f>
        <v>Név12</v>
      </c>
      <c r="B135" s="60" t="s">
        <v>75</v>
      </c>
      <c r="C135" s="33"/>
      <c r="D135" s="33"/>
      <c r="E135" s="33"/>
      <c r="F135" s="14"/>
      <c r="G135" s="58" t="s">
        <v>2</v>
      </c>
      <c r="H135" s="58" t="s">
        <v>2</v>
      </c>
      <c r="I135" s="33"/>
      <c r="J135" s="33"/>
      <c r="K135" s="14"/>
      <c r="L135" s="33"/>
      <c r="M135" s="33"/>
      <c r="N135" s="58" t="s">
        <v>2</v>
      </c>
      <c r="O135" s="58" t="s">
        <v>2</v>
      </c>
      <c r="P135" s="33"/>
      <c r="Q135" s="33"/>
      <c r="R135" s="33"/>
      <c r="S135" s="33"/>
      <c r="T135" s="33"/>
      <c r="U135" s="58" t="s">
        <v>2</v>
      </c>
      <c r="V135" s="58" t="s">
        <v>2</v>
      </c>
      <c r="W135" s="33"/>
      <c r="X135" s="33"/>
      <c r="Y135" s="33"/>
      <c r="Z135" s="33"/>
      <c r="AA135" s="33"/>
      <c r="AB135" s="58" t="s">
        <v>2</v>
      </c>
      <c r="AC135" s="58" t="s">
        <v>2</v>
      </c>
      <c r="AD135" s="33"/>
      <c r="AE135" s="33"/>
      <c r="AF135" s="1"/>
      <c r="AH135" s="16">
        <f t="shared" si="15"/>
        <v>0</v>
      </c>
      <c r="AI135" s="16">
        <f t="shared" si="16"/>
        <v>0</v>
      </c>
    </row>
    <row r="136" spans="1:35" ht="20.100000000000001" hidden="1" customHeight="1">
      <c r="A136" s="18" t="str">
        <f>ÖSSZES!$A$107</f>
        <v>Név13</v>
      </c>
      <c r="B136" s="60" t="s">
        <v>75</v>
      </c>
      <c r="C136" s="33"/>
      <c r="D136" s="33"/>
      <c r="E136" s="33"/>
      <c r="F136" s="14"/>
      <c r="G136" s="58" t="s">
        <v>2</v>
      </c>
      <c r="H136" s="58" t="s">
        <v>2</v>
      </c>
      <c r="I136" s="33"/>
      <c r="J136" s="33"/>
      <c r="K136" s="14"/>
      <c r="L136" s="33"/>
      <c r="M136" s="33"/>
      <c r="N136" s="58" t="s">
        <v>2</v>
      </c>
      <c r="O136" s="58" t="s">
        <v>2</v>
      </c>
      <c r="P136" s="33"/>
      <c r="Q136" s="33"/>
      <c r="R136" s="33"/>
      <c r="S136" s="33"/>
      <c r="T136" s="33"/>
      <c r="U136" s="58" t="s">
        <v>2</v>
      </c>
      <c r="V136" s="58" t="s">
        <v>2</v>
      </c>
      <c r="W136" s="33"/>
      <c r="X136" s="33"/>
      <c r="Y136" s="33"/>
      <c r="Z136" s="33"/>
      <c r="AA136" s="33"/>
      <c r="AB136" s="58" t="s">
        <v>2</v>
      </c>
      <c r="AC136" s="58" t="s">
        <v>2</v>
      </c>
      <c r="AD136" s="33"/>
      <c r="AE136" s="33"/>
      <c r="AF136" s="1"/>
      <c r="AH136" s="16">
        <f t="shared" si="15"/>
        <v>0</v>
      </c>
      <c r="AI136" s="16">
        <f t="shared" si="16"/>
        <v>0</v>
      </c>
    </row>
    <row r="137" spans="1:35" ht="20.100000000000001" hidden="1" customHeight="1">
      <c r="A137" s="18" t="str">
        <f>ÖSSZES!$A$108</f>
        <v>Név14</v>
      </c>
      <c r="B137" s="60" t="s">
        <v>75</v>
      </c>
      <c r="C137" s="33"/>
      <c r="D137" s="33"/>
      <c r="E137" s="33"/>
      <c r="F137" s="14"/>
      <c r="G137" s="58" t="s">
        <v>2</v>
      </c>
      <c r="H137" s="58" t="s">
        <v>2</v>
      </c>
      <c r="I137" s="33"/>
      <c r="J137" s="33"/>
      <c r="K137" s="14"/>
      <c r="L137" s="33"/>
      <c r="M137" s="33"/>
      <c r="N137" s="58" t="s">
        <v>2</v>
      </c>
      <c r="O137" s="58" t="s">
        <v>2</v>
      </c>
      <c r="P137" s="33"/>
      <c r="Q137" s="33"/>
      <c r="R137" s="33"/>
      <c r="S137" s="33"/>
      <c r="T137" s="33"/>
      <c r="U137" s="58" t="s">
        <v>2</v>
      </c>
      <c r="V137" s="58" t="s">
        <v>2</v>
      </c>
      <c r="W137" s="33"/>
      <c r="X137" s="33"/>
      <c r="Y137" s="33"/>
      <c r="Z137" s="33"/>
      <c r="AA137" s="33"/>
      <c r="AB137" s="58" t="s">
        <v>2</v>
      </c>
      <c r="AC137" s="58" t="s">
        <v>2</v>
      </c>
      <c r="AD137" s="33"/>
      <c r="AE137" s="33"/>
      <c r="AF137" s="1"/>
      <c r="AH137" s="16">
        <f t="shared" si="15"/>
        <v>0</v>
      </c>
      <c r="AI137" s="16">
        <f t="shared" si="16"/>
        <v>0</v>
      </c>
    </row>
    <row r="138" spans="1:35" ht="20.100000000000001" hidden="1" customHeight="1">
      <c r="A138" s="18" t="str">
        <f>ÖSSZES!$A$109</f>
        <v>Név15</v>
      </c>
      <c r="B138" s="60" t="s">
        <v>75</v>
      </c>
      <c r="C138" s="33"/>
      <c r="D138" s="33"/>
      <c r="E138" s="33"/>
      <c r="F138" s="14"/>
      <c r="G138" s="58" t="s">
        <v>2</v>
      </c>
      <c r="H138" s="58" t="s">
        <v>2</v>
      </c>
      <c r="I138" s="33"/>
      <c r="J138" s="33"/>
      <c r="K138" s="14"/>
      <c r="L138" s="33"/>
      <c r="M138" s="33"/>
      <c r="N138" s="58" t="s">
        <v>2</v>
      </c>
      <c r="O138" s="58" t="s">
        <v>2</v>
      </c>
      <c r="P138" s="33"/>
      <c r="Q138" s="33"/>
      <c r="R138" s="33"/>
      <c r="S138" s="33"/>
      <c r="T138" s="33"/>
      <c r="U138" s="58" t="s">
        <v>2</v>
      </c>
      <c r="V138" s="58" t="s">
        <v>2</v>
      </c>
      <c r="W138" s="33"/>
      <c r="X138" s="33"/>
      <c r="Y138" s="33"/>
      <c r="Z138" s="33"/>
      <c r="AA138" s="33"/>
      <c r="AB138" s="58" t="s">
        <v>2</v>
      </c>
      <c r="AC138" s="58" t="s">
        <v>2</v>
      </c>
      <c r="AD138" s="33"/>
      <c r="AE138" s="33"/>
      <c r="AF138" s="1"/>
      <c r="AH138" s="16">
        <f t="shared" si="15"/>
        <v>0</v>
      </c>
      <c r="AI138" s="16">
        <f t="shared" si="16"/>
        <v>0</v>
      </c>
    </row>
    <row r="139" spans="1:35" ht="20.100000000000001" hidden="1" customHeight="1">
      <c r="A139" s="18" t="str">
        <f>ÖSSZES!$A$110</f>
        <v>Név16</v>
      </c>
      <c r="B139" s="60" t="s">
        <v>75</v>
      </c>
      <c r="C139" s="33"/>
      <c r="D139" s="33"/>
      <c r="E139" s="33"/>
      <c r="F139" s="14"/>
      <c r="G139" s="58" t="s">
        <v>2</v>
      </c>
      <c r="H139" s="58" t="s">
        <v>2</v>
      </c>
      <c r="I139" s="33"/>
      <c r="J139" s="33"/>
      <c r="K139" s="14"/>
      <c r="L139" s="33"/>
      <c r="M139" s="33"/>
      <c r="N139" s="58" t="s">
        <v>2</v>
      </c>
      <c r="O139" s="58" t="s">
        <v>2</v>
      </c>
      <c r="P139" s="33"/>
      <c r="Q139" s="33"/>
      <c r="R139" s="33"/>
      <c r="S139" s="33"/>
      <c r="T139" s="33"/>
      <c r="U139" s="58" t="s">
        <v>2</v>
      </c>
      <c r="V139" s="58" t="s">
        <v>2</v>
      </c>
      <c r="W139" s="33"/>
      <c r="X139" s="33"/>
      <c r="Y139" s="33"/>
      <c r="Z139" s="33"/>
      <c r="AA139" s="33"/>
      <c r="AB139" s="58" t="s">
        <v>2</v>
      </c>
      <c r="AC139" s="58" t="s">
        <v>2</v>
      </c>
      <c r="AD139" s="33"/>
      <c r="AE139" s="33"/>
      <c r="AF139" s="1"/>
      <c r="AH139" s="16">
        <f t="shared" si="15"/>
        <v>0</v>
      </c>
      <c r="AI139" s="16">
        <f t="shared" si="16"/>
        <v>0</v>
      </c>
    </row>
    <row r="140" spans="1:35" ht="20.100000000000001" hidden="1" customHeight="1">
      <c r="A140" s="18" t="str">
        <f>ÖSSZES!$A$111</f>
        <v>Név17</v>
      </c>
      <c r="B140" s="60" t="s">
        <v>75</v>
      </c>
      <c r="C140" s="33"/>
      <c r="D140" s="33"/>
      <c r="E140" s="33"/>
      <c r="F140" s="14"/>
      <c r="G140" s="58" t="s">
        <v>2</v>
      </c>
      <c r="H140" s="58" t="s">
        <v>2</v>
      </c>
      <c r="I140" s="33"/>
      <c r="J140" s="33"/>
      <c r="K140" s="14"/>
      <c r="L140" s="33"/>
      <c r="M140" s="33"/>
      <c r="N140" s="58" t="s">
        <v>2</v>
      </c>
      <c r="O140" s="58" t="s">
        <v>2</v>
      </c>
      <c r="P140" s="33"/>
      <c r="Q140" s="33"/>
      <c r="R140" s="33"/>
      <c r="S140" s="33"/>
      <c r="T140" s="33"/>
      <c r="U140" s="58" t="s">
        <v>2</v>
      </c>
      <c r="V140" s="58" t="s">
        <v>2</v>
      </c>
      <c r="W140" s="33"/>
      <c r="X140" s="33"/>
      <c r="Y140" s="33"/>
      <c r="Z140" s="33"/>
      <c r="AA140" s="33"/>
      <c r="AB140" s="58" t="s">
        <v>2</v>
      </c>
      <c r="AC140" s="58" t="s">
        <v>2</v>
      </c>
      <c r="AD140" s="33"/>
      <c r="AE140" s="33"/>
      <c r="AF140" s="1"/>
      <c r="AH140" s="16">
        <f t="shared" si="15"/>
        <v>0</v>
      </c>
      <c r="AI140" s="16">
        <f t="shared" si="16"/>
        <v>0</v>
      </c>
    </row>
    <row r="141" spans="1:35" ht="20.100000000000001" hidden="1" customHeight="1">
      <c r="A141" s="18" t="str">
        <f>ÖSSZES!$A$112</f>
        <v>Név18</v>
      </c>
      <c r="B141" s="60" t="s">
        <v>75</v>
      </c>
      <c r="C141" s="33"/>
      <c r="D141" s="33"/>
      <c r="E141" s="33"/>
      <c r="F141" s="14"/>
      <c r="G141" s="58" t="s">
        <v>2</v>
      </c>
      <c r="H141" s="58" t="s">
        <v>2</v>
      </c>
      <c r="I141" s="33"/>
      <c r="J141" s="33"/>
      <c r="K141" s="14"/>
      <c r="L141" s="33"/>
      <c r="M141" s="33"/>
      <c r="N141" s="58" t="s">
        <v>2</v>
      </c>
      <c r="O141" s="58" t="s">
        <v>2</v>
      </c>
      <c r="P141" s="33"/>
      <c r="Q141" s="33"/>
      <c r="R141" s="33"/>
      <c r="S141" s="33"/>
      <c r="T141" s="33"/>
      <c r="U141" s="58" t="s">
        <v>2</v>
      </c>
      <c r="V141" s="58" t="s">
        <v>2</v>
      </c>
      <c r="W141" s="33"/>
      <c r="X141" s="33"/>
      <c r="Y141" s="33"/>
      <c r="Z141" s="33"/>
      <c r="AA141" s="33"/>
      <c r="AB141" s="58" t="s">
        <v>2</v>
      </c>
      <c r="AC141" s="58" t="s">
        <v>2</v>
      </c>
      <c r="AD141" s="33"/>
      <c r="AE141" s="33"/>
      <c r="AF141" s="1"/>
      <c r="AH141" s="16">
        <f t="shared" si="15"/>
        <v>0</v>
      </c>
      <c r="AI141" s="16">
        <f t="shared" si="16"/>
        <v>0</v>
      </c>
    </row>
    <row r="142" spans="1:35" ht="20.100000000000001" hidden="1" customHeight="1">
      <c r="A142" s="18" t="str">
        <f>ÖSSZES!$A$113</f>
        <v>Név19</v>
      </c>
      <c r="B142" s="60" t="s">
        <v>75</v>
      </c>
      <c r="C142" s="33"/>
      <c r="D142" s="33"/>
      <c r="E142" s="33"/>
      <c r="F142" s="14"/>
      <c r="G142" s="58" t="s">
        <v>2</v>
      </c>
      <c r="H142" s="58" t="s">
        <v>2</v>
      </c>
      <c r="I142" s="33"/>
      <c r="J142" s="33"/>
      <c r="K142" s="14"/>
      <c r="L142" s="33"/>
      <c r="M142" s="33"/>
      <c r="N142" s="58" t="s">
        <v>2</v>
      </c>
      <c r="O142" s="58" t="s">
        <v>2</v>
      </c>
      <c r="P142" s="33"/>
      <c r="Q142" s="33"/>
      <c r="R142" s="33"/>
      <c r="S142" s="33"/>
      <c r="T142" s="33"/>
      <c r="U142" s="58" t="s">
        <v>2</v>
      </c>
      <c r="V142" s="58" t="s">
        <v>2</v>
      </c>
      <c r="W142" s="33"/>
      <c r="X142" s="33"/>
      <c r="Y142" s="33"/>
      <c r="Z142" s="33"/>
      <c r="AA142" s="33"/>
      <c r="AB142" s="58" t="s">
        <v>2</v>
      </c>
      <c r="AC142" s="58" t="s">
        <v>2</v>
      </c>
      <c r="AD142" s="33"/>
      <c r="AE142" s="33"/>
      <c r="AF142" s="1"/>
      <c r="AH142" s="16">
        <f t="shared" si="15"/>
        <v>0</v>
      </c>
      <c r="AI142" s="16">
        <f t="shared" si="16"/>
        <v>0</v>
      </c>
    </row>
    <row r="143" spans="1:35" ht="20.100000000000001" hidden="1" customHeight="1">
      <c r="A143" s="18" t="str">
        <f>ÖSSZES!$A$114</f>
        <v>Név20</v>
      </c>
      <c r="B143" s="60" t="s">
        <v>75</v>
      </c>
      <c r="C143" s="33"/>
      <c r="D143" s="33"/>
      <c r="E143" s="33"/>
      <c r="F143" s="14"/>
      <c r="G143" s="58" t="s">
        <v>2</v>
      </c>
      <c r="H143" s="58" t="s">
        <v>2</v>
      </c>
      <c r="I143" s="33"/>
      <c r="J143" s="33"/>
      <c r="K143" s="14"/>
      <c r="L143" s="33"/>
      <c r="M143" s="33"/>
      <c r="N143" s="58" t="s">
        <v>2</v>
      </c>
      <c r="O143" s="58" t="s">
        <v>2</v>
      </c>
      <c r="P143" s="33"/>
      <c r="Q143" s="33"/>
      <c r="R143" s="33"/>
      <c r="S143" s="33"/>
      <c r="T143" s="33"/>
      <c r="U143" s="58" t="s">
        <v>2</v>
      </c>
      <c r="V143" s="58" t="s">
        <v>2</v>
      </c>
      <c r="W143" s="33"/>
      <c r="X143" s="33"/>
      <c r="Y143" s="33"/>
      <c r="Z143" s="33"/>
      <c r="AA143" s="33"/>
      <c r="AB143" s="58" t="s">
        <v>2</v>
      </c>
      <c r="AC143" s="58" t="s">
        <v>2</v>
      </c>
      <c r="AD143" s="33"/>
      <c r="AE143" s="33"/>
      <c r="AF143" s="1"/>
      <c r="AH143" s="16">
        <f t="shared" si="15"/>
        <v>0</v>
      </c>
      <c r="AI143" s="16">
        <f t="shared" si="16"/>
        <v>0</v>
      </c>
    </row>
    <row r="144" spans="1:35" ht="20.100000000000001" customHeight="1"/>
    <row r="145" spans="1:35" s="6" customFormat="1" ht="20.100000000000001" customHeight="1">
      <c r="A145" s="91" t="s">
        <v>11</v>
      </c>
      <c r="B145" s="17">
        <v>1</v>
      </c>
      <c r="C145" s="17">
        <v>2</v>
      </c>
      <c r="D145" s="17">
        <v>3</v>
      </c>
      <c r="E145" s="17">
        <v>4</v>
      </c>
      <c r="F145" s="17">
        <v>5</v>
      </c>
      <c r="G145" s="17">
        <v>6</v>
      </c>
      <c r="H145" s="17">
        <v>7</v>
      </c>
      <c r="I145" s="17">
        <v>8</v>
      </c>
      <c r="J145" s="17">
        <v>9</v>
      </c>
      <c r="K145" s="17">
        <v>10</v>
      </c>
      <c r="L145" s="17">
        <v>11</v>
      </c>
      <c r="M145" s="17">
        <v>12</v>
      </c>
      <c r="N145" s="17">
        <v>13</v>
      </c>
      <c r="O145" s="17">
        <v>14</v>
      </c>
      <c r="P145" s="17">
        <v>15</v>
      </c>
      <c r="Q145" s="17">
        <v>16</v>
      </c>
      <c r="R145" s="17">
        <v>17</v>
      </c>
      <c r="S145" s="17">
        <v>18</v>
      </c>
      <c r="T145" s="17">
        <v>19</v>
      </c>
      <c r="U145" s="17">
        <v>20</v>
      </c>
      <c r="V145" s="17">
        <v>21</v>
      </c>
      <c r="W145" s="17">
        <v>22</v>
      </c>
      <c r="X145" s="17">
        <v>23</v>
      </c>
      <c r="Y145" s="17">
        <v>24</v>
      </c>
      <c r="Z145" s="17">
        <v>25</v>
      </c>
      <c r="AA145" s="17">
        <v>26</v>
      </c>
      <c r="AB145" s="17">
        <v>27</v>
      </c>
      <c r="AC145" s="17">
        <v>28</v>
      </c>
      <c r="AD145" s="17">
        <v>29</v>
      </c>
      <c r="AE145" s="17">
        <v>30</v>
      </c>
      <c r="AF145" s="17">
        <v>31</v>
      </c>
      <c r="AH145" s="93" t="s">
        <v>18</v>
      </c>
      <c r="AI145" s="93" t="s">
        <v>19</v>
      </c>
    </row>
    <row r="146" spans="1:35" ht="20.100000000000001" customHeight="1">
      <c r="A146" s="96"/>
      <c r="B146" s="10" t="str">
        <f>'2020'!B52</f>
        <v>Sze</v>
      </c>
      <c r="C146" s="10" t="str">
        <f>'2020'!C52</f>
        <v>Cs</v>
      </c>
      <c r="D146" s="10" t="str">
        <f>'2020'!D52</f>
        <v>P</v>
      </c>
      <c r="E146" s="10" t="str">
        <f>'2020'!E52</f>
        <v>Szo</v>
      </c>
      <c r="F146" s="10" t="str">
        <f>'2020'!F52</f>
        <v>V</v>
      </c>
      <c r="G146" s="10" t="str">
        <f>'2020'!G52</f>
        <v>H</v>
      </c>
      <c r="H146" s="10" t="str">
        <f>'2020'!H52</f>
        <v>K</v>
      </c>
      <c r="I146" s="10" t="str">
        <f>'2020'!I52</f>
        <v>Sze</v>
      </c>
      <c r="J146" s="10" t="str">
        <f>'2020'!J52</f>
        <v>Cs</v>
      </c>
      <c r="K146" s="10" t="str">
        <f>'2020'!K52</f>
        <v>P</v>
      </c>
      <c r="L146" s="10" t="str">
        <f>'2020'!L52</f>
        <v>Szo</v>
      </c>
      <c r="M146" s="10" t="str">
        <f>'2020'!M52</f>
        <v>V</v>
      </c>
      <c r="N146" s="10" t="str">
        <f>'2020'!N52</f>
        <v>H</v>
      </c>
      <c r="O146" s="10" t="str">
        <f>'2020'!O52</f>
        <v>K</v>
      </c>
      <c r="P146" s="10" t="str">
        <f>'2020'!P52</f>
        <v>Sze</v>
      </c>
      <c r="Q146" s="10" t="str">
        <f>'2020'!Q52</f>
        <v>Cs</v>
      </c>
      <c r="R146" s="10" t="str">
        <f>'2020'!R52</f>
        <v>P</v>
      </c>
      <c r="S146" s="10" t="str">
        <f>'2020'!S52</f>
        <v>Szo</v>
      </c>
      <c r="T146" s="10" t="str">
        <f>'2020'!T52</f>
        <v>V</v>
      </c>
      <c r="U146" s="10" t="str">
        <f>'2020'!U52</f>
        <v>H</v>
      </c>
      <c r="V146" s="10" t="str">
        <f>'2020'!V52</f>
        <v>K</v>
      </c>
      <c r="W146" s="10" t="str">
        <f>'2020'!W52</f>
        <v>Sze</v>
      </c>
      <c r="X146" s="10" t="str">
        <f>'2020'!X52</f>
        <v>Cs</v>
      </c>
      <c r="Y146" s="10" t="str">
        <f>'2020'!Y52</f>
        <v>P</v>
      </c>
      <c r="Z146" s="10" t="str">
        <f>'2020'!Z52</f>
        <v>Szo</v>
      </c>
      <c r="AA146" s="10" t="str">
        <f>'2020'!AA52</f>
        <v>V</v>
      </c>
      <c r="AB146" s="10" t="str">
        <f>'2020'!AB52</f>
        <v>H</v>
      </c>
      <c r="AC146" s="10" t="str">
        <f>'2020'!AC52</f>
        <v>K</v>
      </c>
      <c r="AD146" s="10" t="str">
        <f>'2020'!AD52</f>
        <v>Sze</v>
      </c>
      <c r="AE146" s="10" t="str">
        <f>'2020'!AE52</f>
        <v>Cs</v>
      </c>
      <c r="AF146" s="10" t="str">
        <f>'2020'!AF52</f>
        <v>P</v>
      </c>
      <c r="AH146" s="94"/>
      <c r="AI146" s="94"/>
    </row>
    <row r="147" spans="1:35" ht="20.100000000000001" customHeight="1">
      <c r="A147" s="96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H147" s="94"/>
      <c r="AI147" s="94"/>
    </row>
    <row r="148" spans="1:35" ht="20.100000000000001" customHeight="1">
      <c r="A148" s="18" t="str">
        <f>ÖSSZES!$A$95</f>
        <v>Kovács Kriszitán</v>
      </c>
      <c r="B148" s="33"/>
      <c r="C148" s="33"/>
      <c r="D148" s="33"/>
      <c r="E148" s="58" t="s">
        <v>2</v>
      </c>
      <c r="F148" s="58" t="s">
        <v>2</v>
      </c>
      <c r="G148" s="33"/>
      <c r="H148" s="33"/>
      <c r="I148" s="33"/>
      <c r="J148" s="33"/>
      <c r="K148" s="33"/>
      <c r="L148" s="58" t="s">
        <v>2</v>
      </c>
      <c r="M148" s="58" t="s">
        <v>2</v>
      </c>
      <c r="N148" s="33"/>
      <c r="O148" s="33"/>
      <c r="P148" s="33"/>
      <c r="Q148" s="33"/>
      <c r="R148" s="33"/>
      <c r="S148" s="58" t="s">
        <v>2</v>
      </c>
      <c r="T148" s="58" t="s">
        <v>2</v>
      </c>
      <c r="U148" s="33"/>
      <c r="V148" s="33"/>
      <c r="W148" s="33"/>
      <c r="X148" s="33"/>
      <c r="Y148" s="33"/>
      <c r="Z148" s="58" t="s">
        <v>2</v>
      </c>
      <c r="AA148" s="58" t="s">
        <v>2</v>
      </c>
      <c r="AB148" s="33"/>
      <c r="AC148" s="33"/>
      <c r="AD148" s="33"/>
      <c r="AE148" s="33"/>
      <c r="AF148" s="33"/>
      <c r="AH148" s="16">
        <f>1*COUNTIF(A148:AF148,"+")</f>
        <v>0</v>
      </c>
      <c r="AI148" s="16">
        <f t="shared" ref="AI148" si="17">1*COUNTIF(B148:AF148,"szf")</f>
        <v>0</v>
      </c>
    </row>
    <row r="149" spans="1:35" ht="20.100000000000001" customHeight="1">
      <c r="A149" s="18" t="str">
        <f>ÖSSZES!$A$96</f>
        <v>Besse Éva</v>
      </c>
      <c r="B149" s="33"/>
      <c r="C149" s="33"/>
      <c r="D149" s="33"/>
      <c r="E149" s="58" t="s">
        <v>2</v>
      </c>
      <c r="F149" s="58" t="s">
        <v>2</v>
      </c>
      <c r="G149" s="33"/>
      <c r="H149" s="33"/>
      <c r="I149" s="33"/>
      <c r="J149" s="33"/>
      <c r="K149" s="33"/>
      <c r="L149" s="58" t="s">
        <v>2</v>
      </c>
      <c r="M149" s="58" t="s">
        <v>2</v>
      </c>
      <c r="N149" s="33"/>
      <c r="O149" s="33"/>
      <c r="P149" s="33"/>
      <c r="Q149" s="33"/>
      <c r="R149" s="33"/>
      <c r="S149" s="58" t="s">
        <v>2</v>
      </c>
      <c r="T149" s="58" t="s">
        <v>2</v>
      </c>
      <c r="U149" s="33"/>
      <c r="V149" s="33"/>
      <c r="W149" s="33"/>
      <c r="X149" s="33"/>
      <c r="Y149" s="33"/>
      <c r="Z149" s="58" t="s">
        <v>2</v>
      </c>
      <c r="AA149" s="58" t="s">
        <v>2</v>
      </c>
      <c r="AB149" s="33"/>
      <c r="AC149" s="33"/>
      <c r="AD149" s="33"/>
      <c r="AE149" s="33"/>
      <c r="AF149" s="33"/>
      <c r="AH149" s="16">
        <f t="shared" ref="AH149:AH167" si="18">1*COUNTIF(A149:AF149,"+")</f>
        <v>0</v>
      </c>
      <c r="AI149" s="16">
        <f t="shared" ref="AI149:AI167" si="19">1*COUNTIF(B149:AF149,"szf")</f>
        <v>0</v>
      </c>
    </row>
    <row r="150" spans="1:35" ht="20.100000000000001" customHeight="1">
      <c r="A150" s="18" t="str">
        <f>ÖSSZES!$A$97</f>
        <v>Oláh Erika</v>
      </c>
      <c r="B150" s="33"/>
      <c r="C150" s="33"/>
      <c r="D150" s="33"/>
      <c r="E150" s="58" t="s">
        <v>2</v>
      </c>
      <c r="F150" s="58" t="s">
        <v>2</v>
      </c>
      <c r="G150" s="33"/>
      <c r="H150" s="33"/>
      <c r="I150" s="33"/>
      <c r="J150" s="33"/>
      <c r="K150" s="33"/>
      <c r="L150" s="58" t="s">
        <v>2</v>
      </c>
      <c r="M150" s="58" t="s">
        <v>2</v>
      </c>
      <c r="N150" s="33"/>
      <c r="O150" s="33"/>
      <c r="P150" s="33"/>
      <c r="Q150" s="33"/>
      <c r="R150" s="33"/>
      <c r="S150" s="58" t="s">
        <v>2</v>
      </c>
      <c r="T150" s="58" t="s">
        <v>2</v>
      </c>
      <c r="U150" s="33"/>
      <c r="V150" s="33"/>
      <c r="W150" s="33"/>
      <c r="X150" s="33"/>
      <c r="Y150" s="33"/>
      <c r="Z150" s="58" t="s">
        <v>2</v>
      </c>
      <c r="AA150" s="58" t="s">
        <v>2</v>
      </c>
      <c r="AB150" s="33"/>
      <c r="AC150" s="33"/>
      <c r="AD150" s="33"/>
      <c r="AE150" s="33"/>
      <c r="AF150" s="33"/>
      <c r="AH150" s="16">
        <f t="shared" si="18"/>
        <v>0</v>
      </c>
      <c r="AI150" s="16">
        <f t="shared" si="19"/>
        <v>0</v>
      </c>
    </row>
    <row r="151" spans="1:35" ht="20.100000000000001" customHeight="1">
      <c r="A151" s="18" t="str">
        <f>ÖSSZES!$A$98</f>
        <v>Bulyáki Csaba</v>
      </c>
      <c r="B151" s="33"/>
      <c r="C151" s="33"/>
      <c r="D151" s="33"/>
      <c r="E151" s="58" t="s">
        <v>2</v>
      </c>
      <c r="F151" s="58" t="s">
        <v>2</v>
      </c>
      <c r="G151" s="33"/>
      <c r="H151" s="33"/>
      <c r="I151" s="33"/>
      <c r="J151" s="33"/>
      <c r="K151" s="33"/>
      <c r="L151" s="58" t="s">
        <v>2</v>
      </c>
      <c r="M151" s="58" t="s">
        <v>2</v>
      </c>
      <c r="N151" s="33"/>
      <c r="O151" s="33"/>
      <c r="P151" s="33"/>
      <c r="Q151" s="33"/>
      <c r="R151" s="33"/>
      <c r="S151" s="58" t="s">
        <v>2</v>
      </c>
      <c r="T151" s="58" t="s">
        <v>2</v>
      </c>
      <c r="U151" s="33"/>
      <c r="V151" s="33"/>
      <c r="W151" s="33"/>
      <c r="X151" s="33"/>
      <c r="Y151" s="33"/>
      <c r="Z151" s="58" t="s">
        <v>2</v>
      </c>
      <c r="AA151" s="58" t="s">
        <v>2</v>
      </c>
      <c r="AB151" s="33"/>
      <c r="AC151" s="33"/>
      <c r="AD151" s="33"/>
      <c r="AE151" s="33"/>
      <c r="AF151" s="33"/>
      <c r="AH151" s="16">
        <f t="shared" si="18"/>
        <v>0</v>
      </c>
      <c r="AI151" s="16">
        <f t="shared" si="19"/>
        <v>0</v>
      </c>
    </row>
    <row r="152" spans="1:35" ht="20.100000000000001" customHeight="1">
      <c r="A152" s="18" t="str">
        <f>ÖSSZES!$A$99</f>
        <v>Fekete Tamás</v>
      </c>
      <c r="B152" s="33"/>
      <c r="C152" s="33"/>
      <c r="D152" s="33"/>
      <c r="E152" s="58" t="s">
        <v>2</v>
      </c>
      <c r="F152" s="58" t="s">
        <v>2</v>
      </c>
      <c r="G152" s="33"/>
      <c r="H152" s="33"/>
      <c r="I152" s="33"/>
      <c r="J152" s="33"/>
      <c r="K152" s="33"/>
      <c r="L152" s="58" t="s">
        <v>2</v>
      </c>
      <c r="M152" s="58" t="s">
        <v>2</v>
      </c>
      <c r="N152" s="33"/>
      <c r="O152" s="33"/>
      <c r="P152" s="33"/>
      <c r="Q152" s="33"/>
      <c r="R152" s="33"/>
      <c r="S152" s="58" t="s">
        <v>2</v>
      </c>
      <c r="T152" s="58" t="s">
        <v>2</v>
      </c>
      <c r="U152" s="33"/>
      <c r="V152" s="33"/>
      <c r="W152" s="33"/>
      <c r="X152" s="33"/>
      <c r="Y152" s="33"/>
      <c r="Z152" s="58" t="s">
        <v>2</v>
      </c>
      <c r="AA152" s="58" t="s">
        <v>2</v>
      </c>
      <c r="AB152" s="33"/>
      <c r="AC152" s="33"/>
      <c r="AD152" s="33"/>
      <c r="AE152" s="33"/>
      <c r="AF152" s="33"/>
      <c r="AH152" s="16">
        <f t="shared" si="18"/>
        <v>0</v>
      </c>
      <c r="AI152" s="16">
        <f t="shared" si="19"/>
        <v>0</v>
      </c>
    </row>
    <row r="153" spans="1:35" ht="20.100000000000001" customHeight="1">
      <c r="A153" s="18" t="str">
        <f>ÖSSZES!$A$100</f>
        <v>Péter Csaba</v>
      </c>
      <c r="B153" s="33"/>
      <c r="C153" s="33"/>
      <c r="D153" s="33"/>
      <c r="E153" s="58" t="s">
        <v>2</v>
      </c>
      <c r="F153" s="58" t="s">
        <v>2</v>
      </c>
      <c r="G153" s="33"/>
      <c r="H153" s="33"/>
      <c r="I153" s="33"/>
      <c r="J153" s="33"/>
      <c r="K153" s="33"/>
      <c r="L153" s="58" t="s">
        <v>2</v>
      </c>
      <c r="M153" s="58" t="s">
        <v>2</v>
      </c>
      <c r="N153" s="33"/>
      <c r="O153" s="33"/>
      <c r="P153" s="33"/>
      <c r="Q153" s="33"/>
      <c r="R153" s="33"/>
      <c r="S153" s="58" t="s">
        <v>2</v>
      </c>
      <c r="T153" s="58" t="s">
        <v>2</v>
      </c>
      <c r="U153" s="33"/>
      <c r="V153" s="33"/>
      <c r="W153" s="33"/>
      <c r="X153" s="33"/>
      <c r="Y153" s="33"/>
      <c r="Z153" s="58" t="s">
        <v>2</v>
      </c>
      <c r="AA153" s="58" t="s">
        <v>2</v>
      </c>
      <c r="AB153" s="33"/>
      <c r="AC153" s="33"/>
      <c r="AD153" s="33"/>
      <c r="AE153" s="33"/>
      <c r="AF153" s="33"/>
      <c r="AH153" s="16">
        <f t="shared" si="18"/>
        <v>0</v>
      </c>
      <c r="AI153" s="16">
        <f t="shared" si="19"/>
        <v>0</v>
      </c>
    </row>
    <row r="154" spans="1:35" ht="20.100000000000001" customHeight="1">
      <c r="A154" s="18" t="str">
        <f>ÖSSZES!$A$101</f>
        <v>Tóth János</v>
      </c>
      <c r="B154" s="33"/>
      <c r="C154" s="33"/>
      <c r="D154" s="33"/>
      <c r="E154" s="58" t="s">
        <v>2</v>
      </c>
      <c r="F154" s="58" t="s">
        <v>2</v>
      </c>
      <c r="G154" s="33"/>
      <c r="H154" s="33"/>
      <c r="I154" s="33"/>
      <c r="J154" s="33"/>
      <c r="K154" s="33"/>
      <c r="L154" s="58" t="s">
        <v>2</v>
      </c>
      <c r="M154" s="58" t="s">
        <v>2</v>
      </c>
      <c r="N154" s="33"/>
      <c r="O154" s="33"/>
      <c r="P154" s="33"/>
      <c r="Q154" s="33"/>
      <c r="R154" s="33"/>
      <c r="S154" s="58" t="s">
        <v>2</v>
      </c>
      <c r="T154" s="58" t="s">
        <v>2</v>
      </c>
      <c r="U154" s="33"/>
      <c r="V154" s="33"/>
      <c r="W154" s="33"/>
      <c r="X154" s="33"/>
      <c r="Y154" s="33"/>
      <c r="Z154" s="58" t="s">
        <v>2</v>
      </c>
      <c r="AA154" s="58" t="s">
        <v>2</v>
      </c>
      <c r="AB154" s="33"/>
      <c r="AC154" s="33"/>
      <c r="AD154" s="33"/>
      <c r="AE154" s="33"/>
      <c r="AF154" s="33"/>
      <c r="AH154" s="16">
        <f t="shared" si="18"/>
        <v>0</v>
      </c>
      <c r="AI154" s="16">
        <f t="shared" si="19"/>
        <v>0</v>
      </c>
    </row>
    <row r="155" spans="1:35" ht="20.100000000000001" customHeight="1">
      <c r="A155" s="18" t="str">
        <f>ÖSSZES!$A$102</f>
        <v>Tóth Krisztián</v>
      </c>
      <c r="B155" s="33"/>
      <c r="C155" s="33"/>
      <c r="D155" s="33"/>
      <c r="E155" s="58" t="s">
        <v>2</v>
      </c>
      <c r="F155" s="58" t="s">
        <v>2</v>
      </c>
      <c r="G155" s="33"/>
      <c r="H155" s="33"/>
      <c r="I155" s="33"/>
      <c r="J155" s="33"/>
      <c r="K155" s="33"/>
      <c r="L155" s="58" t="s">
        <v>2</v>
      </c>
      <c r="M155" s="58" t="s">
        <v>2</v>
      </c>
      <c r="N155" s="33"/>
      <c r="O155" s="33"/>
      <c r="P155" s="33"/>
      <c r="Q155" s="33"/>
      <c r="R155" s="33"/>
      <c r="S155" s="58" t="s">
        <v>2</v>
      </c>
      <c r="T155" s="58" t="s">
        <v>2</v>
      </c>
      <c r="U155" s="33"/>
      <c r="V155" s="33"/>
      <c r="W155" s="33"/>
      <c r="X155" s="33"/>
      <c r="Y155" s="33"/>
      <c r="Z155" s="58" t="s">
        <v>2</v>
      </c>
      <c r="AA155" s="58" t="s">
        <v>2</v>
      </c>
      <c r="AB155" s="33"/>
      <c r="AC155" s="33"/>
      <c r="AD155" s="33"/>
      <c r="AE155" s="33"/>
      <c r="AF155" s="33"/>
      <c r="AH155" s="16">
        <f t="shared" si="18"/>
        <v>0</v>
      </c>
      <c r="AI155" s="16">
        <f t="shared" si="19"/>
        <v>0</v>
      </c>
    </row>
    <row r="156" spans="1:35" ht="20.100000000000001" customHeight="1">
      <c r="A156" s="18" t="str">
        <f>ÖSSZES!$A$103</f>
        <v>Tassi Szilárd</v>
      </c>
      <c r="B156" s="33"/>
      <c r="C156" s="33"/>
      <c r="D156" s="33"/>
      <c r="E156" s="58" t="s">
        <v>2</v>
      </c>
      <c r="F156" s="58" t="s">
        <v>2</v>
      </c>
      <c r="G156" s="33" t="s">
        <v>20</v>
      </c>
      <c r="H156" s="33" t="s">
        <v>20</v>
      </c>
      <c r="I156" s="33" t="s">
        <v>20</v>
      </c>
      <c r="J156" s="33" t="s">
        <v>20</v>
      </c>
      <c r="K156" s="33" t="s">
        <v>20</v>
      </c>
      <c r="L156" s="58" t="s">
        <v>2</v>
      </c>
      <c r="M156" s="58" t="s">
        <v>2</v>
      </c>
      <c r="N156" s="33"/>
      <c r="O156" s="33"/>
      <c r="P156" s="33"/>
      <c r="Q156" s="33"/>
      <c r="R156" s="33"/>
      <c r="S156" s="58" t="s">
        <v>2</v>
      </c>
      <c r="T156" s="58" t="s">
        <v>2</v>
      </c>
      <c r="U156" s="33"/>
      <c r="V156" s="33"/>
      <c r="W156" s="33"/>
      <c r="X156" s="33"/>
      <c r="Y156" s="33"/>
      <c r="Z156" s="58" t="s">
        <v>2</v>
      </c>
      <c r="AA156" s="58" t="s">
        <v>2</v>
      </c>
      <c r="AB156" s="33"/>
      <c r="AC156" s="33"/>
      <c r="AD156" s="33"/>
      <c r="AE156" s="33"/>
      <c r="AF156" s="33"/>
      <c r="AH156" s="16">
        <f t="shared" si="18"/>
        <v>0</v>
      </c>
      <c r="AI156" s="16">
        <f t="shared" si="19"/>
        <v>5</v>
      </c>
    </row>
    <row r="157" spans="1:35" ht="20.100000000000001" customHeight="1">
      <c r="A157" s="18" t="str">
        <f>ÖSSZES!$A$104</f>
        <v>Dancsi Attila</v>
      </c>
      <c r="B157" s="33"/>
      <c r="C157" s="33"/>
      <c r="D157" s="33"/>
      <c r="E157" s="58" t="s">
        <v>2</v>
      </c>
      <c r="F157" s="58" t="s">
        <v>2</v>
      </c>
      <c r="G157" s="33"/>
      <c r="H157" s="33"/>
      <c r="I157" s="33"/>
      <c r="J157" s="33"/>
      <c r="K157" s="33"/>
      <c r="L157" s="58" t="s">
        <v>2</v>
      </c>
      <c r="M157" s="58" t="s">
        <v>2</v>
      </c>
      <c r="N157" s="33"/>
      <c r="O157" s="33"/>
      <c r="P157" s="33"/>
      <c r="Q157" s="33"/>
      <c r="R157" s="33"/>
      <c r="S157" s="58" t="s">
        <v>2</v>
      </c>
      <c r="T157" s="58" t="s">
        <v>2</v>
      </c>
      <c r="U157" s="33"/>
      <c r="V157" s="33"/>
      <c r="W157" s="33"/>
      <c r="X157" s="33"/>
      <c r="Y157" s="33"/>
      <c r="Z157" s="58" t="s">
        <v>2</v>
      </c>
      <c r="AA157" s="58" t="s">
        <v>2</v>
      </c>
      <c r="AB157" s="33"/>
      <c r="AC157" s="33"/>
      <c r="AD157" s="33"/>
      <c r="AE157" s="33"/>
      <c r="AF157" s="33"/>
      <c r="AH157" s="16">
        <f t="shared" si="18"/>
        <v>0</v>
      </c>
      <c r="AI157" s="16">
        <f t="shared" si="19"/>
        <v>0</v>
      </c>
    </row>
    <row r="158" spans="1:35" ht="20.100000000000001" customHeight="1">
      <c r="A158" s="18" t="str">
        <f>ÖSSZES!$A$105</f>
        <v>Iványi Roland</v>
      </c>
      <c r="B158" s="33"/>
      <c r="C158" s="33"/>
      <c r="D158" s="33"/>
      <c r="E158" s="58" t="s">
        <v>2</v>
      </c>
      <c r="F158" s="58" t="s">
        <v>2</v>
      </c>
      <c r="G158" s="33"/>
      <c r="H158" s="33"/>
      <c r="I158" s="33"/>
      <c r="J158" s="33"/>
      <c r="K158" s="33"/>
      <c r="L158" s="58" t="s">
        <v>2</v>
      </c>
      <c r="M158" s="58" t="s">
        <v>2</v>
      </c>
      <c r="N158" s="33"/>
      <c r="O158" s="33"/>
      <c r="P158" s="33"/>
      <c r="Q158" s="33"/>
      <c r="R158" s="33"/>
      <c r="S158" s="58" t="s">
        <v>2</v>
      </c>
      <c r="T158" s="58" t="s">
        <v>2</v>
      </c>
      <c r="U158" s="33"/>
      <c r="V158" s="33"/>
      <c r="W158" s="33"/>
      <c r="X158" s="33"/>
      <c r="Y158" s="33"/>
      <c r="Z158" s="58" t="s">
        <v>2</v>
      </c>
      <c r="AA158" s="58" t="s">
        <v>2</v>
      </c>
      <c r="AB158" s="33"/>
      <c r="AC158" s="33"/>
      <c r="AD158" s="33"/>
      <c r="AE158" s="33"/>
      <c r="AF158" s="33"/>
      <c r="AH158" s="16">
        <f t="shared" si="18"/>
        <v>0</v>
      </c>
      <c r="AI158" s="16">
        <f t="shared" si="19"/>
        <v>0</v>
      </c>
    </row>
    <row r="159" spans="1:35" ht="20.100000000000001" hidden="1" customHeight="1">
      <c r="A159" s="18" t="str">
        <f>ÖSSZES!$A$106</f>
        <v>Név12</v>
      </c>
      <c r="B159" s="33"/>
      <c r="C159" s="33"/>
      <c r="D159" s="33"/>
      <c r="E159" s="58" t="s">
        <v>2</v>
      </c>
      <c r="F159" s="58" t="s">
        <v>2</v>
      </c>
      <c r="G159" s="33"/>
      <c r="H159" s="33"/>
      <c r="I159" s="33"/>
      <c r="J159" s="33"/>
      <c r="K159" s="33"/>
      <c r="L159" s="58" t="s">
        <v>2</v>
      </c>
      <c r="M159" s="58" t="s">
        <v>2</v>
      </c>
      <c r="N159" s="33"/>
      <c r="O159" s="33"/>
      <c r="P159" s="33"/>
      <c r="Q159" s="33"/>
      <c r="R159" s="33"/>
      <c r="S159" s="58" t="s">
        <v>2</v>
      </c>
      <c r="T159" s="58" t="s">
        <v>2</v>
      </c>
      <c r="U159" s="33"/>
      <c r="V159" s="33"/>
      <c r="W159" s="33"/>
      <c r="X159" s="33"/>
      <c r="Y159" s="33"/>
      <c r="Z159" s="58" t="s">
        <v>2</v>
      </c>
      <c r="AA159" s="58" t="s">
        <v>2</v>
      </c>
      <c r="AB159" s="33"/>
      <c r="AC159" s="33"/>
      <c r="AD159" s="33"/>
      <c r="AE159" s="33"/>
      <c r="AF159" s="33"/>
      <c r="AH159" s="16">
        <f t="shared" si="18"/>
        <v>0</v>
      </c>
      <c r="AI159" s="16">
        <f t="shared" si="19"/>
        <v>0</v>
      </c>
    </row>
    <row r="160" spans="1:35" ht="20.100000000000001" hidden="1" customHeight="1">
      <c r="A160" s="18" t="str">
        <f>ÖSSZES!$A$107</f>
        <v>Név13</v>
      </c>
      <c r="B160" s="33"/>
      <c r="C160" s="33"/>
      <c r="D160" s="33"/>
      <c r="E160" s="58" t="s">
        <v>2</v>
      </c>
      <c r="F160" s="58" t="s">
        <v>2</v>
      </c>
      <c r="G160" s="33"/>
      <c r="H160" s="33"/>
      <c r="I160" s="33"/>
      <c r="J160" s="33"/>
      <c r="K160" s="33"/>
      <c r="L160" s="58" t="s">
        <v>2</v>
      </c>
      <c r="M160" s="58" t="s">
        <v>2</v>
      </c>
      <c r="N160" s="33"/>
      <c r="O160" s="33"/>
      <c r="P160" s="33"/>
      <c r="Q160" s="33"/>
      <c r="R160" s="33"/>
      <c r="S160" s="58" t="s">
        <v>2</v>
      </c>
      <c r="T160" s="58" t="s">
        <v>2</v>
      </c>
      <c r="U160" s="33"/>
      <c r="V160" s="33"/>
      <c r="W160" s="33"/>
      <c r="X160" s="33"/>
      <c r="Y160" s="33"/>
      <c r="Z160" s="58" t="s">
        <v>2</v>
      </c>
      <c r="AA160" s="58" t="s">
        <v>2</v>
      </c>
      <c r="AB160" s="33"/>
      <c r="AC160" s="33"/>
      <c r="AD160" s="33"/>
      <c r="AE160" s="33"/>
      <c r="AF160" s="33"/>
      <c r="AH160" s="16">
        <f t="shared" si="18"/>
        <v>0</v>
      </c>
      <c r="AI160" s="16">
        <f t="shared" si="19"/>
        <v>0</v>
      </c>
    </row>
    <row r="161" spans="1:35" ht="20.100000000000001" hidden="1" customHeight="1">
      <c r="A161" s="18" t="str">
        <f>ÖSSZES!$A$108</f>
        <v>Név14</v>
      </c>
      <c r="B161" s="33"/>
      <c r="C161" s="33"/>
      <c r="D161" s="33"/>
      <c r="E161" s="58" t="s">
        <v>2</v>
      </c>
      <c r="F161" s="58" t="s">
        <v>2</v>
      </c>
      <c r="G161" s="33"/>
      <c r="H161" s="33"/>
      <c r="I161" s="33"/>
      <c r="J161" s="33"/>
      <c r="K161" s="33"/>
      <c r="L161" s="58" t="s">
        <v>2</v>
      </c>
      <c r="M161" s="58" t="s">
        <v>2</v>
      </c>
      <c r="N161" s="33"/>
      <c r="O161" s="33"/>
      <c r="P161" s="33"/>
      <c r="Q161" s="33"/>
      <c r="R161" s="33"/>
      <c r="S161" s="58" t="s">
        <v>2</v>
      </c>
      <c r="T161" s="58" t="s">
        <v>2</v>
      </c>
      <c r="U161" s="33"/>
      <c r="V161" s="33"/>
      <c r="W161" s="33"/>
      <c r="X161" s="33"/>
      <c r="Y161" s="33"/>
      <c r="Z161" s="58" t="s">
        <v>2</v>
      </c>
      <c r="AA161" s="58" t="s">
        <v>2</v>
      </c>
      <c r="AB161" s="33"/>
      <c r="AC161" s="33"/>
      <c r="AD161" s="33"/>
      <c r="AE161" s="33"/>
      <c r="AF161" s="33"/>
      <c r="AH161" s="16">
        <f t="shared" si="18"/>
        <v>0</v>
      </c>
      <c r="AI161" s="16">
        <f t="shared" si="19"/>
        <v>0</v>
      </c>
    </row>
    <row r="162" spans="1:35" ht="20.100000000000001" hidden="1" customHeight="1">
      <c r="A162" s="18" t="str">
        <f>ÖSSZES!$A$109</f>
        <v>Név15</v>
      </c>
      <c r="B162" s="33"/>
      <c r="C162" s="33"/>
      <c r="D162" s="33"/>
      <c r="E162" s="58" t="s">
        <v>2</v>
      </c>
      <c r="F162" s="58" t="s">
        <v>2</v>
      </c>
      <c r="G162" s="33"/>
      <c r="H162" s="33"/>
      <c r="I162" s="33"/>
      <c r="J162" s="33"/>
      <c r="K162" s="33"/>
      <c r="L162" s="58" t="s">
        <v>2</v>
      </c>
      <c r="M162" s="58" t="s">
        <v>2</v>
      </c>
      <c r="N162" s="33"/>
      <c r="O162" s="33"/>
      <c r="P162" s="33"/>
      <c r="Q162" s="33"/>
      <c r="R162" s="33"/>
      <c r="S162" s="58" t="s">
        <v>2</v>
      </c>
      <c r="T162" s="58" t="s">
        <v>2</v>
      </c>
      <c r="U162" s="33"/>
      <c r="V162" s="33"/>
      <c r="W162" s="33"/>
      <c r="X162" s="33"/>
      <c r="Y162" s="33"/>
      <c r="Z162" s="58" t="s">
        <v>2</v>
      </c>
      <c r="AA162" s="58" t="s">
        <v>2</v>
      </c>
      <c r="AB162" s="33"/>
      <c r="AC162" s="33"/>
      <c r="AD162" s="33"/>
      <c r="AE162" s="33"/>
      <c r="AF162" s="33"/>
      <c r="AH162" s="16">
        <f t="shared" si="18"/>
        <v>0</v>
      </c>
      <c r="AI162" s="16">
        <f t="shared" si="19"/>
        <v>0</v>
      </c>
    </row>
    <row r="163" spans="1:35" ht="20.100000000000001" hidden="1" customHeight="1">
      <c r="A163" s="18" t="str">
        <f>ÖSSZES!$A$110</f>
        <v>Név16</v>
      </c>
      <c r="B163" s="33"/>
      <c r="C163" s="33"/>
      <c r="D163" s="33"/>
      <c r="E163" s="58" t="s">
        <v>2</v>
      </c>
      <c r="F163" s="58" t="s">
        <v>2</v>
      </c>
      <c r="G163" s="33"/>
      <c r="H163" s="33"/>
      <c r="I163" s="33"/>
      <c r="J163" s="33"/>
      <c r="K163" s="33"/>
      <c r="L163" s="58" t="s">
        <v>2</v>
      </c>
      <c r="M163" s="58" t="s">
        <v>2</v>
      </c>
      <c r="N163" s="33"/>
      <c r="O163" s="33"/>
      <c r="P163" s="33"/>
      <c r="Q163" s="33"/>
      <c r="R163" s="33"/>
      <c r="S163" s="58" t="s">
        <v>2</v>
      </c>
      <c r="T163" s="58" t="s">
        <v>2</v>
      </c>
      <c r="U163" s="33"/>
      <c r="V163" s="33"/>
      <c r="W163" s="33"/>
      <c r="X163" s="33"/>
      <c r="Y163" s="33"/>
      <c r="Z163" s="58" t="s">
        <v>2</v>
      </c>
      <c r="AA163" s="58" t="s">
        <v>2</v>
      </c>
      <c r="AB163" s="33"/>
      <c r="AC163" s="33"/>
      <c r="AD163" s="33"/>
      <c r="AE163" s="33"/>
      <c r="AF163" s="33"/>
      <c r="AH163" s="16">
        <f t="shared" si="18"/>
        <v>0</v>
      </c>
      <c r="AI163" s="16">
        <f t="shared" si="19"/>
        <v>0</v>
      </c>
    </row>
    <row r="164" spans="1:35" ht="20.100000000000001" hidden="1" customHeight="1">
      <c r="A164" s="18" t="str">
        <f>ÖSSZES!$A$111</f>
        <v>Név17</v>
      </c>
      <c r="B164" s="33"/>
      <c r="C164" s="33"/>
      <c r="D164" s="33"/>
      <c r="E164" s="58" t="s">
        <v>2</v>
      </c>
      <c r="F164" s="58" t="s">
        <v>2</v>
      </c>
      <c r="G164" s="33"/>
      <c r="H164" s="33"/>
      <c r="I164" s="33"/>
      <c r="J164" s="33"/>
      <c r="K164" s="33"/>
      <c r="L164" s="58" t="s">
        <v>2</v>
      </c>
      <c r="M164" s="58" t="s">
        <v>2</v>
      </c>
      <c r="N164" s="33"/>
      <c r="O164" s="33"/>
      <c r="P164" s="33"/>
      <c r="Q164" s="33"/>
      <c r="R164" s="33"/>
      <c r="S164" s="58" t="s">
        <v>2</v>
      </c>
      <c r="T164" s="58" t="s">
        <v>2</v>
      </c>
      <c r="U164" s="33"/>
      <c r="V164" s="33"/>
      <c r="W164" s="33"/>
      <c r="X164" s="33"/>
      <c r="Y164" s="33"/>
      <c r="Z164" s="58" t="s">
        <v>2</v>
      </c>
      <c r="AA164" s="58" t="s">
        <v>2</v>
      </c>
      <c r="AB164" s="33"/>
      <c r="AC164" s="33"/>
      <c r="AD164" s="33"/>
      <c r="AE164" s="33"/>
      <c r="AF164" s="33"/>
      <c r="AH164" s="16">
        <f t="shared" si="18"/>
        <v>0</v>
      </c>
      <c r="AI164" s="16">
        <f t="shared" si="19"/>
        <v>0</v>
      </c>
    </row>
    <row r="165" spans="1:35" ht="20.100000000000001" hidden="1" customHeight="1">
      <c r="A165" s="18" t="str">
        <f>ÖSSZES!$A$112</f>
        <v>Név18</v>
      </c>
      <c r="B165" s="33"/>
      <c r="C165" s="33"/>
      <c r="D165" s="33"/>
      <c r="E165" s="58" t="s">
        <v>2</v>
      </c>
      <c r="F165" s="58" t="s">
        <v>2</v>
      </c>
      <c r="G165" s="33"/>
      <c r="H165" s="33"/>
      <c r="I165" s="33"/>
      <c r="J165" s="33"/>
      <c r="K165" s="33"/>
      <c r="L165" s="58" t="s">
        <v>2</v>
      </c>
      <c r="M165" s="58" t="s">
        <v>2</v>
      </c>
      <c r="N165" s="33"/>
      <c r="O165" s="33"/>
      <c r="P165" s="33"/>
      <c r="Q165" s="33"/>
      <c r="R165" s="33"/>
      <c r="S165" s="58" t="s">
        <v>2</v>
      </c>
      <c r="T165" s="58" t="s">
        <v>2</v>
      </c>
      <c r="U165" s="33"/>
      <c r="V165" s="33"/>
      <c r="W165" s="33"/>
      <c r="X165" s="33"/>
      <c r="Y165" s="33"/>
      <c r="Z165" s="58" t="s">
        <v>2</v>
      </c>
      <c r="AA165" s="58" t="s">
        <v>2</v>
      </c>
      <c r="AB165" s="33"/>
      <c r="AC165" s="33"/>
      <c r="AD165" s="33"/>
      <c r="AE165" s="33"/>
      <c r="AF165" s="33"/>
      <c r="AH165" s="16">
        <f t="shared" si="18"/>
        <v>0</v>
      </c>
      <c r="AI165" s="16">
        <f t="shared" si="19"/>
        <v>0</v>
      </c>
    </row>
    <row r="166" spans="1:35" ht="20.100000000000001" hidden="1" customHeight="1">
      <c r="A166" s="18" t="str">
        <f>ÖSSZES!$A$113</f>
        <v>Név19</v>
      </c>
      <c r="B166" s="33"/>
      <c r="C166" s="33"/>
      <c r="D166" s="33"/>
      <c r="E166" s="58" t="s">
        <v>2</v>
      </c>
      <c r="F166" s="58" t="s">
        <v>2</v>
      </c>
      <c r="G166" s="33"/>
      <c r="H166" s="33"/>
      <c r="I166" s="33"/>
      <c r="J166" s="33"/>
      <c r="K166" s="33"/>
      <c r="L166" s="58" t="s">
        <v>2</v>
      </c>
      <c r="M166" s="58" t="s">
        <v>2</v>
      </c>
      <c r="N166" s="33"/>
      <c r="O166" s="33"/>
      <c r="P166" s="33"/>
      <c r="Q166" s="33"/>
      <c r="R166" s="33"/>
      <c r="S166" s="58" t="s">
        <v>2</v>
      </c>
      <c r="T166" s="58" t="s">
        <v>2</v>
      </c>
      <c r="U166" s="33"/>
      <c r="V166" s="33"/>
      <c r="W166" s="33"/>
      <c r="X166" s="33"/>
      <c r="Y166" s="33"/>
      <c r="Z166" s="58" t="s">
        <v>2</v>
      </c>
      <c r="AA166" s="58" t="s">
        <v>2</v>
      </c>
      <c r="AB166" s="33"/>
      <c r="AC166" s="33"/>
      <c r="AD166" s="33"/>
      <c r="AE166" s="33"/>
      <c r="AF166" s="33"/>
      <c r="AH166" s="16">
        <f t="shared" si="18"/>
        <v>0</v>
      </c>
      <c r="AI166" s="16">
        <f t="shared" si="19"/>
        <v>0</v>
      </c>
    </row>
    <row r="167" spans="1:35" ht="20.100000000000001" hidden="1" customHeight="1">
      <c r="A167" s="18" t="str">
        <f>ÖSSZES!$A$114</f>
        <v>Név20</v>
      </c>
      <c r="B167" s="33"/>
      <c r="C167" s="33"/>
      <c r="D167" s="33"/>
      <c r="E167" s="58" t="s">
        <v>2</v>
      </c>
      <c r="F167" s="58" t="s">
        <v>2</v>
      </c>
      <c r="G167" s="33"/>
      <c r="H167" s="33"/>
      <c r="I167" s="33"/>
      <c r="J167" s="33"/>
      <c r="K167" s="33"/>
      <c r="L167" s="58" t="s">
        <v>2</v>
      </c>
      <c r="M167" s="58" t="s">
        <v>2</v>
      </c>
      <c r="N167" s="33"/>
      <c r="O167" s="33"/>
      <c r="P167" s="33"/>
      <c r="Q167" s="33"/>
      <c r="R167" s="33"/>
      <c r="S167" s="58" t="s">
        <v>2</v>
      </c>
      <c r="T167" s="58" t="s">
        <v>2</v>
      </c>
      <c r="U167" s="33"/>
      <c r="V167" s="33"/>
      <c r="W167" s="33"/>
      <c r="X167" s="33"/>
      <c r="Y167" s="33"/>
      <c r="Z167" s="58" t="s">
        <v>2</v>
      </c>
      <c r="AA167" s="58" t="s">
        <v>2</v>
      </c>
      <c r="AB167" s="33"/>
      <c r="AC167" s="33"/>
      <c r="AD167" s="33"/>
      <c r="AE167" s="33"/>
      <c r="AF167" s="33"/>
      <c r="AH167" s="16">
        <f t="shared" si="18"/>
        <v>0</v>
      </c>
      <c r="AI167" s="16">
        <f t="shared" si="19"/>
        <v>0</v>
      </c>
    </row>
    <row r="168" spans="1:35" ht="20.100000000000001" customHeight="1"/>
    <row r="169" spans="1:35" s="6" customFormat="1" ht="20.100000000000001" customHeight="1">
      <c r="A169" s="91" t="s">
        <v>12</v>
      </c>
      <c r="B169" s="17">
        <v>1</v>
      </c>
      <c r="C169" s="17">
        <v>2</v>
      </c>
      <c r="D169" s="17">
        <v>3</v>
      </c>
      <c r="E169" s="17">
        <v>4</v>
      </c>
      <c r="F169" s="17">
        <v>5</v>
      </c>
      <c r="G169" s="17">
        <v>6</v>
      </c>
      <c r="H169" s="17">
        <v>7</v>
      </c>
      <c r="I169" s="17">
        <v>8</v>
      </c>
      <c r="J169" s="17">
        <v>9</v>
      </c>
      <c r="K169" s="17">
        <v>10</v>
      </c>
      <c r="L169" s="17">
        <v>11</v>
      </c>
      <c r="M169" s="17">
        <v>12</v>
      </c>
      <c r="N169" s="17">
        <v>13</v>
      </c>
      <c r="O169" s="17">
        <v>14</v>
      </c>
      <c r="P169" s="17">
        <v>15</v>
      </c>
      <c r="Q169" s="17">
        <v>16</v>
      </c>
      <c r="R169" s="17">
        <v>17</v>
      </c>
      <c r="S169" s="17">
        <v>18</v>
      </c>
      <c r="T169" s="17">
        <v>19</v>
      </c>
      <c r="U169" s="19">
        <v>20</v>
      </c>
      <c r="V169" s="17">
        <v>21</v>
      </c>
      <c r="W169" s="17">
        <v>22</v>
      </c>
      <c r="X169" s="17">
        <v>23</v>
      </c>
      <c r="Y169" s="17">
        <v>24</v>
      </c>
      <c r="Z169" s="17">
        <v>25</v>
      </c>
      <c r="AA169" s="17">
        <v>26</v>
      </c>
      <c r="AB169" s="17">
        <v>27</v>
      </c>
      <c r="AC169" s="17">
        <v>28</v>
      </c>
      <c r="AD169" s="17">
        <v>29</v>
      </c>
      <c r="AE169" s="17">
        <v>30</v>
      </c>
      <c r="AF169" s="17">
        <v>31</v>
      </c>
      <c r="AH169" s="93" t="s">
        <v>18</v>
      </c>
      <c r="AI169" s="93" t="s">
        <v>19</v>
      </c>
    </row>
    <row r="170" spans="1:35" ht="20.100000000000001" customHeight="1">
      <c r="A170" s="96"/>
      <c r="B170" s="10" t="str">
        <f>'2020'!B60</f>
        <v>Szo</v>
      </c>
      <c r="C170" s="10" t="str">
        <f>'2020'!C60</f>
        <v>V</v>
      </c>
      <c r="D170" s="10" t="str">
        <f>'2020'!D60</f>
        <v>H</v>
      </c>
      <c r="E170" s="10" t="str">
        <f>'2020'!E60</f>
        <v>K</v>
      </c>
      <c r="F170" s="10" t="str">
        <f>'2020'!F60</f>
        <v>Sze</v>
      </c>
      <c r="G170" s="10" t="str">
        <f>'2020'!G60</f>
        <v>Cs</v>
      </c>
      <c r="H170" s="10" t="str">
        <f>'2020'!H60</f>
        <v>P</v>
      </c>
      <c r="I170" s="10" t="str">
        <f>'2020'!I60</f>
        <v>Szo</v>
      </c>
      <c r="J170" s="10" t="str">
        <f>'2020'!J60</f>
        <v>V</v>
      </c>
      <c r="K170" s="10" t="str">
        <f>'2020'!K60</f>
        <v>H</v>
      </c>
      <c r="L170" s="10" t="str">
        <f>'2020'!L60</f>
        <v>K</v>
      </c>
      <c r="M170" s="10" t="str">
        <f>'2020'!M60</f>
        <v>Sze</v>
      </c>
      <c r="N170" s="10" t="str">
        <f>'2020'!N60</f>
        <v>Cs</v>
      </c>
      <c r="O170" s="10" t="str">
        <f>'2020'!O60</f>
        <v>P</v>
      </c>
      <c r="P170" s="10" t="str">
        <f>'2020'!P60</f>
        <v>Szo</v>
      </c>
      <c r="Q170" s="10" t="str">
        <f>'2020'!Q60</f>
        <v>V</v>
      </c>
      <c r="R170" s="10" t="str">
        <f>'2020'!R60</f>
        <v>H</v>
      </c>
      <c r="S170" s="10" t="str">
        <f>'2020'!S60</f>
        <v>K</v>
      </c>
      <c r="T170" s="10" t="str">
        <f>'2020'!T60</f>
        <v>Sze</v>
      </c>
      <c r="U170" s="10" t="str">
        <f>'2020'!U60</f>
        <v>Cs</v>
      </c>
      <c r="V170" s="10" t="str">
        <f>'2020'!V60</f>
        <v>P</v>
      </c>
      <c r="W170" s="10" t="str">
        <f>'2020'!W60</f>
        <v>Szo</v>
      </c>
      <c r="X170" s="10" t="str">
        <f>'2020'!X60</f>
        <v>V</v>
      </c>
      <c r="Y170" s="10" t="str">
        <f>'2020'!Y60</f>
        <v>H</v>
      </c>
      <c r="Z170" s="10" t="str">
        <f>'2020'!Z60</f>
        <v>K</v>
      </c>
      <c r="AA170" s="10" t="str">
        <f>'2020'!AA60</f>
        <v>Sze</v>
      </c>
      <c r="AB170" s="10" t="str">
        <f>'2020'!AB60</f>
        <v>Cs</v>
      </c>
      <c r="AC170" s="10" t="str">
        <f>'2020'!AC60</f>
        <v>P</v>
      </c>
      <c r="AD170" s="10" t="str">
        <f>'2020'!AD60</f>
        <v>Szo</v>
      </c>
      <c r="AE170" s="10" t="str">
        <f>'2020'!AE60</f>
        <v>V</v>
      </c>
      <c r="AF170" s="10" t="str">
        <f>'2020'!AF60</f>
        <v>H</v>
      </c>
      <c r="AH170" s="94"/>
      <c r="AI170" s="94"/>
    </row>
    <row r="171" spans="1:35" ht="20.100000000000001" customHeight="1">
      <c r="A171" s="96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H171" s="94"/>
      <c r="AI171" s="94"/>
    </row>
    <row r="172" spans="1:35" ht="20.100000000000001" customHeight="1">
      <c r="A172" s="18" t="str">
        <f>ÖSSZES!$A$95</f>
        <v>Kovács Kriszitán</v>
      </c>
      <c r="B172" s="58" t="s">
        <v>2</v>
      </c>
      <c r="C172" s="58" t="s">
        <v>2</v>
      </c>
      <c r="D172" s="33"/>
      <c r="E172" s="33"/>
      <c r="F172" s="33"/>
      <c r="G172" s="33"/>
      <c r="H172" s="33"/>
      <c r="I172" s="58" t="s">
        <v>2</v>
      </c>
      <c r="J172" s="58" t="s">
        <v>2</v>
      </c>
      <c r="K172" s="33"/>
      <c r="L172" s="33"/>
      <c r="M172" s="33"/>
      <c r="N172" s="33"/>
      <c r="O172" s="33"/>
      <c r="P172" s="58" t="s">
        <v>2</v>
      </c>
      <c r="Q172" s="58" t="s">
        <v>2</v>
      </c>
      <c r="R172" s="33"/>
      <c r="S172" s="33"/>
      <c r="T172" s="33"/>
      <c r="U172" s="60" t="s">
        <v>75</v>
      </c>
      <c r="V172" s="58" t="s">
        <v>2</v>
      </c>
      <c r="W172" s="58" t="s">
        <v>2</v>
      </c>
      <c r="X172" s="58" t="s">
        <v>2</v>
      </c>
      <c r="Y172" s="33"/>
      <c r="Z172" s="33"/>
      <c r="AA172" s="33"/>
      <c r="AB172" s="33"/>
      <c r="AC172" s="33"/>
      <c r="AD172" s="33"/>
      <c r="AE172" s="58" t="s">
        <v>2</v>
      </c>
      <c r="AF172" s="33"/>
      <c r="AH172" s="16">
        <f>1*COUNTIF(A172:AF172,"+")</f>
        <v>0</v>
      </c>
      <c r="AI172" s="16">
        <f t="shared" ref="AI172" si="20">1*COUNTIF(B172:AF172,"szf")</f>
        <v>0</v>
      </c>
    </row>
    <row r="173" spans="1:35" ht="20.100000000000001" customHeight="1">
      <c r="A173" s="18" t="str">
        <f>ÖSSZES!$A$96</f>
        <v>Besse Éva</v>
      </c>
      <c r="B173" s="58" t="s">
        <v>2</v>
      </c>
      <c r="C173" s="58" t="s">
        <v>2</v>
      </c>
      <c r="D173" s="33"/>
      <c r="E173" s="33"/>
      <c r="F173" s="33"/>
      <c r="G173" s="33"/>
      <c r="H173" s="33"/>
      <c r="I173" s="58" t="s">
        <v>2</v>
      </c>
      <c r="J173" s="58" t="s">
        <v>2</v>
      </c>
      <c r="K173" s="33"/>
      <c r="L173" s="33"/>
      <c r="M173" s="33"/>
      <c r="N173" s="33"/>
      <c r="O173" s="33"/>
      <c r="P173" s="58" t="s">
        <v>2</v>
      </c>
      <c r="Q173" s="58" t="s">
        <v>2</v>
      </c>
      <c r="R173" s="33"/>
      <c r="S173" s="33"/>
      <c r="T173" s="33"/>
      <c r="U173" s="60" t="s">
        <v>75</v>
      </c>
      <c r="V173" s="58" t="s">
        <v>2</v>
      </c>
      <c r="W173" s="58" t="s">
        <v>2</v>
      </c>
      <c r="X173" s="58" t="s">
        <v>2</v>
      </c>
      <c r="Y173" s="33"/>
      <c r="Z173" s="33"/>
      <c r="AA173" s="33"/>
      <c r="AB173" s="33"/>
      <c r="AC173" s="33"/>
      <c r="AD173" s="33"/>
      <c r="AE173" s="58" t="s">
        <v>2</v>
      </c>
      <c r="AF173" s="33"/>
      <c r="AH173" s="16">
        <f t="shared" ref="AH173:AH191" si="21">1*COUNTIF(A173:AF173,"+")</f>
        <v>0</v>
      </c>
      <c r="AI173" s="16">
        <f t="shared" ref="AI173:AI191" si="22">1*COUNTIF(B173:AF173,"szf")</f>
        <v>0</v>
      </c>
    </row>
    <row r="174" spans="1:35" ht="20.100000000000001" customHeight="1">
      <c r="A174" s="18" t="str">
        <f>ÖSSZES!$A$97</f>
        <v>Oláh Erika</v>
      </c>
      <c r="B174" s="58" t="s">
        <v>2</v>
      </c>
      <c r="C174" s="58" t="s">
        <v>2</v>
      </c>
      <c r="D174" s="33"/>
      <c r="E174" s="33"/>
      <c r="F174" s="33"/>
      <c r="G174" s="33"/>
      <c r="H174" s="33"/>
      <c r="I174" s="58" t="s">
        <v>2</v>
      </c>
      <c r="J174" s="58" t="s">
        <v>2</v>
      </c>
      <c r="K174" s="33"/>
      <c r="L174" s="33"/>
      <c r="M174" s="33"/>
      <c r="N174" s="33"/>
      <c r="O174" s="33"/>
      <c r="P174" s="58" t="s">
        <v>2</v>
      </c>
      <c r="Q174" s="58" t="s">
        <v>2</v>
      </c>
      <c r="R174" s="33"/>
      <c r="S174" s="33"/>
      <c r="T174" s="33"/>
      <c r="U174" s="60" t="s">
        <v>75</v>
      </c>
      <c r="V174" s="58" t="s">
        <v>2</v>
      </c>
      <c r="W174" s="58" t="s">
        <v>2</v>
      </c>
      <c r="X174" s="58" t="s">
        <v>2</v>
      </c>
      <c r="Y174" s="33"/>
      <c r="Z174" s="33"/>
      <c r="AA174" s="33"/>
      <c r="AB174" s="33"/>
      <c r="AC174" s="33"/>
      <c r="AD174" s="33"/>
      <c r="AE174" s="58" t="s">
        <v>2</v>
      </c>
      <c r="AF174" s="33"/>
      <c r="AH174" s="16">
        <f t="shared" si="21"/>
        <v>0</v>
      </c>
      <c r="AI174" s="16">
        <f t="shared" si="22"/>
        <v>0</v>
      </c>
    </row>
    <row r="175" spans="1:35" ht="20.100000000000001" customHeight="1">
      <c r="A175" s="18" t="str">
        <f>ÖSSZES!$A$98</f>
        <v>Bulyáki Csaba</v>
      </c>
      <c r="B175" s="58" t="s">
        <v>2</v>
      </c>
      <c r="C175" s="58" t="s">
        <v>2</v>
      </c>
      <c r="D175" s="33"/>
      <c r="E175" s="33"/>
      <c r="F175" s="33"/>
      <c r="G175" s="33"/>
      <c r="H175" s="33"/>
      <c r="I175" s="58" t="s">
        <v>2</v>
      </c>
      <c r="J175" s="58" t="s">
        <v>2</v>
      </c>
      <c r="K175" s="33"/>
      <c r="L175" s="33"/>
      <c r="M175" s="33"/>
      <c r="N175" s="33"/>
      <c r="O175" s="33"/>
      <c r="P175" s="58" t="s">
        <v>2</v>
      </c>
      <c r="Q175" s="58" t="s">
        <v>2</v>
      </c>
      <c r="R175" s="33"/>
      <c r="S175" s="33"/>
      <c r="T175" s="33"/>
      <c r="U175" s="60" t="s">
        <v>75</v>
      </c>
      <c r="V175" s="58" t="s">
        <v>2</v>
      </c>
      <c r="W175" s="58" t="s">
        <v>2</v>
      </c>
      <c r="X175" s="58" t="s">
        <v>2</v>
      </c>
      <c r="Y175" s="33"/>
      <c r="Z175" s="33"/>
      <c r="AA175" s="33"/>
      <c r="AB175" s="33"/>
      <c r="AC175" s="33"/>
      <c r="AD175" s="33" t="s">
        <v>20</v>
      </c>
      <c r="AE175" s="58" t="s">
        <v>2</v>
      </c>
      <c r="AF175" s="33"/>
      <c r="AH175" s="16">
        <f t="shared" si="21"/>
        <v>0</v>
      </c>
      <c r="AI175" s="16">
        <f t="shared" si="22"/>
        <v>1</v>
      </c>
    </row>
    <row r="176" spans="1:35" ht="20.100000000000001" customHeight="1">
      <c r="A176" s="18" t="str">
        <f>ÖSSZES!$A$99</f>
        <v>Fekete Tamás</v>
      </c>
      <c r="B176" s="58" t="s">
        <v>2</v>
      </c>
      <c r="C176" s="58" t="s">
        <v>2</v>
      </c>
      <c r="D176" s="33"/>
      <c r="E176" s="33"/>
      <c r="F176" s="33"/>
      <c r="G176" s="33"/>
      <c r="H176" s="33"/>
      <c r="I176" s="58" t="s">
        <v>2</v>
      </c>
      <c r="J176" s="58" t="s">
        <v>2</v>
      </c>
      <c r="K176" s="33"/>
      <c r="L176" s="33"/>
      <c r="M176" s="33"/>
      <c r="N176" s="33"/>
      <c r="O176" s="33"/>
      <c r="P176" s="58" t="s">
        <v>2</v>
      </c>
      <c r="Q176" s="58" t="s">
        <v>2</v>
      </c>
      <c r="R176" s="33"/>
      <c r="S176" s="33"/>
      <c r="T176" s="33"/>
      <c r="U176" s="60" t="s">
        <v>75</v>
      </c>
      <c r="V176" s="58" t="s">
        <v>2</v>
      </c>
      <c r="W176" s="58" t="s">
        <v>2</v>
      </c>
      <c r="X176" s="58" t="s">
        <v>2</v>
      </c>
      <c r="Y176" s="33"/>
      <c r="Z176" s="33"/>
      <c r="AA176" s="33"/>
      <c r="AB176" s="33"/>
      <c r="AC176" s="33"/>
      <c r="AD176" s="33"/>
      <c r="AE176" s="58" t="s">
        <v>2</v>
      </c>
      <c r="AF176" s="33"/>
      <c r="AH176" s="16">
        <f t="shared" si="21"/>
        <v>0</v>
      </c>
      <c r="AI176" s="16">
        <f t="shared" si="22"/>
        <v>0</v>
      </c>
    </row>
    <row r="177" spans="1:35" ht="20.100000000000001" customHeight="1">
      <c r="A177" s="18" t="str">
        <f>ÖSSZES!$A$100</f>
        <v>Péter Csaba</v>
      </c>
      <c r="B177" s="58" t="s">
        <v>2</v>
      </c>
      <c r="C177" s="58" t="s">
        <v>2</v>
      </c>
      <c r="D177" s="33"/>
      <c r="E177" s="33"/>
      <c r="F177" s="33"/>
      <c r="G177" s="33"/>
      <c r="H177" s="33"/>
      <c r="I177" s="58" t="s">
        <v>2</v>
      </c>
      <c r="J177" s="58" t="s">
        <v>2</v>
      </c>
      <c r="K177" s="33"/>
      <c r="L177" s="33"/>
      <c r="M177" s="33"/>
      <c r="N177" s="33"/>
      <c r="O177" s="33"/>
      <c r="P177" s="58" t="s">
        <v>2</v>
      </c>
      <c r="Q177" s="58" t="s">
        <v>2</v>
      </c>
      <c r="R177" s="33"/>
      <c r="S177" s="33"/>
      <c r="T177" s="33"/>
      <c r="U177" s="60" t="s">
        <v>75</v>
      </c>
      <c r="V177" s="58" t="s">
        <v>2</v>
      </c>
      <c r="W177" s="58" t="s">
        <v>2</v>
      </c>
      <c r="X177" s="58" t="s">
        <v>2</v>
      </c>
      <c r="Y177" s="33"/>
      <c r="Z177" s="33"/>
      <c r="AA177" s="33"/>
      <c r="AB177" s="33"/>
      <c r="AC177" s="33"/>
      <c r="AD177" s="33"/>
      <c r="AE177" s="58" t="s">
        <v>2</v>
      </c>
      <c r="AF177" s="33"/>
      <c r="AH177" s="16">
        <f t="shared" si="21"/>
        <v>0</v>
      </c>
      <c r="AI177" s="16">
        <f t="shared" si="22"/>
        <v>0</v>
      </c>
    </row>
    <row r="178" spans="1:35" ht="20.100000000000001" customHeight="1">
      <c r="A178" s="18" t="str">
        <f>ÖSSZES!$A$101</f>
        <v>Tóth János</v>
      </c>
      <c r="B178" s="58" t="s">
        <v>2</v>
      </c>
      <c r="C178" s="58" t="s">
        <v>2</v>
      </c>
      <c r="D178" s="33"/>
      <c r="E178" s="33"/>
      <c r="F178" s="33"/>
      <c r="G178" s="33"/>
      <c r="H178" s="33"/>
      <c r="I178" s="58" t="s">
        <v>2</v>
      </c>
      <c r="J178" s="58" t="s">
        <v>2</v>
      </c>
      <c r="K178" s="33"/>
      <c r="L178" s="33"/>
      <c r="M178" s="33"/>
      <c r="N178" s="33"/>
      <c r="O178" s="33"/>
      <c r="P178" s="58" t="s">
        <v>2</v>
      </c>
      <c r="Q178" s="58" t="s">
        <v>2</v>
      </c>
      <c r="R178" s="33"/>
      <c r="S178" s="33"/>
      <c r="T178" s="33"/>
      <c r="U178" s="60" t="s">
        <v>75</v>
      </c>
      <c r="V178" s="58" t="s">
        <v>2</v>
      </c>
      <c r="W178" s="58" t="s">
        <v>2</v>
      </c>
      <c r="X178" s="58" t="s">
        <v>2</v>
      </c>
      <c r="Y178" s="33"/>
      <c r="Z178" s="33"/>
      <c r="AA178" s="33"/>
      <c r="AB178" s="33"/>
      <c r="AC178" s="33"/>
      <c r="AD178" s="33"/>
      <c r="AE178" s="58" t="s">
        <v>2</v>
      </c>
      <c r="AF178" s="33"/>
      <c r="AH178" s="16">
        <f t="shared" si="21"/>
        <v>0</v>
      </c>
      <c r="AI178" s="16">
        <f t="shared" si="22"/>
        <v>0</v>
      </c>
    </row>
    <row r="179" spans="1:35" ht="20.100000000000001" customHeight="1">
      <c r="A179" s="18" t="str">
        <f>ÖSSZES!$A$102</f>
        <v>Tóth Krisztián</v>
      </c>
      <c r="B179" s="58" t="s">
        <v>2</v>
      </c>
      <c r="C179" s="58" t="s">
        <v>2</v>
      </c>
      <c r="D179" s="33"/>
      <c r="E179" s="33"/>
      <c r="F179" s="33"/>
      <c r="G179" s="33"/>
      <c r="H179" s="33"/>
      <c r="I179" s="58" t="s">
        <v>2</v>
      </c>
      <c r="J179" s="58" t="s">
        <v>2</v>
      </c>
      <c r="K179" s="33"/>
      <c r="L179" s="33"/>
      <c r="M179" s="33"/>
      <c r="N179" s="33"/>
      <c r="O179" s="33"/>
      <c r="P179" s="58" t="s">
        <v>2</v>
      </c>
      <c r="Q179" s="58" t="s">
        <v>2</v>
      </c>
      <c r="R179" s="33"/>
      <c r="S179" s="33"/>
      <c r="T179" s="33"/>
      <c r="U179" s="60" t="s">
        <v>75</v>
      </c>
      <c r="V179" s="58" t="s">
        <v>2</v>
      </c>
      <c r="W179" s="58" t="s">
        <v>2</v>
      </c>
      <c r="X179" s="58" t="s">
        <v>2</v>
      </c>
      <c r="Y179" s="33"/>
      <c r="Z179" s="33"/>
      <c r="AA179" s="33"/>
      <c r="AB179" s="33"/>
      <c r="AC179" s="33"/>
      <c r="AD179" s="33"/>
      <c r="AE179" s="58" t="s">
        <v>2</v>
      </c>
      <c r="AF179" s="33"/>
      <c r="AH179" s="16">
        <f t="shared" si="21"/>
        <v>0</v>
      </c>
      <c r="AI179" s="16">
        <f t="shared" si="22"/>
        <v>0</v>
      </c>
    </row>
    <row r="180" spans="1:35" ht="20.100000000000001" customHeight="1">
      <c r="A180" s="18" t="str">
        <f>ÖSSZES!$A$103</f>
        <v>Tassi Szilárd</v>
      </c>
      <c r="B180" s="58" t="s">
        <v>2</v>
      </c>
      <c r="C180" s="58" t="s">
        <v>2</v>
      </c>
      <c r="D180" s="33"/>
      <c r="E180" s="33"/>
      <c r="F180" s="33"/>
      <c r="G180" s="33"/>
      <c r="H180" s="33"/>
      <c r="I180" s="58" t="s">
        <v>2</v>
      </c>
      <c r="J180" s="58" t="s">
        <v>2</v>
      </c>
      <c r="K180" s="33"/>
      <c r="L180" s="33"/>
      <c r="M180" s="33"/>
      <c r="N180" s="33"/>
      <c r="O180" s="33"/>
      <c r="P180" s="58" t="s">
        <v>2</v>
      </c>
      <c r="Q180" s="58" t="s">
        <v>2</v>
      </c>
      <c r="R180" s="33"/>
      <c r="S180" s="33"/>
      <c r="T180" s="33"/>
      <c r="U180" s="60" t="s">
        <v>75</v>
      </c>
      <c r="V180" s="58" t="s">
        <v>2</v>
      </c>
      <c r="W180" s="58" t="s">
        <v>2</v>
      </c>
      <c r="X180" s="58" t="s">
        <v>2</v>
      </c>
      <c r="Y180" s="33"/>
      <c r="Z180" s="33"/>
      <c r="AA180" s="33"/>
      <c r="AB180" s="33"/>
      <c r="AC180" s="33"/>
      <c r="AD180" s="33"/>
      <c r="AE180" s="58" t="s">
        <v>2</v>
      </c>
      <c r="AF180" s="33"/>
      <c r="AH180" s="16">
        <f t="shared" si="21"/>
        <v>0</v>
      </c>
      <c r="AI180" s="16">
        <f t="shared" si="22"/>
        <v>0</v>
      </c>
    </row>
    <row r="181" spans="1:35" ht="20.100000000000001" customHeight="1">
      <c r="A181" s="18" t="str">
        <f>ÖSSZES!$A$104</f>
        <v>Dancsi Attila</v>
      </c>
      <c r="B181" s="58" t="s">
        <v>2</v>
      </c>
      <c r="C181" s="58" t="s">
        <v>2</v>
      </c>
      <c r="D181" s="33"/>
      <c r="E181" s="33"/>
      <c r="F181" s="33"/>
      <c r="G181" s="33"/>
      <c r="H181" s="33"/>
      <c r="I181" s="58" t="s">
        <v>2</v>
      </c>
      <c r="J181" s="58" t="s">
        <v>2</v>
      </c>
      <c r="K181" s="33"/>
      <c r="L181" s="33"/>
      <c r="M181" s="33"/>
      <c r="N181" s="33"/>
      <c r="O181" s="33"/>
      <c r="P181" s="58" t="s">
        <v>2</v>
      </c>
      <c r="Q181" s="58" t="s">
        <v>2</v>
      </c>
      <c r="R181" s="33"/>
      <c r="S181" s="33"/>
      <c r="T181" s="33"/>
      <c r="U181" s="60" t="s">
        <v>75</v>
      </c>
      <c r="V181" s="58" t="s">
        <v>2</v>
      </c>
      <c r="W181" s="58" t="s">
        <v>2</v>
      </c>
      <c r="X181" s="58" t="s">
        <v>2</v>
      </c>
      <c r="Y181" s="33"/>
      <c r="Z181" s="33"/>
      <c r="AA181" s="33"/>
      <c r="AB181" s="33"/>
      <c r="AC181" s="33"/>
      <c r="AD181" s="33"/>
      <c r="AE181" s="58" t="s">
        <v>2</v>
      </c>
      <c r="AF181" s="33"/>
      <c r="AH181" s="16">
        <f t="shared" si="21"/>
        <v>0</v>
      </c>
      <c r="AI181" s="16">
        <f t="shared" si="22"/>
        <v>0</v>
      </c>
    </row>
    <row r="182" spans="1:35" ht="20.100000000000001" customHeight="1">
      <c r="A182" s="18" t="str">
        <f>ÖSSZES!$A$105</f>
        <v>Iványi Roland</v>
      </c>
      <c r="B182" s="58" t="s">
        <v>2</v>
      </c>
      <c r="C182" s="58" t="s">
        <v>2</v>
      </c>
      <c r="D182" s="33"/>
      <c r="E182" s="33"/>
      <c r="F182" s="33"/>
      <c r="G182" s="33"/>
      <c r="H182" s="33"/>
      <c r="I182" s="58" t="s">
        <v>2</v>
      </c>
      <c r="J182" s="58" t="s">
        <v>2</v>
      </c>
      <c r="K182" s="33"/>
      <c r="L182" s="33"/>
      <c r="M182" s="33"/>
      <c r="N182" s="33"/>
      <c r="O182" s="33"/>
      <c r="P182" s="58" t="s">
        <v>2</v>
      </c>
      <c r="Q182" s="58" t="s">
        <v>2</v>
      </c>
      <c r="R182" s="33"/>
      <c r="S182" s="33"/>
      <c r="T182" s="33"/>
      <c r="U182" s="60" t="s">
        <v>75</v>
      </c>
      <c r="V182" s="58" t="s">
        <v>2</v>
      </c>
      <c r="W182" s="58" t="s">
        <v>2</v>
      </c>
      <c r="X182" s="58" t="s">
        <v>2</v>
      </c>
      <c r="Y182" s="33"/>
      <c r="Z182" s="33"/>
      <c r="AA182" s="33"/>
      <c r="AB182" s="33"/>
      <c r="AC182" s="33"/>
      <c r="AD182" s="33"/>
      <c r="AE182" s="58" t="s">
        <v>2</v>
      </c>
      <c r="AF182" s="33"/>
      <c r="AH182" s="16">
        <f t="shared" si="21"/>
        <v>0</v>
      </c>
      <c r="AI182" s="16">
        <f t="shared" si="22"/>
        <v>0</v>
      </c>
    </row>
    <row r="183" spans="1:35" ht="20.100000000000001" hidden="1" customHeight="1">
      <c r="A183" s="18" t="str">
        <f>ÖSSZES!$A$106</f>
        <v>Név12</v>
      </c>
      <c r="B183" s="58" t="s">
        <v>2</v>
      </c>
      <c r="C183" s="58" t="s">
        <v>2</v>
      </c>
      <c r="D183" s="33"/>
      <c r="E183" s="33"/>
      <c r="F183" s="33"/>
      <c r="G183" s="33"/>
      <c r="H183" s="33"/>
      <c r="I183" s="58" t="s">
        <v>2</v>
      </c>
      <c r="J183" s="58" t="s">
        <v>2</v>
      </c>
      <c r="K183" s="33"/>
      <c r="L183" s="33"/>
      <c r="M183" s="33"/>
      <c r="N183" s="33"/>
      <c r="O183" s="33"/>
      <c r="P183" s="58" t="s">
        <v>2</v>
      </c>
      <c r="Q183" s="58" t="s">
        <v>2</v>
      </c>
      <c r="R183" s="33"/>
      <c r="S183" s="33"/>
      <c r="T183" s="33"/>
      <c r="U183" s="60" t="s">
        <v>75</v>
      </c>
      <c r="V183" s="58" t="s">
        <v>2</v>
      </c>
      <c r="W183" s="58" t="s">
        <v>2</v>
      </c>
      <c r="X183" s="58" t="s">
        <v>2</v>
      </c>
      <c r="Y183" s="33"/>
      <c r="Z183" s="33"/>
      <c r="AA183" s="33"/>
      <c r="AB183" s="33"/>
      <c r="AC183" s="33"/>
      <c r="AD183" s="33"/>
      <c r="AE183" s="58" t="s">
        <v>2</v>
      </c>
      <c r="AF183" s="33"/>
      <c r="AH183" s="16">
        <f t="shared" si="21"/>
        <v>0</v>
      </c>
      <c r="AI183" s="16">
        <f t="shared" si="22"/>
        <v>0</v>
      </c>
    </row>
    <row r="184" spans="1:35" ht="20.100000000000001" hidden="1" customHeight="1">
      <c r="A184" s="18" t="str">
        <f>ÖSSZES!$A$107</f>
        <v>Név13</v>
      </c>
      <c r="B184" s="58" t="s">
        <v>2</v>
      </c>
      <c r="C184" s="58" t="s">
        <v>2</v>
      </c>
      <c r="D184" s="33"/>
      <c r="E184" s="33"/>
      <c r="F184" s="33"/>
      <c r="G184" s="33"/>
      <c r="H184" s="33"/>
      <c r="I184" s="58" t="s">
        <v>2</v>
      </c>
      <c r="J184" s="58" t="s">
        <v>2</v>
      </c>
      <c r="K184" s="33"/>
      <c r="L184" s="33"/>
      <c r="M184" s="33"/>
      <c r="N184" s="33"/>
      <c r="O184" s="33"/>
      <c r="P184" s="58" t="s">
        <v>2</v>
      </c>
      <c r="Q184" s="58" t="s">
        <v>2</v>
      </c>
      <c r="R184" s="33"/>
      <c r="S184" s="33"/>
      <c r="T184" s="33"/>
      <c r="U184" s="60" t="s">
        <v>75</v>
      </c>
      <c r="V184" s="58" t="s">
        <v>2</v>
      </c>
      <c r="W184" s="58" t="s">
        <v>2</v>
      </c>
      <c r="X184" s="58" t="s">
        <v>2</v>
      </c>
      <c r="Y184" s="33"/>
      <c r="Z184" s="33"/>
      <c r="AA184" s="33"/>
      <c r="AB184" s="33"/>
      <c r="AC184" s="33"/>
      <c r="AD184" s="33"/>
      <c r="AE184" s="58" t="s">
        <v>2</v>
      </c>
      <c r="AF184" s="33"/>
      <c r="AH184" s="16">
        <f t="shared" si="21"/>
        <v>0</v>
      </c>
      <c r="AI184" s="16">
        <f t="shared" si="22"/>
        <v>0</v>
      </c>
    </row>
    <row r="185" spans="1:35" ht="20.100000000000001" hidden="1" customHeight="1">
      <c r="A185" s="18" t="str">
        <f>ÖSSZES!$A$108</f>
        <v>Név14</v>
      </c>
      <c r="B185" s="58" t="s">
        <v>2</v>
      </c>
      <c r="C185" s="58" t="s">
        <v>2</v>
      </c>
      <c r="D185" s="33"/>
      <c r="E185" s="33"/>
      <c r="F185" s="33"/>
      <c r="G185" s="33"/>
      <c r="H185" s="33"/>
      <c r="I185" s="58" t="s">
        <v>2</v>
      </c>
      <c r="J185" s="58" t="s">
        <v>2</v>
      </c>
      <c r="K185" s="33"/>
      <c r="L185" s="33"/>
      <c r="M185" s="33"/>
      <c r="N185" s="33"/>
      <c r="O185" s="33"/>
      <c r="P185" s="58" t="s">
        <v>2</v>
      </c>
      <c r="Q185" s="58" t="s">
        <v>2</v>
      </c>
      <c r="R185" s="33"/>
      <c r="S185" s="33"/>
      <c r="T185" s="33"/>
      <c r="U185" s="60" t="s">
        <v>75</v>
      </c>
      <c r="V185" s="58" t="s">
        <v>2</v>
      </c>
      <c r="W185" s="58" t="s">
        <v>2</v>
      </c>
      <c r="X185" s="58" t="s">
        <v>2</v>
      </c>
      <c r="Y185" s="33"/>
      <c r="Z185" s="33"/>
      <c r="AA185" s="33"/>
      <c r="AB185" s="33"/>
      <c r="AC185" s="33"/>
      <c r="AD185" s="33"/>
      <c r="AE185" s="58" t="s">
        <v>2</v>
      </c>
      <c r="AF185" s="33"/>
      <c r="AH185" s="16">
        <f t="shared" si="21"/>
        <v>0</v>
      </c>
      <c r="AI185" s="16">
        <f t="shared" si="22"/>
        <v>0</v>
      </c>
    </row>
    <row r="186" spans="1:35" ht="20.100000000000001" hidden="1" customHeight="1">
      <c r="A186" s="18" t="str">
        <f>ÖSSZES!$A$109</f>
        <v>Név15</v>
      </c>
      <c r="B186" s="58" t="s">
        <v>2</v>
      </c>
      <c r="C186" s="58" t="s">
        <v>2</v>
      </c>
      <c r="D186" s="33"/>
      <c r="E186" s="33"/>
      <c r="F186" s="33"/>
      <c r="G186" s="33"/>
      <c r="H186" s="33"/>
      <c r="I186" s="58" t="s">
        <v>2</v>
      </c>
      <c r="J186" s="58" t="s">
        <v>2</v>
      </c>
      <c r="K186" s="33"/>
      <c r="L186" s="33"/>
      <c r="M186" s="33"/>
      <c r="N186" s="33"/>
      <c r="O186" s="33"/>
      <c r="P186" s="58" t="s">
        <v>2</v>
      </c>
      <c r="Q186" s="58" t="s">
        <v>2</v>
      </c>
      <c r="R186" s="33"/>
      <c r="S186" s="33"/>
      <c r="T186" s="33"/>
      <c r="U186" s="60" t="s">
        <v>75</v>
      </c>
      <c r="V186" s="58" t="s">
        <v>2</v>
      </c>
      <c r="W186" s="58" t="s">
        <v>2</v>
      </c>
      <c r="X186" s="58" t="s">
        <v>2</v>
      </c>
      <c r="Y186" s="33"/>
      <c r="Z186" s="33"/>
      <c r="AA186" s="33"/>
      <c r="AB186" s="33"/>
      <c r="AC186" s="33"/>
      <c r="AD186" s="33"/>
      <c r="AE186" s="58" t="s">
        <v>2</v>
      </c>
      <c r="AF186" s="33"/>
      <c r="AH186" s="16">
        <f t="shared" si="21"/>
        <v>0</v>
      </c>
      <c r="AI186" s="16">
        <f t="shared" si="22"/>
        <v>0</v>
      </c>
    </row>
    <row r="187" spans="1:35" ht="20.100000000000001" hidden="1" customHeight="1">
      <c r="A187" s="18" t="str">
        <f>ÖSSZES!$A$110</f>
        <v>Név16</v>
      </c>
      <c r="B187" s="58" t="s">
        <v>2</v>
      </c>
      <c r="C187" s="58" t="s">
        <v>2</v>
      </c>
      <c r="D187" s="33"/>
      <c r="E187" s="33"/>
      <c r="F187" s="33"/>
      <c r="G187" s="33"/>
      <c r="H187" s="33"/>
      <c r="I187" s="58" t="s">
        <v>2</v>
      </c>
      <c r="J187" s="58" t="s">
        <v>2</v>
      </c>
      <c r="K187" s="33"/>
      <c r="L187" s="33"/>
      <c r="M187" s="33"/>
      <c r="N187" s="33"/>
      <c r="O187" s="33"/>
      <c r="P187" s="58" t="s">
        <v>2</v>
      </c>
      <c r="Q187" s="58" t="s">
        <v>2</v>
      </c>
      <c r="R187" s="33"/>
      <c r="S187" s="33"/>
      <c r="T187" s="33"/>
      <c r="U187" s="60" t="s">
        <v>75</v>
      </c>
      <c r="V187" s="58" t="s">
        <v>2</v>
      </c>
      <c r="W187" s="58" t="s">
        <v>2</v>
      </c>
      <c r="X187" s="58" t="s">
        <v>2</v>
      </c>
      <c r="Y187" s="33"/>
      <c r="Z187" s="33"/>
      <c r="AA187" s="33"/>
      <c r="AB187" s="33"/>
      <c r="AC187" s="33"/>
      <c r="AD187" s="33"/>
      <c r="AE187" s="58" t="s">
        <v>2</v>
      </c>
      <c r="AF187" s="33"/>
      <c r="AH187" s="16">
        <f t="shared" si="21"/>
        <v>0</v>
      </c>
      <c r="AI187" s="16">
        <f t="shared" si="22"/>
        <v>0</v>
      </c>
    </row>
    <row r="188" spans="1:35" ht="20.100000000000001" hidden="1" customHeight="1">
      <c r="A188" s="18" t="str">
        <f>ÖSSZES!$A$111</f>
        <v>Név17</v>
      </c>
      <c r="B188" s="58" t="s">
        <v>2</v>
      </c>
      <c r="C188" s="58" t="s">
        <v>2</v>
      </c>
      <c r="D188" s="33"/>
      <c r="E188" s="33"/>
      <c r="F188" s="33"/>
      <c r="G188" s="33"/>
      <c r="H188" s="33"/>
      <c r="I188" s="58" t="s">
        <v>2</v>
      </c>
      <c r="J188" s="58" t="s">
        <v>2</v>
      </c>
      <c r="K188" s="33"/>
      <c r="L188" s="33"/>
      <c r="M188" s="33"/>
      <c r="N188" s="33"/>
      <c r="O188" s="33"/>
      <c r="P188" s="58" t="s">
        <v>2</v>
      </c>
      <c r="Q188" s="58" t="s">
        <v>2</v>
      </c>
      <c r="R188" s="33"/>
      <c r="S188" s="33"/>
      <c r="T188" s="33"/>
      <c r="U188" s="60" t="s">
        <v>75</v>
      </c>
      <c r="V188" s="58" t="s">
        <v>2</v>
      </c>
      <c r="W188" s="58" t="s">
        <v>2</v>
      </c>
      <c r="X188" s="58" t="s">
        <v>2</v>
      </c>
      <c r="Y188" s="33"/>
      <c r="Z188" s="33"/>
      <c r="AA188" s="33"/>
      <c r="AB188" s="33"/>
      <c r="AC188" s="33"/>
      <c r="AD188" s="33"/>
      <c r="AE188" s="58" t="s">
        <v>2</v>
      </c>
      <c r="AF188" s="33"/>
      <c r="AH188" s="16">
        <f t="shared" si="21"/>
        <v>0</v>
      </c>
      <c r="AI188" s="16">
        <f t="shared" si="22"/>
        <v>0</v>
      </c>
    </row>
    <row r="189" spans="1:35" ht="20.100000000000001" hidden="1" customHeight="1">
      <c r="A189" s="18" t="str">
        <f>ÖSSZES!$A$112</f>
        <v>Név18</v>
      </c>
      <c r="B189" s="58" t="s">
        <v>2</v>
      </c>
      <c r="C189" s="58" t="s">
        <v>2</v>
      </c>
      <c r="D189" s="33"/>
      <c r="E189" s="33"/>
      <c r="F189" s="33"/>
      <c r="G189" s="33"/>
      <c r="H189" s="33"/>
      <c r="I189" s="58" t="s">
        <v>2</v>
      </c>
      <c r="J189" s="58" t="s">
        <v>2</v>
      </c>
      <c r="K189" s="33"/>
      <c r="L189" s="33"/>
      <c r="M189" s="33"/>
      <c r="N189" s="33"/>
      <c r="O189" s="33"/>
      <c r="P189" s="58" t="s">
        <v>2</v>
      </c>
      <c r="Q189" s="58" t="s">
        <v>2</v>
      </c>
      <c r="R189" s="33"/>
      <c r="S189" s="33"/>
      <c r="T189" s="33"/>
      <c r="U189" s="60" t="s">
        <v>75</v>
      </c>
      <c r="V189" s="58" t="s">
        <v>2</v>
      </c>
      <c r="W189" s="58" t="s">
        <v>2</v>
      </c>
      <c r="X189" s="58" t="s">
        <v>2</v>
      </c>
      <c r="Y189" s="33"/>
      <c r="Z189" s="33"/>
      <c r="AA189" s="33"/>
      <c r="AB189" s="33"/>
      <c r="AC189" s="33"/>
      <c r="AD189" s="33"/>
      <c r="AE189" s="58" t="s">
        <v>2</v>
      </c>
      <c r="AF189" s="33"/>
      <c r="AH189" s="16">
        <f t="shared" si="21"/>
        <v>0</v>
      </c>
      <c r="AI189" s="16">
        <f t="shared" si="22"/>
        <v>0</v>
      </c>
    </row>
    <row r="190" spans="1:35" ht="20.100000000000001" hidden="1" customHeight="1">
      <c r="A190" s="18" t="str">
        <f>ÖSSZES!$A$113</f>
        <v>Név19</v>
      </c>
      <c r="B190" s="58" t="s">
        <v>2</v>
      </c>
      <c r="C190" s="58" t="s">
        <v>2</v>
      </c>
      <c r="D190" s="33"/>
      <c r="E190" s="33"/>
      <c r="F190" s="33"/>
      <c r="G190" s="33"/>
      <c r="H190" s="33"/>
      <c r="I190" s="58" t="s">
        <v>2</v>
      </c>
      <c r="J190" s="58" t="s">
        <v>2</v>
      </c>
      <c r="K190" s="33"/>
      <c r="L190" s="33"/>
      <c r="M190" s="33"/>
      <c r="N190" s="33"/>
      <c r="O190" s="33"/>
      <c r="P190" s="58" t="s">
        <v>2</v>
      </c>
      <c r="Q190" s="58" t="s">
        <v>2</v>
      </c>
      <c r="R190" s="33"/>
      <c r="S190" s="33"/>
      <c r="T190" s="33"/>
      <c r="U190" s="60" t="s">
        <v>75</v>
      </c>
      <c r="V190" s="58" t="s">
        <v>2</v>
      </c>
      <c r="W190" s="58" t="s">
        <v>2</v>
      </c>
      <c r="X190" s="58" t="s">
        <v>2</v>
      </c>
      <c r="Y190" s="33"/>
      <c r="Z190" s="33"/>
      <c r="AA190" s="33"/>
      <c r="AB190" s="33"/>
      <c r="AC190" s="33"/>
      <c r="AD190" s="33"/>
      <c r="AE190" s="58" t="s">
        <v>2</v>
      </c>
      <c r="AF190" s="33"/>
      <c r="AH190" s="16">
        <f t="shared" si="21"/>
        <v>0</v>
      </c>
      <c r="AI190" s="16">
        <f t="shared" si="22"/>
        <v>0</v>
      </c>
    </row>
    <row r="191" spans="1:35" ht="20.100000000000001" hidden="1" customHeight="1">
      <c r="A191" s="18" t="str">
        <f>ÖSSZES!$A$114</f>
        <v>Név20</v>
      </c>
      <c r="B191" s="58" t="s">
        <v>2</v>
      </c>
      <c r="C191" s="58" t="s">
        <v>2</v>
      </c>
      <c r="D191" s="33"/>
      <c r="E191" s="33"/>
      <c r="F191" s="33"/>
      <c r="G191" s="33"/>
      <c r="H191" s="33"/>
      <c r="I191" s="58" t="s">
        <v>2</v>
      </c>
      <c r="J191" s="58" t="s">
        <v>2</v>
      </c>
      <c r="K191" s="33"/>
      <c r="L191" s="33"/>
      <c r="M191" s="33"/>
      <c r="N191" s="33"/>
      <c r="O191" s="33"/>
      <c r="P191" s="58" t="s">
        <v>2</v>
      </c>
      <c r="Q191" s="58" t="s">
        <v>2</v>
      </c>
      <c r="R191" s="33"/>
      <c r="S191" s="33"/>
      <c r="T191" s="33"/>
      <c r="U191" s="60" t="s">
        <v>75</v>
      </c>
      <c r="V191" s="58" t="s">
        <v>2</v>
      </c>
      <c r="W191" s="58" t="s">
        <v>2</v>
      </c>
      <c r="X191" s="58" t="s">
        <v>2</v>
      </c>
      <c r="Y191" s="33"/>
      <c r="Z191" s="33"/>
      <c r="AA191" s="33"/>
      <c r="AB191" s="33"/>
      <c r="AC191" s="33"/>
      <c r="AD191" s="33"/>
      <c r="AE191" s="58" t="s">
        <v>2</v>
      </c>
      <c r="AF191" s="33"/>
      <c r="AH191" s="16">
        <f t="shared" si="21"/>
        <v>0</v>
      </c>
      <c r="AI191" s="16">
        <f t="shared" si="22"/>
        <v>0</v>
      </c>
    </row>
    <row r="192" spans="1:35" ht="20.100000000000001" customHeight="1"/>
    <row r="193" spans="1:35" s="6" customFormat="1" ht="20.100000000000001" customHeight="1">
      <c r="A193" s="91" t="s">
        <v>13</v>
      </c>
      <c r="B193" s="17">
        <v>1</v>
      </c>
      <c r="C193" s="17">
        <v>2</v>
      </c>
      <c r="D193" s="17">
        <v>3</v>
      </c>
      <c r="E193" s="17">
        <v>4</v>
      </c>
      <c r="F193" s="17">
        <v>5</v>
      </c>
      <c r="G193" s="17">
        <v>6</v>
      </c>
      <c r="H193" s="17">
        <v>7</v>
      </c>
      <c r="I193" s="17">
        <v>8</v>
      </c>
      <c r="J193" s="17">
        <v>9</v>
      </c>
      <c r="K193" s="17">
        <v>10</v>
      </c>
      <c r="L193" s="17">
        <v>11</v>
      </c>
      <c r="M193" s="17">
        <v>12</v>
      </c>
      <c r="N193" s="17">
        <v>13</v>
      </c>
      <c r="O193" s="17">
        <v>14</v>
      </c>
      <c r="P193" s="17">
        <v>15</v>
      </c>
      <c r="Q193" s="17">
        <v>16</v>
      </c>
      <c r="R193" s="17">
        <v>17</v>
      </c>
      <c r="S193" s="17">
        <v>18</v>
      </c>
      <c r="T193" s="17">
        <v>19</v>
      </c>
      <c r="U193" s="17">
        <v>20</v>
      </c>
      <c r="V193" s="17">
        <v>21</v>
      </c>
      <c r="W193" s="17">
        <v>22</v>
      </c>
      <c r="X193" s="17">
        <v>23</v>
      </c>
      <c r="Y193" s="17">
        <v>24</v>
      </c>
      <c r="Z193" s="17">
        <v>25</v>
      </c>
      <c r="AA193" s="17">
        <v>26</v>
      </c>
      <c r="AB193" s="17">
        <v>27</v>
      </c>
      <c r="AC193" s="17">
        <v>28</v>
      </c>
      <c r="AD193" s="17">
        <v>29</v>
      </c>
      <c r="AE193" s="17">
        <v>30</v>
      </c>
      <c r="AH193" s="93" t="s">
        <v>18</v>
      </c>
      <c r="AI193" s="93" t="s">
        <v>19</v>
      </c>
    </row>
    <row r="194" spans="1:35" ht="20.100000000000001" customHeight="1">
      <c r="A194" s="96"/>
      <c r="B194" s="10" t="str">
        <f>'2020'!B68</f>
        <v>K</v>
      </c>
      <c r="C194" s="10" t="str">
        <f>'2020'!C68</f>
        <v>Sze</v>
      </c>
      <c r="D194" s="10" t="str">
        <f>'2020'!D68</f>
        <v>Cs</v>
      </c>
      <c r="E194" s="10" t="str">
        <f>'2020'!E68</f>
        <v>P</v>
      </c>
      <c r="F194" s="10" t="str">
        <f>'2020'!F68</f>
        <v>Szo</v>
      </c>
      <c r="G194" s="10" t="str">
        <f>'2020'!G68</f>
        <v>V</v>
      </c>
      <c r="H194" s="10" t="str">
        <f>'2020'!H68</f>
        <v>H</v>
      </c>
      <c r="I194" s="10" t="str">
        <f>'2020'!I68</f>
        <v>K</v>
      </c>
      <c r="J194" s="10" t="str">
        <f>'2020'!J68</f>
        <v>Sze</v>
      </c>
      <c r="K194" s="10" t="str">
        <f>'2020'!K68</f>
        <v>Cs</v>
      </c>
      <c r="L194" s="10" t="str">
        <f>'2020'!L68</f>
        <v>P</v>
      </c>
      <c r="M194" s="10" t="str">
        <f>'2020'!M68</f>
        <v>Szo</v>
      </c>
      <c r="N194" s="10" t="str">
        <f>'2020'!N68</f>
        <v>V</v>
      </c>
      <c r="O194" s="10" t="str">
        <f>'2020'!O68</f>
        <v>H</v>
      </c>
      <c r="P194" s="10" t="str">
        <f>'2020'!P68</f>
        <v>K</v>
      </c>
      <c r="Q194" s="10" t="str">
        <f>'2020'!Q68</f>
        <v>Sze</v>
      </c>
      <c r="R194" s="10" t="str">
        <f>'2020'!R68</f>
        <v>Cs</v>
      </c>
      <c r="S194" s="10" t="str">
        <f>'2020'!S68</f>
        <v>P</v>
      </c>
      <c r="T194" s="10" t="str">
        <f>'2020'!T68</f>
        <v>Szo</v>
      </c>
      <c r="U194" s="10" t="str">
        <f>'2020'!U68</f>
        <v>V</v>
      </c>
      <c r="V194" s="10" t="str">
        <f>'2020'!V68</f>
        <v>H</v>
      </c>
      <c r="W194" s="10" t="str">
        <f>'2020'!W68</f>
        <v>K</v>
      </c>
      <c r="X194" s="10" t="str">
        <f>'2020'!X68</f>
        <v>Sze</v>
      </c>
      <c r="Y194" s="10" t="str">
        <f>'2020'!Y68</f>
        <v>Cs</v>
      </c>
      <c r="Z194" s="10" t="str">
        <f>'2020'!Z68</f>
        <v>P</v>
      </c>
      <c r="AA194" s="10" t="str">
        <f>'2020'!AA68</f>
        <v>Szo</v>
      </c>
      <c r="AB194" s="10" t="str">
        <f>'2020'!AB68</f>
        <v>V</v>
      </c>
      <c r="AC194" s="10" t="str">
        <f>'2020'!AC68</f>
        <v>H</v>
      </c>
      <c r="AD194" s="10" t="str">
        <f>'2020'!AD68</f>
        <v>K</v>
      </c>
      <c r="AE194" s="10" t="str">
        <f>'2020'!AE68</f>
        <v>Sze</v>
      </c>
      <c r="AF194" s="1"/>
      <c r="AH194" s="94"/>
      <c r="AI194" s="94"/>
    </row>
    <row r="195" spans="1:35" ht="20.100000000000001" customHeight="1">
      <c r="A195" s="96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"/>
      <c r="AH195" s="94"/>
      <c r="AI195" s="94"/>
    </row>
    <row r="196" spans="1:35" ht="20.100000000000001" customHeight="1">
      <c r="A196" s="18" t="str">
        <f>ÖSSZES!$A$95</f>
        <v>Kovács Kriszitán</v>
      </c>
      <c r="B196" s="33"/>
      <c r="C196" s="33"/>
      <c r="D196" s="33"/>
      <c r="E196" s="31"/>
      <c r="F196" s="58" t="s">
        <v>2</v>
      </c>
      <c r="G196" s="58" t="s">
        <v>2</v>
      </c>
      <c r="H196" s="33"/>
      <c r="I196" s="33"/>
      <c r="J196" s="33"/>
      <c r="K196" s="33"/>
      <c r="L196" s="31"/>
      <c r="M196" s="58" t="s">
        <v>2</v>
      </c>
      <c r="N196" s="58" t="s">
        <v>2</v>
      </c>
      <c r="O196" s="33"/>
      <c r="P196" s="33"/>
      <c r="Q196" s="33"/>
      <c r="R196" s="33"/>
      <c r="S196" s="31"/>
      <c r="T196" s="58" t="s">
        <v>2</v>
      </c>
      <c r="U196" s="58" t="s">
        <v>2</v>
      </c>
      <c r="V196" s="33"/>
      <c r="W196" s="33"/>
      <c r="X196" s="33"/>
      <c r="Y196" s="33"/>
      <c r="Z196" s="31"/>
      <c r="AA196" s="58" t="s">
        <v>2</v>
      </c>
      <c r="AB196" s="58" t="s">
        <v>2</v>
      </c>
      <c r="AC196" s="33"/>
      <c r="AD196" s="33"/>
      <c r="AE196" s="33"/>
      <c r="AF196" s="1"/>
      <c r="AH196" s="16">
        <f>1*COUNTIF(A196:AF196,"+")</f>
        <v>0</v>
      </c>
      <c r="AI196" s="16">
        <f t="shared" ref="AI196" si="23">1*COUNTIF(B196:AF196,"szf")</f>
        <v>0</v>
      </c>
    </row>
    <row r="197" spans="1:35" ht="20.100000000000001" customHeight="1">
      <c r="A197" s="18" t="str">
        <f>ÖSSZES!$A$96</f>
        <v>Besse Éva</v>
      </c>
      <c r="B197" s="33"/>
      <c r="C197" s="33"/>
      <c r="D197" s="33"/>
      <c r="E197" s="31"/>
      <c r="F197" s="58" t="s">
        <v>2</v>
      </c>
      <c r="G197" s="58" t="s">
        <v>2</v>
      </c>
      <c r="H197" s="33"/>
      <c r="I197" s="33"/>
      <c r="J197" s="33"/>
      <c r="K197" s="33"/>
      <c r="L197" s="31"/>
      <c r="M197" s="58" t="s">
        <v>2</v>
      </c>
      <c r="N197" s="58" t="s">
        <v>2</v>
      </c>
      <c r="O197" s="33"/>
      <c r="P197" s="33"/>
      <c r="Q197" s="33"/>
      <c r="R197" s="33"/>
      <c r="S197" s="31"/>
      <c r="T197" s="58" t="s">
        <v>2</v>
      </c>
      <c r="U197" s="58" t="s">
        <v>2</v>
      </c>
      <c r="V197" s="33"/>
      <c r="W197" s="33"/>
      <c r="X197" s="33"/>
      <c r="Y197" s="33"/>
      <c r="Z197" s="31"/>
      <c r="AA197" s="58" t="s">
        <v>2</v>
      </c>
      <c r="AB197" s="58" t="s">
        <v>2</v>
      </c>
      <c r="AC197" s="33"/>
      <c r="AD197" s="33"/>
      <c r="AE197" s="33"/>
      <c r="AF197" s="1"/>
      <c r="AH197" s="16">
        <f t="shared" ref="AH197:AH215" si="24">1*COUNTIF(A197:AF197,"+")</f>
        <v>0</v>
      </c>
      <c r="AI197" s="16">
        <f t="shared" ref="AI197:AI215" si="25">1*COUNTIF(B197:AF197,"szf")</f>
        <v>0</v>
      </c>
    </row>
    <row r="198" spans="1:35" ht="20.100000000000001" customHeight="1">
      <c r="A198" s="18" t="str">
        <f>ÖSSZES!$A$97</f>
        <v>Oláh Erika</v>
      </c>
      <c r="B198" s="33"/>
      <c r="C198" s="33"/>
      <c r="D198" s="33"/>
      <c r="E198" s="31"/>
      <c r="F198" s="58" t="s">
        <v>2</v>
      </c>
      <c r="G198" s="58" t="s">
        <v>2</v>
      </c>
      <c r="H198" s="33"/>
      <c r="I198" s="33"/>
      <c r="J198" s="33"/>
      <c r="K198" s="33"/>
      <c r="L198" s="31"/>
      <c r="M198" s="58" t="s">
        <v>2</v>
      </c>
      <c r="N198" s="58" t="s">
        <v>2</v>
      </c>
      <c r="O198" s="33"/>
      <c r="P198" s="33"/>
      <c r="Q198" s="33"/>
      <c r="R198" s="33"/>
      <c r="S198" s="31"/>
      <c r="T198" s="58" t="s">
        <v>2</v>
      </c>
      <c r="U198" s="58" t="s">
        <v>2</v>
      </c>
      <c r="V198" s="33"/>
      <c r="W198" s="33"/>
      <c r="X198" s="33"/>
      <c r="Y198" s="33"/>
      <c r="Z198" s="31"/>
      <c r="AA198" s="58" t="s">
        <v>2</v>
      </c>
      <c r="AB198" s="58" t="s">
        <v>2</v>
      </c>
      <c r="AC198" s="33"/>
      <c r="AD198" s="33"/>
      <c r="AE198" s="33"/>
      <c r="AF198" s="1"/>
      <c r="AH198" s="16">
        <f t="shared" si="24"/>
        <v>0</v>
      </c>
      <c r="AI198" s="16">
        <f t="shared" si="25"/>
        <v>0</v>
      </c>
    </row>
    <row r="199" spans="1:35" ht="20.100000000000001" customHeight="1">
      <c r="A199" s="18" t="str">
        <f>ÖSSZES!$A$98</f>
        <v>Bulyáki Csaba</v>
      </c>
      <c r="B199" s="33"/>
      <c r="C199" s="33"/>
      <c r="D199" s="33"/>
      <c r="E199" s="31"/>
      <c r="F199" s="58" t="s">
        <v>2</v>
      </c>
      <c r="G199" s="58" t="s">
        <v>2</v>
      </c>
      <c r="H199" s="33"/>
      <c r="I199" s="33"/>
      <c r="J199" s="33"/>
      <c r="K199" s="33"/>
      <c r="L199" s="31"/>
      <c r="M199" s="58" t="s">
        <v>2</v>
      </c>
      <c r="N199" s="58" t="s">
        <v>2</v>
      </c>
      <c r="O199" s="33"/>
      <c r="P199" s="33"/>
      <c r="Q199" s="33"/>
      <c r="R199" s="33"/>
      <c r="S199" s="31"/>
      <c r="T199" s="58" t="s">
        <v>2</v>
      </c>
      <c r="U199" s="58" t="s">
        <v>2</v>
      </c>
      <c r="V199" s="33"/>
      <c r="W199" s="33"/>
      <c r="X199" s="33"/>
      <c r="Y199" s="33"/>
      <c r="Z199" s="31"/>
      <c r="AA199" s="58" t="s">
        <v>2</v>
      </c>
      <c r="AB199" s="58" t="s">
        <v>2</v>
      </c>
      <c r="AC199" s="33"/>
      <c r="AD199" s="33"/>
      <c r="AE199" s="33"/>
      <c r="AF199" s="1"/>
      <c r="AH199" s="16">
        <f t="shared" si="24"/>
        <v>0</v>
      </c>
      <c r="AI199" s="16">
        <f t="shared" si="25"/>
        <v>0</v>
      </c>
    </row>
    <row r="200" spans="1:35" ht="20.100000000000001" customHeight="1">
      <c r="A200" s="18" t="str">
        <f>ÖSSZES!$A$99</f>
        <v>Fekete Tamás</v>
      </c>
      <c r="B200" s="33"/>
      <c r="C200" s="33"/>
      <c r="D200" s="33"/>
      <c r="E200" s="31"/>
      <c r="F200" s="58" t="s">
        <v>2</v>
      </c>
      <c r="G200" s="58" t="s">
        <v>2</v>
      </c>
      <c r="H200" s="33"/>
      <c r="I200" s="33"/>
      <c r="J200" s="33"/>
      <c r="K200" s="33"/>
      <c r="L200" s="31"/>
      <c r="M200" s="58" t="s">
        <v>2</v>
      </c>
      <c r="N200" s="58" t="s">
        <v>2</v>
      </c>
      <c r="O200" s="33"/>
      <c r="P200" s="33"/>
      <c r="Q200" s="33"/>
      <c r="R200" s="33"/>
      <c r="S200" s="31"/>
      <c r="T200" s="58" t="s">
        <v>2</v>
      </c>
      <c r="U200" s="58" t="s">
        <v>2</v>
      </c>
      <c r="V200" s="33"/>
      <c r="W200" s="33"/>
      <c r="X200" s="33"/>
      <c r="Y200" s="33"/>
      <c r="Z200" s="31"/>
      <c r="AA200" s="58" t="s">
        <v>2</v>
      </c>
      <c r="AB200" s="58" t="s">
        <v>2</v>
      </c>
      <c r="AC200" s="33"/>
      <c r="AD200" s="33"/>
      <c r="AE200" s="33"/>
      <c r="AF200" s="1"/>
      <c r="AH200" s="16">
        <f t="shared" si="24"/>
        <v>0</v>
      </c>
      <c r="AI200" s="16">
        <f t="shared" si="25"/>
        <v>0</v>
      </c>
    </row>
    <row r="201" spans="1:35" ht="20.100000000000001" customHeight="1">
      <c r="A201" s="18" t="str">
        <f>ÖSSZES!$A$100</f>
        <v>Péter Csaba</v>
      </c>
      <c r="B201" s="33"/>
      <c r="C201" s="33"/>
      <c r="D201" s="33"/>
      <c r="E201" s="31"/>
      <c r="F201" s="58" t="s">
        <v>2</v>
      </c>
      <c r="G201" s="58" t="s">
        <v>2</v>
      </c>
      <c r="H201" s="33"/>
      <c r="I201" s="33"/>
      <c r="J201" s="33"/>
      <c r="K201" s="33"/>
      <c r="L201" s="31"/>
      <c r="M201" s="58" t="s">
        <v>2</v>
      </c>
      <c r="N201" s="58" t="s">
        <v>2</v>
      </c>
      <c r="O201" s="33"/>
      <c r="P201" s="33"/>
      <c r="Q201" s="33"/>
      <c r="R201" s="33"/>
      <c r="S201" s="31"/>
      <c r="T201" s="58" t="s">
        <v>2</v>
      </c>
      <c r="U201" s="58" t="s">
        <v>2</v>
      </c>
      <c r="V201" s="33"/>
      <c r="W201" s="33"/>
      <c r="X201" s="33"/>
      <c r="Y201" s="33"/>
      <c r="Z201" s="31"/>
      <c r="AA201" s="58" t="s">
        <v>2</v>
      </c>
      <c r="AB201" s="58" t="s">
        <v>2</v>
      </c>
      <c r="AC201" s="33"/>
      <c r="AD201" s="33"/>
      <c r="AE201" s="33"/>
      <c r="AF201" s="1"/>
      <c r="AH201" s="16">
        <f t="shared" si="24"/>
        <v>0</v>
      </c>
      <c r="AI201" s="16">
        <f t="shared" si="25"/>
        <v>0</v>
      </c>
    </row>
    <row r="202" spans="1:35" ht="20.100000000000001" customHeight="1">
      <c r="A202" s="18" t="str">
        <f>ÖSSZES!$A$101</f>
        <v>Tóth János</v>
      </c>
      <c r="B202" s="33"/>
      <c r="C202" s="33"/>
      <c r="D202" s="33"/>
      <c r="E202" s="31"/>
      <c r="F202" s="58" t="s">
        <v>2</v>
      </c>
      <c r="G202" s="58" t="s">
        <v>2</v>
      </c>
      <c r="H202" s="33"/>
      <c r="I202" s="33"/>
      <c r="J202" s="33"/>
      <c r="K202" s="33"/>
      <c r="L202" s="31"/>
      <c r="M202" s="58" t="s">
        <v>2</v>
      </c>
      <c r="N202" s="58" t="s">
        <v>2</v>
      </c>
      <c r="O202" s="33"/>
      <c r="P202" s="33"/>
      <c r="Q202" s="33"/>
      <c r="R202" s="33"/>
      <c r="S202" s="31"/>
      <c r="T202" s="58" t="s">
        <v>2</v>
      </c>
      <c r="U202" s="58" t="s">
        <v>2</v>
      </c>
      <c r="V202" s="33"/>
      <c r="W202" s="33"/>
      <c r="X202" s="33"/>
      <c r="Y202" s="33"/>
      <c r="Z202" s="31"/>
      <c r="AA202" s="58" t="s">
        <v>2</v>
      </c>
      <c r="AB202" s="58" t="s">
        <v>2</v>
      </c>
      <c r="AC202" s="33"/>
      <c r="AD202" s="33"/>
      <c r="AE202" s="33"/>
      <c r="AF202" s="1"/>
      <c r="AH202" s="16">
        <f t="shared" si="24"/>
        <v>0</v>
      </c>
      <c r="AI202" s="16">
        <f t="shared" si="25"/>
        <v>0</v>
      </c>
    </row>
    <row r="203" spans="1:35" ht="20.100000000000001" customHeight="1">
      <c r="A203" s="18" t="str">
        <f>ÖSSZES!$A$102</f>
        <v>Tóth Krisztián</v>
      </c>
      <c r="B203" s="33"/>
      <c r="C203" s="33"/>
      <c r="D203" s="33"/>
      <c r="E203" s="31"/>
      <c r="F203" s="58" t="s">
        <v>2</v>
      </c>
      <c r="G203" s="58" t="s">
        <v>2</v>
      </c>
      <c r="H203" s="33"/>
      <c r="I203" s="33"/>
      <c r="J203" s="33"/>
      <c r="K203" s="33"/>
      <c r="L203" s="31"/>
      <c r="M203" s="58" t="s">
        <v>2</v>
      </c>
      <c r="N203" s="58" t="s">
        <v>2</v>
      </c>
      <c r="O203" s="33"/>
      <c r="P203" s="33"/>
      <c r="Q203" s="33"/>
      <c r="R203" s="33"/>
      <c r="S203" s="31"/>
      <c r="T203" s="58" t="s">
        <v>2</v>
      </c>
      <c r="U203" s="58" t="s">
        <v>2</v>
      </c>
      <c r="V203" s="33"/>
      <c r="W203" s="33"/>
      <c r="X203" s="33"/>
      <c r="Y203" s="33"/>
      <c r="Z203" s="31"/>
      <c r="AA203" s="58" t="s">
        <v>2</v>
      </c>
      <c r="AB203" s="58" t="s">
        <v>2</v>
      </c>
      <c r="AC203" s="33"/>
      <c r="AD203" s="33"/>
      <c r="AE203" s="33"/>
      <c r="AF203" s="1"/>
      <c r="AH203" s="16">
        <f t="shared" si="24"/>
        <v>0</v>
      </c>
      <c r="AI203" s="16">
        <f t="shared" si="25"/>
        <v>0</v>
      </c>
    </row>
    <row r="204" spans="1:35" ht="20.100000000000001" customHeight="1">
      <c r="A204" s="18" t="str">
        <f>ÖSSZES!$A$103</f>
        <v>Tassi Szilárd</v>
      </c>
      <c r="B204" s="33"/>
      <c r="C204" s="33"/>
      <c r="D204" s="33"/>
      <c r="E204" s="31"/>
      <c r="F204" s="58" t="s">
        <v>2</v>
      </c>
      <c r="G204" s="58" t="s">
        <v>2</v>
      </c>
      <c r="H204" s="33"/>
      <c r="I204" s="33"/>
      <c r="J204" s="33"/>
      <c r="K204" s="33"/>
      <c r="L204" s="31"/>
      <c r="M204" s="58" t="s">
        <v>2</v>
      </c>
      <c r="N204" s="58" t="s">
        <v>2</v>
      </c>
      <c r="O204" s="33"/>
      <c r="P204" s="33"/>
      <c r="Q204" s="33"/>
      <c r="R204" s="33"/>
      <c r="S204" s="31"/>
      <c r="T204" s="58" t="s">
        <v>2</v>
      </c>
      <c r="U204" s="58" t="s">
        <v>2</v>
      </c>
      <c r="V204" s="33"/>
      <c r="W204" s="33"/>
      <c r="X204" s="33"/>
      <c r="Y204" s="33"/>
      <c r="Z204" s="31"/>
      <c r="AA204" s="58" t="s">
        <v>2</v>
      </c>
      <c r="AB204" s="58" t="s">
        <v>2</v>
      </c>
      <c r="AC204" s="33"/>
      <c r="AD204" s="33"/>
      <c r="AE204" s="33"/>
      <c r="AF204" s="1"/>
      <c r="AH204" s="16">
        <f t="shared" si="24"/>
        <v>0</v>
      </c>
      <c r="AI204" s="16">
        <f t="shared" si="25"/>
        <v>0</v>
      </c>
    </row>
    <row r="205" spans="1:35" ht="20.100000000000001" customHeight="1">
      <c r="A205" s="18" t="str">
        <f>ÖSSZES!$A$104</f>
        <v>Dancsi Attila</v>
      </c>
      <c r="B205" s="33"/>
      <c r="C205" s="33"/>
      <c r="D205" s="33"/>
      <c r="E205" s="31"/>
      <c r="F205" s="58" t="s">
        <v>2</v>
      </c>
      <c r="G205" s="58" t="s">
        <v>2</v>
      </c>
      <c r="H205" s="33"/>
      <c r="I205" s="33"/>
      <c r="J205" s="33"/>
      <c r="K205" s="33"/>
      <c r="L205" s="31"/>
      <c r="M205" s="58" t="s">
        <v>2</v>
      </c>
      <c r="N205" s="58" t="s">
        <v>2</v>
      </c>
      <c r="O205" s="33"/>
      <c r="P205" s="33"/>
      <c r="Q205" s="33"/>
      <c r="R205" s="33"/>
      <c r="S205" s="31"/>
      <c r="T205" s="58" t="s">
        <v>2</v>
      </c>
      <c r="U205" s="58" t="s">
        <v>2</v>
      </c>
      <c r="V205" s="33"/>
      <c r="W205" s="33"/>
      <c r="X205" s="33"/>
      <c r="Y205" s="33"/>
      <c r="Z205" s="31"/>
      <c r="AA205" s="58" t="s">
        <v>2</v>
      </c>
      <c r="AB205" s="58" t="s">
        <v>2</v>
      </c>
      <c r="AC205" s="33"/>
      <c r="AD205" s="33"/>
      <c r="AE205" s="33"/>
      <c r="AF205" s="1"/>
      <c r="AH205" s="16">
        <f t="shared" si="24"/>
        <v>0</v>
      </c>
      <c r="AI205" s="16">
        <f t="shared" si="25"/>
        <v>0</v>
      </c>
    </row>
    <row r="206" spans="1:35" ht="20.100000000000001" customHeight="1">
      <c r="A206" s="18" t="str">
        <f>ÖSSZES!$A$105</f>
        <v>Iványi Roland</v>
      </c>
      <c r="B206" s="33"/>
      <c r="C206" s="33"/>
      <c r="D206" s="33"/>
      <c r="E206" s="31"/>
      <c r="F206" s="58" t="s">
        <v>2</v>
      </c>
      <c r="G206" s="58" t="s">
        <v>2</v>
      </c>
      <c r="H206" s="33"/>
      <c r="I206" s="33"/>
      <c r="J206" s="33"/>
      <c r="K206" s="33"/>
      <c r="L206" s="31"/>
      <c r="M206" s="58" t="s">
        <v>2</v>
      </c>
      <c r="N206" s="58" t="s">
        <v>2</v>
      </c>
      <c r="O206" s="33"/>
      <c r="P206" s="33"/>
      <c r="Q206" s="33"/>
      <c r="R206" s="33"/>
      <c r="S206" s="31"/>
      <c r="T206" s="58" t="s">
        <v>2</v>
      </c>
      <c r="U206" s="58" t="s">
        <v>2</v>
      </c>
      <c r="V206" s="33"/>
      <c r="W206" s="33"/>
      <c r="X206" s="33"/>
      <c r="Y206" s="33"/>
      <c r="Z206" s="31"/>
      <c r="AA206" s="58" t="s">
        <v>2</v>
      </c>
      <c r="AB206" s="58" t="s">
        <v>2</v>
      </c>
      <c r="AC206" s="33"/>
      <c r="AD206" s="33"/>
      <c r="AE206" s="33"/>
      <c r="AF206" s="1"/>
      <c r="AH206" s="16">
        <f t="shared" si="24"/>
        <v>0</v>
      </c>
      <c r="AI206" s="16">
        <f t="shared" si="25"/>
        <v>0</v>
      </c>
    </row>
    <row r="207" spans="1:35" ht="20.100000000000001" hidden="1" customHeight="1">
      <c r="A207" s="18" t="str">
        <f>ÖSSZES!$A$106</f>
        <v>Név12</v>
      </c>
      <c r="B207" s="33"/>
      <c r="C207" s="33"/>
      <c r="D207" s="33"/>
      <c r="E207" s="31"/>
      <c r="F207" s="58" t="s">
        <v>2</v>
      </c>
      <c r="G207" s="58" t="s">
        <v>2</v>
      </c>
      <c r="H207" s="33"/>
      <c r="I207" s="33"/>
      <c r="J207" s="33"/>
      <c r="K207" s="33"/>
      <c r="L207" s="31"/>
      <c r="M207" s="58" t="s">
        <v>2</v>
      </c>
      <c r="N207" s="58" t="s">
        <v>2</v>
      </c>
      <c r="O207" s="33"/>
      <c r="P207" s="33"/>
      <c r="Q207" s="33"/>
      <c r="R207" s="33"/>
      <c r="S207" s="31"/>
      <c r="T207" s="58" t="s">
        <v>2</v>
      </c>
      <c r="U207" s="58" t="s">
        <v>2</v>
      </c>
      <c r="V207" s="33"/>
      <c r="W207" s="33"/>
      <c r="X207" s="33"/>
      <c r="Y207" s="33"/>
      <c r="Z207" s="31"/>
      <c r="AA207" s="58" t="s">
        <v>2</v>
      </c>
      <c r="AB207" s="58" t="s">
        <v>2</v>
      </c>
      <c r="AC207" s="33"/>
      <c r="AD207" s="33"/>
      <c r="AE207" s="33"/>
      <c r="AF207" s="1"/>
      <c r="AH207" s="16">
        <f t="shared" si="24"/>
        <v>0</v>
      </c>
      <c r="AI207" s="16">
        <f t="shared" si="25"/>
        <v>0</v>
      </c>
    </row>
    <row r="208" spans="1:35" ht="20.100000000000001" hidden="1" customHeight="1">
      <c r="A208" s="18" t="str">
        <f>ÖSSZES!$A$107</f>
        <v>Név13</v>
      </c>
      <c r="B208" s="33"/>
      <c r="C208" s="33"/>
      <c r="D208" s="33"/>
      <c r="E208" s="31"/>
      <c r="F208" s="58" t="s">
        <v>2</v>
      </c>
      <c r="G208" s="58" t="s">
        <v>2</v>
      </c>
      <c r="H208" s="33"/>
      <c r="I208" s="33"/>
      <c r="J208" s="33"/>
      <c r="K208" s="33"/>
      <c r="L208" s="31"/>
      <c r="M208" s="58" t="s">
        <v>2</v>
      </c>
      <c r="N208" s="58" t="s">
        <v>2</v>
      </c>
      <c r="O208" s="33"/>
      <c r="P208" s="33"/>
      <c r="Q208" s="33"/>
      <c r="R208" s="33"/>
      <c r="S208" s="31"/>
      <c r="T208" s="58" t="s">
        <v>2</v>
      </c>
      <c r="U208" s="58" t="s">
        <v>2</v>
      </c>
      <c r="V208" s="33"/>
      <c r="W208" s="33"/>
      <c r="X208" s="33"/>
      <c r="Y208" s="33"/>
      <c r="Z208" s="31"/>
      <c r="AA208" s="58" t="s">
        <v>2</v>
      </c>
      <c r="AB208" s="58" t="s">
        <v>2</v>
      </c>
      <c r="AC208" s="33"/>
      <c r="AD208" s="33"/>
      <c r="AE208" s="33"/>
      <c r="AF208" s="1"/>
      <c r="AH208" s="16">
        <f t="shared" si="24"/>
        <v>0</v>
      </c>
      <c r="AI208" s="16">
        <f t="shared" si="25"/>
        <v>0</v>
      </c>
    </row>
    <row r="209" spans="1:35" ht="20.100000000000001" hidden="1" customHeight="1">
      <c r="A209" s="18" t="str">
        <f>ÖSSZES!$A$108</f>
        <v>Név14</v>
      </c>
      <c r="B209" s="33"/>
      <c r="C209" s="33"/>
      <c r="D209" s="33"/>
      <c r="E209" s="31"/>
      <c r="F209" s="58" t="s">
        <v>2</v>
      </c>
      <c r="G209" s="58" t="s">
        <v>2</v>
      </c>
      <c r="H209" s="33"/>
      <c r="I209" s="33"/>
      <c r="J209" s="33"/>
      <c r="K209" s="33"/>
      <c r="L209" s="31"/>
      <c r="M209" s="58" t="s">
        <v>2</v>
      </c>
      <c r="N209" s="58" t="s">
        <v>2</v>
      </c>
      <c r="O209" s="33"/>
      <c r="P209" s="33"/>
      <c r="Q209" s="33"/>
      <c r="R209" s="33"/>
      <c r="S209" s="31"/>
      <c r="T209" s="58" t="s">
        <v>2</v>
      </c>
      <c r="U209" s="58" t="s">
        <v>2</v>
      </c>
      <c r="V209" s="33"/>
      <c r="W209" s="33"/>
      <c r="X209" s="33"/>
      <c r="Y209" s="33"/>
      <c r="Z209" s="31"/>
      <c r="AA209" s="58" t="s">
        <v>2</v>
      </c>
      <c r="AB209" s="58" t="s">
        <v>2</v>
      </c>
      <c r="AC209" s="33"/>
      <c r="AD209" s="33"/>
      <c r="AE209" s="33"/>
      <c r="AF209" s="1"/>
      <c r="AH209" s="16">
        <f t="shared" si="24"/>
        <v>0</v>
      </c>
      <c r="AI209" s="16">
        <f t="shared" si="25"/>
        <v>0</v>
      </c>
    </row>
    <row r="210" spans="1:35" ht="20.100000000000001" hidden="1" customHeight="1">
      <c r="A210" s="18" t="str">
        <f>ÖSSZES!$A$109</f>
        <v>Név15</v>
      </c>
      <c r="B210" s="33"/>
      <c r="C210" s="33"/>
      <c r="D210" s="33"/>
      <c r="E210" s="31"/>
      <c r="F210" s="58" t="s">
        <v>2</v>
      </c>
      <c r="G210" s="58" t="s">
        <v>2</v>
      </c>
      <c r="H210" s="33"/>
      <c r="I210" s="33"/>
      <c r="J210" s="33"/>
      <c r="K210" s="33"/>
      <c r="L210" s="31"/>
      <c r="M210" s="58" t="s">
        <v>2</v>
      </c>
      <c r="N210" s="58" t="s">
        <v>2</v>
      </c>
      <c r="O210" s="33"/>
      <c r="P210" s="33"/>
      <c r="Q210" s="33"/>
      <c r="R210" s="33"/>
      <c r="S210" s="31"/>
      <c r="T210" s="58" t="s">
        <v>2</v>
      </c>
      <c r="U210" s="58" t="s">
        <v>2</v>
      </c>
      <c r="V210" s="33"/>
      <c r="W210" s="33"/>
      <c r="X210" s="33"/>
      <c r="Y210" s="33"/>
      <c r="Z210" s="31"/>
      <c r="AA210" s="58" t="s">
        <v>2</v>
      </c>
      <c r="AB210" s="58" t="s">
        <v>2</v>
      </c>
      <c r="AC210" s="33"/>
      <c r="AD210" s="33"/>
      <c r="AE210" s="33"/>
      <c r="AF210" s="1"/>
      <c r="AH210" s="16">
        <f t="shared" si="24"/>
        <v>0</v>
      </c>
      <c r="AI210" s="16">
        <f t="shared" si="25"/>
        <v>0</v>
      </c>
    </row>
    <row r="211" spans="1:35" ht="20.100000000000001" hidden="1" customHeight="1">
      <c r="A211" s="18" t="str">
        <f>ÖSSZES!$A$110</f>
        <v>Név16</v>
      </c>
      <c r="B211" s="33"/>
      <c r="C211" s="33"/>
      <c r="D211" s="33"/>
      <c r="E211" s="31"/>
      <c r="F211" s="58" t="s">
        <v>2</v>
      </c>
      <c r="G211" s="58" t="s">
        <v>2</v>
      </c>
      <c r="H211" s="33"/>
      <c r="I211" s="33"/>
      <c r="J211" s="33"/>
      <c r="K211" s="33"/>
      <c r="L211" s="31"/>
      <c r="M211" s="58" t="s">
        <v>2</v>
      </c>
      <c r="N211" s="58" t="s">
        <v>2</v>
      </c>
      <c r="O211" s="33"/>
      <c r="P211" s="33"/>
      <c r="Q211" s="33"/>
      <c r="R211" s="33"/>
      <c r="S211" s="31"/>
      <c r="T211" s="58" t="s">
        <v>2</v>
      </c>
      <c r="U211" s="58" t="s">
        <v>2</v>
      </c>
      <c r="V211" s="33"/>
      <c r="W211" s="33"/>
      <c r="X211" s="33"/>
      <c r="Y211" s="33"/>
      <c r="Z211" s="31"/>
      <c r="AA211" s="58" t="s">
        <v>2</v>
      </c>
      <c r="AB211" s="58" t="s">
        <v>2</v>
      </c>
      <c r="AC211" s="33"/>
      <c r="AD211" s="33"/>
      <c r="AE211" s="33"/>
      <c r="AF211" s="1"/>
      <c r="AH211" s="16">
        <f t="shared" si="24"/>
        <v>0</v>
      </c>
      <c r="AI211" s="16">
        <f t="shared" si="25"/>
        <v>0</v>
      </c>
    </row>
    <row r="212" spans="1:35" ht="20.100000000000001" hidden="1" customHeight="1">
      <c r="A212" s="18" t="str">
        <f>ÖSSZES!$A$111</f>
        <v>Név17</v>
      </c>
      <c r="B212" s="33"/>
      <c r="C212" s="33"/>
      <c r="D212" s="33"/>
      <c r="E212" s="31"/>
      <c r="F212" s="58" t="s">
        <v>2</v>
      </c>
      <c r="G212" s="58" t="s">
        <v>2</v>
      </c>
      <c r="H212" s="33"/>
      <c r="I212" s="33"/>
      <c r="J212" s="33"/>
      <c r="K212" s="33"/>
      <c r="L212" s="31"/>
      <c r="M212" s="58" t="s">
        <v>2</v>
      </c>
      <c r="N212" s="58" t="s">
        <v>2</v>
      </c>
      <c r="O212" s="33"/>
      <c r="P212" s="33"/>
      <c r="Q212" s="33"/>
      <c r="R212" s="33"/>
      <c r="S212" s="31"/>
      <c r="T212" s="58" t="s">
        <v>2</v>
      </c>
      <c r="U212" s="58" t="s">
        <v>2</v>
      </c>
      <c r="V212" s="33"/>
      <c r="W212" s="33"/>
      <c r="X212" s="33"/>
      <c r="Y212" s="33"/>
      <c r="Z212" s="31"/>
      <c r="AA212" s="58" t="s">
        <v>2</v>
      </c>
      <c r="AB212" s="58" t="s">
        <v>2</v>
      </c>
      <c r="AC212" s="33"/>
      <c r="AD212" s="33"/>
      <c r="AE212" s="33"/>
      <c r="AF212" s="1"/>
      <c r="AH212" s="16">
        <f t="shared" si="24"/>
        <v>0</v>
      </c>
      <c r="AI212" s="16">
        <f t="shared" si="25"/>
        <v>0</v>
      </c>
    </row>
    <row r="213" spans="1:35" ht="20.100000000000001" hidden="1" customHeight="1">
      <c r="A213" s="18" t="str">
        <f>ÖSSZES!$A$112</f>
        <v>Név18</v>
      </c>
      <c r="B213" s="33"/>
      <c r="C213" s="33"/>
      <c r="D213" s="33"/>
      <c r="E213" s="31"/>
      <c r="F213" s="58" t="s">
        <v>2</v>
      </c>
      <c r="G213" s="58" t="s">
        <v>2</v>
      </c>
      <c r="H213" s="33"/>
      <c r="I213" s="33"/>
      <c r="J213" s="33"/>
      <c r="K213" s="33"/>
      <c r="L213" s="31"/>
      <c r="M213" s="58" t="s">
        <v>2</v>
      </c>
      <c r="N213" s="58" t="s">
        <v>2</v>
      </c>
      <c r="O213" s="33"/>
      <c r="P213" s="33"/>
      <c r="Q213" s="33"/>
      <c r="R213" s="33"/>
      <c r="S213" s="31"/>
      <c r="T213" s="58" t="s">
        <v>2</v>
      </c>
      <c r="U213" s="58" t="s">
        <v>2</v>
      </c>
      <c r="V213" s="33"/>
      <c r="W213" s="33"/>
      <c r="X213" s="33"/>
      <c r="Y213" s="33"/>
      <c r="Z213" s="31"/>
      <c r="AA213" s="58" t="s">
        <v>2</v>
      </c>
      <c r="AB213" s="58" t="s">
        <v>2</v>
      </c>
      <c r="AC213" s="33"/>
      <c r="AD213" s="33"/>
      <c r="AE213" s="33"/>
      <c r="AF213" s="1"/>
      <c r="AH213" s="16">
        <f t="shared" si="24"/>
        <v>0</v>
      </c>
      <c r="AI213" s="16">
        <f t="shared" si="25"/>
        <v>0</v>
      </c>
    </row>
    <row r="214" spans="1:35" ht="20.100000000000001" hidden="1" customHeight="1">
      <c r="A214" s="18" t="str">
        <f>ÖSSZES!$A$113</f>
        <v>Név19</v>
      </c>
      <c r="B214" s="33"/>
      <c r="C214" s="33"/>
      <c r="D214" s="33"/>
      <c r="E214" s="31"/>
      <c r="F214" s="58" t="s">
        <v>2</v>
      </c>
      <c r="G214" s="58" t="s">
        <v>2</v>
      </c>
      <c r="H214" s="33"/>
      <c r="I214" s="33"/>
      <c r="J214" s="33"/>
      <c r="K214" s="33"/>
      <c r="L214" s="31"/>
      <c r="M214" s="58" t="s">
        <v>2</v>
      </c>
      <c r="N214" s="58" t="s">
        <v>2</v>
      </c>
      <c r="O214" s="33"/>
      <c r="P214" s="33"/>
      <c r="Q214" s="33"/>
      <c r="R214" s="33"/>
      <c r="S214" s="31"/>
      <c r="T214" s="58" t="s">
        <v>2</v>
      </c>
      <c r="U214" s="58" t="s">
        <v>2</v>
      </c>
      <c r="V214" s="33"/>
      <c r="W214" s="33"/>
      <c r="X214" s="33"/>
      <c r="Y214" s="33"/>
      <c r="Z214" s="31"/>
      <c r="AA214" s="58" t="s">
        <v>2</v>
      </c>
      <c r="AB214" s="58" t="s">
        <v>2</v>
      </c>
      <c r="AC214" s="33"/>
      <c r="AD214" s="33"/>
      <c r="AE214" s="33"/>
      <c r="AF214" s="1"/>
      <c r="AH214" s="16">
        <f t="shared" si="24"/>
        <v>0</v>
      </c>
      <c r="AI214" s="16">
        <f t="shared" si="25"/>
        <v>0</v>
      </c>
    </row>
    <row r="215" spans="1:35" ht="20.100000000000001" hidden="1" customHeight="1">
      <c r="A215" s="18" t="str">
        <f>ÖSSZES!$A$114</f>
        <v>Név20</v>
      </c>
      <c r="B215" s="33"/>
      <c r="C215" s="33"/>
      <c r="D215" s="33"/>
      <c r="E215" s="31"/>
      <c r="F215" s="58" t="s">
        <v>2</v>
      </c>
      <c r="G215" s="58" t="s">
        <v>2</v>
      </c>
      <c r="H215" s="33"/>
      <c r="I215" s="33"/>
      <c r="J215" s="33"/>
      <c r="K215" s="33"/>
      <c r="L215" s="31"/>
      <c r="M215" s="58" t="s">
        <v>2</v>
      </c>
      <c r="N215" s="58" t="s">
        <v>2</v>
      </c>
      <c r="O215" s="33"/>
      <c r="P215" s="33"/>
      <c r="Q215" s="33"/>
      <c r="R215" s="33"/>
      <c r="S215" s="31"/>
      <c r="T215" s="58" t="s">
        <v>2</v>
      </c>
      <c r="U215" s="58" t="s">
        <v>2</v>
      </c>
      <c r="V215" s="33"/>
      <c r="W215" s="33"/>
      <c r="X215" s="33"/>
      <c r="Y215" s="33"/>
      <c r="Z215" s="31"/>
      <c r="AA215" s="58" t="s">
        <v>2</v>
      </c>
      <c r="AB215" s="58" t="s">
        <v>2</v>
      </c>
      <c r="AC215" s="33"/>
      <c r="AD215" s="33"/>
      <c r="AE215" s="33"/>
      <c r="AF215" s="1"/>
      <c r="AH215" s="16">
        <f t="shared" si="24"/>
        <v>0</v>
      </c>
      <c r="AI215" s="16">
        <f t="shared" si="25"/>
        <v>0</v>
      </c>
    </row>
    <row r="216" spans="1:35" ht="20.100000000000001" customHeight="1"/>
    <row r="217" spans="1:35" s="6" customFormat="1" ht="20.100000000000001" customHeight="1">
      <c r="A217" s="91" t="s">
        <v>14</v>
      </c>
      <c r="B217" s="17">
        <v>1</v>
      </c>
      <c r="C217" s="17">
        <v>2</v>
      </c>
      <c r="D217" s="17">
        <v>3</v>
      </c>
      <c r="E217" s="17">
        <v>4</v>
      </c>
      <c r="F217" s="17">
        <v>5</v>
      </c>
      <c r="G217" s="17">
        <v>6</v>
      </c>
      <c r="H217" s="17">
        <v>7</v>
      </c>
      <c r="I217" s="17">
        <v>8</v>
      </c>
      <c r="J217" s="17">
        <v>9</v>
      </c>
      <c r="K217" s="17">
        <v>10</v>
      </c>
      <c r="L217" s="17">
        <v>11</v>
      </c>
      <c r="M217" s="17">
        <v>12</v>
      </c>
      <c r="N217" s="17">
        <v>13</v>
      </c>
      <c r="O217" s="17">
        <v>14</v>
      </c>
      <c r="P217" s="17">
        <v>15</v>
      </c>
      <c r="Q217" s="17">
        <v>16</v>
      </c>
      <c r="R217" s="17">
        <v>17</v>
      </c>
      <c r="S217" s="17">
        <v>18</v>
      </c>
      <c r="T217" s="17">
        <v>19</v>
      </c>
      <c r="U217" s="17">
        <v>20</v>
      </c>
      <c r="V217" s="17">
        <v>21</v>
      </c>
      <c r="W217" s="17">
        <v>22</v>
      </c>
      <c r="X217" s="19">
        <v>23</v>
      </c>
      <c r="Y217" s="17">
        <v>24</v>
      </c>
      <c r="Z217" s="17">
        <v>25</v>
      </c>
      <c r="AA217" s="17">
        <v>26</v>
      </c>
      <c r="AB217" s="17">
        <v>27</v>
      </c>
      <c r="AC217" s="17">
        <v>28</v>
      </c>
      <c r="AD217" s="17">
        <v>29</v>
      </c>
      <c r="AE217" s="17">
        <v>30</v>
      </c>
      <c r="AF217" s="17">
        <v>31</v>
      </c>
      <c r="AH217" s="93" t="s">
        <v>18</v>
      </c>
      <c r="AI217" s="93" t="s">
        <v>19</v>
      </c>
    </row>
    <row r="218" spans="1:35" ht="20.100000000000001" customHeight="1">
      <c r="A218" s="96"/>
      <c r="B218" s="10" t="str">
        <f>'2020'!B76</f>
        <v>Cs</v>
      </c>
      <c r="C218" s="10" t="str">
        <f>'2020'!C76</f>
        <v>P</v>
      </c>
      <c r="D218" s="10" t="str">
        <f>'2020'!D76</f>
        <v>Szo</v>
      </c>
      <c r="E218" s="10" t="str">
        <f>'2020'!E76</f>
        <v>V</v>
      </c>
      <c r="F218" s="10" t="str">
        <f>'2020'!F76</f>
        <v>H</v>
      </c>
      <c r="G218" s="10" t="str">
        <f>'2020'!G76</f>
        <v>K</v>
      </c>
      <c r="H218" s="10" t="str">
        <f>'2020'!H76</f>
        <v>Sze</v>
      </c>
      <c r="I218" s="10" t="str">
        <f>'2020'!I76</f>
        <v>Cs</v>
      </c>
      <c r="J218" s="10" t="str">
        <f>'2020'!J76</f>
        <v>P</v>
      </c>
      <c r="K218" s="10" t="str">
        <f>'2020'!K76</f>
        <v>Szo</v>
      </c>
      <c r="L218" s="10" t="str">
        <f>'2020'!L76</f>
        <v>V</v>
      </c>
      <c r="M218" s="10" t="str">
        <f>'2020'!M76</f>
        <v>H</v>
      </c>
      <c r="N218" s="10" t="str">
        <f>'2020'!N76</f>
        <v>K</v>
      </c>
      <c r="O218" s="10" t="str">
        <f>'2020'!O76</f>
        <v>Sze</v>
      </c>
      <c r="P218" s="10" t="str">
        <f>'2020'!P76</f>
        <v>Cs</v>
      </c>
      <c r="Q218" s="10" t="str">
        <f>'2020'!Q76</f>
        <v>P</v>
      </c>
      <c r="R218" s="10" t="str">
        <f>'2020'!R76</f>
        <v>Szo</v>
      </c>
      <c r="S218" s="10" t="str">
        <f>'2020'!S76</f>
        <v>V</v>
      </c>
      <c r="T218" s="10" t="str">
        <f>'2020'!T76</f>
        <v>H</v>
      </c>
      <c r="U218" s="10" t="str">
        <f>'2020'!U76</f>
        <v>K</v>
      </c>
      <c r="V218" s="10" t="str">
        <f>'2020'!V76</f>
        <v>Sze</v>
      </c>
      <c r="W218" s="10" t="str">
        <f>'2020'!W76</f>
        <v>Cs</v>
      </c>
      <c r="X218" s="10" t="str">
        <f>'2020'!X76</f>
        <v>P</v>
      </c>
      <c r="Y218" s="10" t="str">
        <f>'2020'!Y76</f>
        <v>Szo</v>
      </c>
      <c r="Z218" s="10" t="str">
        <f>'2020'!Z76</f>
        <v>V</v>
      </c>
      <c r="AA218" s="10" t="str">
        <f>'2020'!AA76</f>
        <v>H</v>
      </c>
      <c r="AB218" s="10" t="str">
        <f>'2020'!AB76</f>
        <v>K</v>
      </c>
      <c r="AC218" s="10" t="str">
        <f>'2020'!AC76</f>
        <v>Sze</v>
      </c>
      <c r="AD218" s="10" t="str">
        <f>'2020'!AD76</f>
        <v>Cs</v>
      </c>
      <c r="AE218" s="10" t="str">
        <f>'2020'!AE76</f>
        <v>P</v>
      </c>
      <c r="AF218" s="10" t="str">
        <f>'2020'!AF76</f>
        <v>Szo</v>
      </c>
      <c r="AH218" s="94"/>
      <c r="AI218" s="94"/>
    </row>
    <row r="219" spans="1:35" ht="20.100000000000001" customHeight="1">
      <c r="A219" s="96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H219" s="94"/>
      <c r="AI219" s="94"/>
    </row>
    <row r="220" spans="1:35" ht="20.100000000000001" customHeight="1">
      <c r="A220" s="18" t="str">
        <f>ÖSSZES!$A$95</f>
        <v>Kovács Kriszitán</v>
      </c>
      <c r="B220" s="33"/>
      <c r="C220" s="14"/>
      <c r="D220" s="58" t="s">
        <v>2</v>
      </c>
      <c r="E220" s="58" t="s">
        <v>2</v>
      </c>
      <c r="F220" s="33"/>
      <c r="G220" s="33"/>
      <c r="H220" s="33"/>
      <c r="I220" s="33"/>
      <c r="J220" s="14"/>
      <c r="K220" s="58" t="s">
        <v>2</v>
      </c>
      <c r="L220" s="58" t="s">
        <v>2</v>
      </c>
      <c r="M220" s="33"/>
      <c r="N220" s="33"/>
      <c r="O220" s="33"/>
      <c r="P220" s="33"/>
      <c r="Q220" s="14"/>
      <c r="R220" s="58" t="s">
        <v>2</v>
      </c>
      <c r="S220" s="58" t="s">
        <v>2</v>
      </c>
      <c r="T220" s="33"/>
      <c r="U220" s="33"/>
      <c r="V220" s="33"/>
      <c r="W220" s="33"/>
      <c r="X220" s="60" t="s">
        <v>75</v>
      </c>
      <c r="Y220" s="58" t="s">
        <v>2</v>
      </c>
      <c r="Z220" s="58" t="s">
        <v>2</v>
      </c>
      <c r="AA220" s="33"/>
      <c r="AB220" s="33"/>
      <c r="AC220" s="33"/>
      <c r="AD220" s="33"/>
      <c r="AE220" s="14"/>
      <c r="AF220" s="58" t="s">
        <v>2</v>
      </c>
      <c r="AH220" s="16">
        <f>1*COUNTIF(A220:AF220,"+")</f>
        <v>0</v>
      </c>
      <c r="AI220" s="16">
        <f t="shared" ref="AI220" si="26">1*COUNTIF(B220:AF220,"szf")</f>
        <v>0</v>
      </c>
    </row>
    <row r="221" spans="1:35" ht="20.100000000000001" customHeight="1">
      <c r="A221" s="18" t="str">
        <f>ÖSSZES!$A$96</f>
        <v>Besse Éva</v>
      </c>
      <c r="B221" s="33"/>
      <c r="C221" s="14"/>
      <c r="D221" s="58" t="s">
        <v>2</v>
      </c>
      <c r="E221" s="58" t="s">
        <v>2</v>
      </c>
      <c r="F221" s="33"/>
      <c r="G221" s="33"/>
      <c r="H221" s="33"/>
      <c r="I221" s="33"/>
      <c r="J221" s="14"/>
      <c r="K221" s="58" t="s">
        <v>2</v>
      </c>
      <c r="L221" s="58" t="s">
        <v>2</v>
      </c>
      <c r="M221" s="33"/>
      <c r="N221" s="33"/>
      <c r="O221" s="33"/>
      <c r="P221" s="33"/>
      <c r="Q221" s="14"/>
      <c r="R221" s="58" t="s">
        <v>2</v>
      </c>
      <c r="S221" s="58" t="s">
        <v>2</v>
      </c>
      <c r="T221" s="33"/>
      <c r="U221" s="33"/>
      <c r="V221" s="33"/>
      <c r="W221" s="33"/>
      <c r="X221" s="60" t="s">
        <v>75</v>
      </c>
      <c r="Y221" s="58" t="s">
        <v>2</v>
      </c>
      <c r="Z221" s="58" t="s">
        <v>2</v>
      </c>
      <c r="AA221" s="33"/>
      <c r="AB221" s="33"/>
      <c r="AC221" s="33"/>
      <c r="AD221" s="33"/>
      <c r="AE221" s="14"/>
      <c r="AF221" s="58" t="s">
        <v>2</v>
      </c>
      <c r="AH221" s="16">
        <f t="shared" ref="AH221:AH239" si="27">1*COUNTIF(A221:AF221,"+")</f>
        <v>0</v>
      </c>
      <c r="AI221" s="16">
        <f t="shared" ref="AI221:AI239" si="28">1*COUNTIF(B221:AF221,"szf")</f>
        <v>0</v>
      </c>
    </row>
    <row r="222" spans="1:35" ht="20.100000000000001" customHeight="1">
      <c r="A222" s="18" t="str">
        <f>ÖSSZES!$A$97</f>
        <v>Oláh Erika</v>
      </c>
      <c r="B222" s="33"/>
      <c r="C222" s="14"/>
      <c r="D222" s="58" t="s">
        <v>2</v>
      </c>
      <c r="E222" s="58" t="s">
        <v>2</v>
      </c>
      <c r="F222" s="33"/>
      <c r="G222" s="33"/>
      <c r="H222" s="33"/>
      <c r="I222" s="33"/>
      <c r="J222" s="14"/>
      <c r="K222" s="58" t="s">
        <v>2</v>
      </c>
      <c r="L222" s="58" t="s">
        <v>2</v>
      </c>
      <c r="M222" s="33"/>
      <c r="N222" s="33"/>
      <c r="O222" s="33"/>
      <c r="P222" s="33"/>
      <c r="Q222" s="14"/>
      <c r="R222" s="58" t="s">
        <v>2</v>
      </c>
      <c r="S222" s="58" t="s">
        <v>2</v>
      </c>
      <c r="T222" s="33"/>
      <c r="U222" s="33"/>
      <c r="V222" s="33"/>
      <c r="W222" s="33"/>
      <c r="X222" s="60" t="s">
        <v>75</v>
      </c>
      <c r="Y222" s="58" t="s">
        <v>2</v>
      </c>
      <c r="Z222" s="58" t="s">
        <v>2</v>
      </c>
      <c r="AA222" s="33"/>
      <c r="AB222" s="33"/>
      <c r="AC222" s="33"/>
      <c r="AD222" s="33"/>
      <c r="AE222" s="14"/>
      <c r="AF222" s="58" t="s">
        <v>2</v>
      </c>
      <c r="AH222" s="16">
        <f t="shared" si="27"/>
        <v>0</v>
      </c>
      <c r="AI222" s="16">
        <f t="shared" si="28"/>
        <v>0</v>
      </c>
    </row>
    <row r="223" spans="1:35" ht="20.100000000000001" customHeight="1">
      <c r="A223" s="18" t="str">
        <f>ÖSSZES!$A$98</f>
        <v>Bulyáki Csaba</v>
      </c>
      <c r="B223" s="33"/>
      <c r="C223" s="14"/>
      <c r="D223" s="58" t="s">
        <v>2</v>
      </c>
      <c r="E223" s="58" t="s">
        <v>2</v>
      </c>
      <c r="F223" s="33"/>
      <c r="G223" s="33"/>
      <c r="H223" s="33"/>
      <c r="I223" s="33"/>
      <c r="J223" s="14"/>
      <c r="K223" s="58" t="s">
        <v>2</v>
      </c>
      <c r="L223" s="58" t="s">
        <v>2</v>
      </c>
      <c r="M223" s="33"/>
      <c r="N223" s="33"/>
      <c r="O223" s="33"/>
      <c r="P223" s="33"/>
      <c r="Q223" s="14"/>
      <c r="R223" s="58" t="s">
        <v>2</v>
      </c>
      <c r="S223" s="58" t="s">
        <v>2</v>
      </c>
      <c r="T223" s="33"/>
      <c r="U223" s="33"/>
      <c r="V223" s="33"/>
      <c r="W223" s="33"/>
      <c r="X223" s="60" t="s">
        <v>75</v>
      </c>
      <c r="Y223" s="58" t="s">
        <v>2</v>
      </c>
      <c r="Z223" s="58" t="s">
        <v>2</v>
      </c>
      <c r="AA223" s="33"/>
      <c r="AB223" s="33"/>
      <c r="AC223" s="33"/>
      <c r="AD223" s="33"/>
      <c r="AE223" s="14"/>
      <c r="AF223" s="58" t="s">
        <v>2</v>
      </c>
      <c r="AH223" s="16">
        <f t="shared" si="27"/>
        <v>0</v>
      </c>
      <c r="AI223" s="16">
        <f t="shared" si="28"/>
        <v>0</v>
      </c>
    </row>
    <row r="224" spans="1:35" ht="20.100000000000001" customHeight="1">
      <c r="A224" s="18" t="str">
        <f>ÖSSZES!$A$99</f>
        <v>Fekete Tamás</v>
      </c>
      <c r="B224" s="33"/>
      <c r="C224" s="14"/>
      <c r="D224" s="58" t="s">
        <v>2</v>
      </c>
      <c r="E224" s="58" t="s">
        <v>2</v>
      </c>
      <c r="F224" s="33"/>
      <c r="G224" s="33"/>
      <c r="H224" s="33"/>
      <c r="I224" s="33"/>
      <c r="J224" s="14"/>
      <c r="K224" s="58" t="s">
        <v>2</v>
      </c>
      <c r="L224" s="58" t="s">
        <v>2</v>
      </c>
      <c r="M224" s="33"/>
      <c r="N224" s="33"/>
      <c r="O224" s="33"/>
      <c r="P224" s="33"/>
      <c r="Q224" s="14"/>
      <c r="R224" s="58" t="s">
        <v>2</v>
      </c>
      <c r="S224" s="58" t="s">
        <v>2</v>
      </c>
      <c r="T224" s="33"/>
      <c r="U224" s="33"/>
      <c r="V224" s="33"/>
      <c r="W224" s="33"/>
      <c r="X224" s="60" t="s">
        <v>75</v>
      </c>
      <c r="Y224" s="58" t="s">
        <v>2</v>
      </c>
      <c r="Z224" s="58" t="s">
        <v>2</v>
      </c>
      <c r="AA224" s="33"/>
      <c r="AB224" s="33"/>
      <c r="AC224" s="33"/>
      <c r="AD224" s="33"/>
      <c r="AE224" s="14"/>
      <c r="AF224" s="58" t="s">
        <v>2</v>
      </c>
      <c r="AH224" s="16">
        <f t="shared" si="27"/>
        <v>0</v>
      </c>
      <c r="AI224" s="16">
        <f t="shared" si="28"/>
        <v>0</v>
      </c>
    </row>
    <row r="225" spans="1:35" ht="20.100000000000001" customHeight="1">
      <c r="A225" s="18" t="str">
        <f>ÖSSZES!$A$100</f>
        <v>Péter Csaba</v>
      </c>
      <c r="B225" s="33"/>
      <c r="C225" s="14"/>
      <c r="D225" s="58" t="s">
        <v>2</v>
      </c>
      <c r="E225" s="58" t="s">
        <v>2</v>
      </c>
      <c r="F225" s="33"/>
      <c r="G225" s="33"/>
      <c r="H225" s="33"/>
      <c r="I225" s="33"/>
      <c r="J225" s="14"/>
      <c r="K225" s="58" t="s">
        <v>2</v>
      </c>
      <c r="L225" s="58" t="s">
        <v>2</v>
      </c>
      <c r="M225" s="33"/>
      <c r="N225" s="33"/>
      <c r="O225" s="33"/>
      <c r="P225" s="33"/>
      <c r="Q225" s="14"/>
      <c r="R225" s="58" t="s">
        <v>2</v>
      </c>
      <c r="S225" s="58" t="s">
        <v>2</v>
      </c>
      <c r="T225" s="33"/>
      <c r="U225" s="33"/>
      <c r="V225" s="33"/>
      <c r="W225" s="33"/>
      <c r="X225" s="60" t="s">
        <v>75</v>
      </c>
      <c r="Y225" s="58" t="s">
        <v>2</v>
      </c>
      <c r="Z225" s="58" t="s">
        <v>2</v>
      </c>
      <c r="AA225" s="33"/>
      <c r="AB225" s="33"/>
      <c r="AC225" s="33"/>
      <c r="AD225" s="33"/>
      <c r="AE225" s="14"/>
      <c r="AF225" s="58" t="s">
        <v>2</v>
      </c>
      <c r="AH225" s="16">
        <f t="shared" si="27"/>
        <v>0</v>
      </c>
      <c r="AI225" s="16">
        <f t="shared" si="28"/>
        <v>0</v>
      </c>
    </row>
    <row r="226" spans="1:35" ht="20.100000000000001" customHeight="1">
      <c r="A226" s="18" t="str">
        <f>ÖSSZES!$A$101</f>
        <v>Tóth János</v>
      </c>
      <c r="B226" s="33"/>
      <c r="C226" s="14"/>
      <c r="D226" s="58" t="s">
        <v>2</v>
      </c>
      <c r="E226" s="58" t="s">
        <v>2</v>
      </c>
      <c r="F226" s="33"/>
      <c r="G226" s="33"/>
      <c r="H226" s="33"/>
      <c r="I226" s="33"/>
      <c r="J226" s="14"/>
      <c r="K226" s="58" t="s">
        <v>2</v>
      </c>
      <c r="L226" s="58" t="s">
        <v>2</v>
      </c>
      <c r="M226" s="33"/>
      <c r="N226" s="33"/>
      <c r="O226" s="33"/>
      <c r="P226" s="33"/>
      <c r="Q226" s="14"/>
      <c r="R226" s="58" t="s">
        <v>2</v>
      </c>
      <c r="S226" s="58" t="s">
        <v>2</v>
      </c>
      <c r="T226" s="33"/>
      <c r="U226" s="33"/>
      <c r="V226" s="33"/>
      <c r="W226" s="33"/>
      <c r="X226" s="60" t="s">
        <v>75</v>
      </c>
      <c r="Y226" s="58" t="s">
        <v>2</v>
      </c>
      <c r="Z226" s="58" t="s">
        <v>2</v>
      </c>
      <c r="AA226" s="33"/>
      <c r="AB226" s="33"/>
      <c r="AC226" s="33"/>
      <c r="AD226" s="33"/>
      <c r="AE226" s="14"/>
      <c r="AF226" s="58" t="s">
        <v>2</v>
      </c>
      <c r="AH226" s="16">
        <f t="shared" si="27"/>
        <v>0</v>
      </c>
      <c r="AI226" s="16">
        <f t="shared" si="28"/>
        <v>0</v>
      </c>
    </row>
    <row r="227" spans="1:35" ht="20.100000000000001" customHeight="1">
      <c r="A227" s="18" t="str">
        <f>ÖSSZES!$A$102</f>
        <v>Tóth Krisztián</v>
      </c>
      <c r="B227" s="33"/>
      <c r="C227" s="14"/>
      <c r="D227" s="58" t="s">
        <v>2</v>
      </c>
      <c r="E227" s="58" t="s">
        <v>2</v>
      </c>
      <c r="F227" s="33"/>
      <c r="G227" s="33"/>
      <c r="H227" s="33"/>
      <c r="I227" s="33"/>
      <c r="J227" s="14"/>
      <c r="K227" s="58" t="s">
        <v>2</v>
      </c>
      <c r="L227" s="58" t="s">
        <v>2</v>
      </c>
      <c r="M227" s="33"/>
      <c r="N227" s="33"/>
      <c r="O227" s="33"/>
      <c r="P227" s="33"/>
      <c r="Q227" s="14"/>
      <c r="R227" s="58" t="s">
        <v>2</v>
      </c>
      <c r="S227" s="58" t="s">
        <v>2</v>
      </c>
      <c r="T227" s="33"/>
      <c r="U227" s="33"/>
      <c r="V227" s="33"/>
      <c r="W227" s="33"/>
      <c r="X227" s="60" t="s">
        <v>75</v>
      </c>
      <c r="Y227" s="58" t="s">
        <v>2</v>
      </c>
      <c r="Z227" s="58" t="s">
        <v>2</v>
      </c>
      <c r="AA227" s="33"/>
      <c r="AB227" s="33"/>
      <c r="AC227" s="33"/>
      <c r="AD227" s="33"/>
      <c r="AE227" s="14"/>
      <c r="AF227" s="58" t="s">
        <v>2</v>
      </c>
      <c r="AH227" s="16">
        <f t="shared" si="27"/>
        <v>0</v>
      </c>
      <c r="AI227" s="16">
        <f t="shared" si="28"/>
        <v>0</v>
      </c>
    </row>
    <row r="228" spans="1:35" ht="20.100000000000001" customHeight="1">
      <c r="A228" s="18" t="str">
        <f>ÖSSZES!$A$103</f>
        <v>Tassi Szilárd</v>
      </c>
      <c r="B228" s="33"/>
      <c r="C228" s="14"/>
      <c r="D228" s="58" t="s">
        <v>2</v>
      </c>
      <c r="E228" s="58" t="s">
        <v>2</v>
      </c>
      <c r="F228" s="33"/>
      <c r="G228" s="33"/>
      <c r="H228" s="33"/>
      <c r="I228" s="33"/>
      <c r="J228" s="14"/>
      <c r="K228" s="58" t="s">
        <v>2</v>
      </c>
      <c r="L228" s="58" t="s">
        <v>2</v>
      </c>
      <c r="M228" s="33"/>
      <c r="N228" s="33"/>
      <c r="O228" s="33"/>
      <c r="P228" s="33"/>
      <c r="Q228" s="14"/>
      <c r="R228" s="58" t="s">
        <v>2</v>
      </c>
      <c r="S228" s="58" t="s">
        <v>2</v>
      </c>
      <c r="T228" s="33"/>
      <c r="U228" s="33"/>
      <c r="V228" s="33"/>
      <c r="W228" s="33"/>
      <c r="X228" s="60" t="s">
        <v>75</v>
      </c>
      <c r="Y228" s="58" t="s">
        <v>2</v>
      </c>
      <c r="Z228" s="58" t="s">
        <v>2</v>
      </c>
      <c r="AA228" s="33"/>
      <c r="AB228" s="33"/>
      <c r="AC228" s="33"/>
      <c r="AD228" s="33"/>
      <c r="AE228" s="14"/>
      <c r="AF228" s="58" t="s">
        <v>2</v>
      </c>
      <c r="AH228" s="16">
        <f t="shared" si="27"/>
        <v>0</v>
      </c>
      <c r="AI228" s="16">
        <f t="shared" si="28"/>
        <v>0</v>
      </c>
    </row>
    <row r="229" spans="1:35" ht="20.100000000000001" customHeight="1">
      <c r="A229" s="18" t="str">
        <f>ÖSSZES!$A$104</f>
        <v>Dancsi Attila</v>
      </c>
      <c r="B229" s="33"/>
      <c r="C229" s="14"/>
      <c r="D229" s="58" t="s">
        <v>2</v>
      </c>
      <c r="E229" s="58" t="s">
        <v>2</v>
      </c>
      <c r="F229" s="33"/>
      <c r="G229" s="33"/>
      <c r="H229" s="33"/>
      <c r="I229" s="33"/>
      <c r="J229" s="14"/>
      <c r="K229" s="58" t="s">
        <v>2</v>
      </c>
      <c r="L229" s="58" t="s">
        <v>2</v>
      </c>
      <c r="M229" s="33"/>
      <c r="N229" s="33"/>
      <c r="O229" s="33"/>
      <c r="P229" s="33"/>
      <c r="Q229" s="14"/>
      <c r="R229" s="58" t="s">
        <v>2</v>
      </c>
      <c r="S229" s="58" t="s">
        <v>2</v>
      </c>
      <c r="T229" s="33"/>
      <c r="U229" s="33"/>
      <c r="V229" s="33"/>
      <c r="W229" s="33"/>
      <c r="X229" s="60" t="s">
        <v>75</v>
      </c>
      <c r="Y229" s="58" t="s">
        <v>2</v>
      </c>
      <c r="Z229" s="58" t="s">
        <v>2</v>
      </c>
      <c r="AA229" s="33"/>
      <c r="AB229" s="33"/>
      <c r="AC229" s="33"/>
      <c r="AD229" s="33"/>
      <c r="AE229" s="14"/>
      <c r="AF229" s="58" t="s">
        <v>2</v>
      </c>
      <c r="AH229" s="16">
        <f t="shared" si="27"/>
        <v>0</v>
      </c>
      <c r="AI229" s="16">
        <f t="shared" si="28"/>
        <v>0</v>
      </c>
    </row>
    <row r="230" spans="1:35" ht="20.100000000000001" customHeight="1">
      <c r="A230" s="18" t="str">
        <f>ÖSSZES!$A$105</f>
        <v>Iványi Roland</v>
      </c>
      <c r="B230" s="33"/>
      <c r="C230" s="14"/>
      <c r="D230" s="58" t="s">
        <v>2</v>
      </c>
      <c r="E230" s="58" t="s">
        <v>2</v>
      </c>
      <c r="F230" s="33"/>
      <c r="G230" s="33"/>
      <c r="H230" s="33"/>
      <c r="I230" s="33"/>
      <c r="J230" s="14"/>
      <c r="K230" s="58" t="s">
        <v>2</v>
      </c>
      <c r="L230" s="58" t="s">
        <v>2</v>
      </c>
      <c r="M230" s="33"/>
      <c r="N230" s="33"/>
      <c r="O230" s="33"/>
      <c r="P230" s="33"/>
      <c r="Q230" s="14"/>
      <c r="R230" s="58" t="s">
        <v>2</v>
      </c>
      <c r="S230" s="58" t="s">
        <v>2</v>
      </c>
      <c r="T230" s="33"/>
      <c r="U230" s="33"/>
      <c r="V230" s="33"/>
      <c r="W230" s="33"/>
      <c r="X230" s="60" t="s">
        <v>75</v>
      </c>
      <c r="Y230" s="58" t="s">
        <v>2</v>
      </c>
      <c r="Z230" s="58" t="s">
        <v>2</v>
      </c>
      <c r="AA230" s="33"/>
      <c r="AB230" s="33"/>
      <c r="AC230" s="33"/>
      <c r="AD230" s="33"/>
      <c r="AE230" s="14"/>
      <c r="AF230" s="58" t="s">
        <v>2</v>
      </c>
      <c r="AH230" s="16">
        <f t="shared" si="27"/>
        <v>0</v>
      </c>
      <c r="AI230" s="16">
        <f t="shared" si="28"/>
        <v>0</v>
      </c>
    </row>
    <row r="231" spans="1:35" ht="20.100000000000001" hidden="1" customHeight="1">
      <c r="A231" s="18" t="str">
        <f>ÖSSZES!$A$106</f>
        <v>Név12</v>
      </c>
      <c r="B231" s="33"/>
      <c r="C231" s="14"/>
      <c r="D231" s="58" t="s">
        <v>2</v>
      </c>
      <c r="E231" s="58" t="s">
        <v>2</v>
      </c>
      <c r="F231" s="33"/>
      <c r="G231" s="33"/>
      <c r="H231" s="33"/>
      <c r="I231" s="33"/>
      <c r="J231" s="14"/>
      <c r="K231" s="58" t="s">
        <v>2</v>
      </c>
      <c r="L231" s="58" t="s">
        <v>2</v>
      </c>
      <c r="M231" s="33"/>
      <c r="N231" s="33"/>
      <c r="O231" s="33"/>
      <c r="P231" s="33"/>
      <c r="Q231" s="14"/>
      <c r="R231" s="58" t="s">
        <v>2</v>
      </c>
      <c r="S231" s="58" t="s">
        <v>2</v>
      </c>
      <c r="T231" s="33"/>
      <c r="U231" s="33"/>
      <c r="V231" s="33"/>
      <c r="W231" s="33"/>
      <c r="X231" s="60" t="s">
        <v>75</v>
      </c>
      <c r="Y231" s="58" t="s">
        <v>2</v>
      </c>
      <c r="Z231" s="58" t="s">
        <v>2</v>
      </c>
      <c r="AA231" s="33"/>
      <c r="AB231" s="33"/>
      <c r="AC231" s="33"/>
      <c r="AD231" s="33"/>
      <c r="AE231" s="14"/>
      <c r="AF231" s="58" t="s">
        <v>2</v>
      </c>
      <c r="AH231" s="16">
        <f t="shared" si="27"/>
        <v>0</v>
      </c>
      <c r="AI231" s="16">
        <f t="shared" si="28"/>
        <v>0</v>
      </c>
    </row>
    <row r="232" spans="1:35" ht="20.100000000000001" hidden="1" customHeight="1">
      <c r="A232" s="18" t="str">
        <f>ÖSSZES!$A$107</f>
        <v>Név13</v>
      </c>
      <c r="B232" s="33"/>
      <c r="C232" s="14"/>
      <c r="D232" s="58" t="s">
        <v>2</v>
      </c>
      <c r="E232" s="58" t="s">
        <v>2</v>
      </c>
      <c r="F232" s="33"/>
      <c r="G232" s="33"/>
      <c r="H232" s="33"/>
      <c r="I232" s="33"/>
      <c r="J232" s="14"/>
      <c r="K232" s="58" t="s">
        <v>2</v>
      </c>
      <c r="L232" s="58" t="s">
        <v>2</v>
      </c>
      <c r="M232" s="33"/>
      <c r="N232" s="33"/>
      <c r="O232" s="33"/>
      <c r="P232" s="33"/>
      <c r="Q232" s="14"/>
      <c r="R232" s="58" t="s">
        <v>2</v>
      </c>
      <c r="S232" s="58" t="s">
        <v>2</v>
      </c>
      <c r="T232" s="33"/>
      <c r="U232" s="33"/>
      <c r="V232" s="33"/>
      <c r="W232" s="33"/>
      <c r="X232" s="60" t="s">
        <v>75</v>
      </c>
      <c r="Y232" s="58" t="s">
        <v>2</v>
      </c>
      <c r="Z232" s="58" t="s">
        <v>2</v>
      </c>
      <c r="AA232" s="33"/>
      <c r="AB232" s="33"/>
      <c r="AC232" s="33"/>
      <c r="AD232" s="33"/>
      <c r="AE232" s="14"/>
      <c r="AF232" s="58" t="s">
        <v>2</v>
      </c>
      <c r="AH232" s="16">
        <f t="shared" si="27"/>
        <v>0</v>
      </c>
      <c r="AI232" s="16">
        <f t="shared" si="28"/>
        <v>0</v>
      </c>
    </row>
    <row r="233" spans="1:35" ht="20.100000000000001" hidden="1" customHeight="1">
      <c r="A233" s="18" t="str">
        <f>ÖSSZES!$A$108</f>
        <v>Név14</v>
      </c>
      <c r="B233" s="33"/>
      <c r="C233" s="14"/>
      <c r="D233" s="58" t="s">
        <v>2</v>
      </c>
      <c r="E233" s="58" t="s">
        <v>2</v>
      </c>
      <c r="F233" s="33"/>
      <c r="G233" s="33"/>
      <c r="H233" s="33"/>
      <c r="I233" s="33"/>
      <c r="J233" s="14"/>
      <c r="K233" s="58" t="s">
        <v>2</v>
      </c>
      <c r="L233" s="58" t="s">
        <v>2</v>
      </c>
      <c r="M233" s="33"/>
      <c r="N233" s="33"/>
      <c r="O233" s="33"/>
      <c r="P233" s="33"/>
      <c r="Q233" s="14"/>
      <c r="R233" s="58" t="s">
        <v>2</v>
      </c>
      <c r="S233" s="58" t="s">
        <v>2</v>
      </c>
      <c r="T233" s="33"/>
      <c r="U233" s="33"/>
      <c r="V233" s="33"/>
      <c r="W233" s="33"/>
      <c r="X233" s="60" t="s">
        <v>75</v>
      </c>
      <c r="Y233" s="58" t="s">
        <v>2</v>
      </c>
      <c r="Z233" s="58" t="s">
        <v>2</v>
      </c>
      <c r="AA233" s="33"/>
      <c r="AB233" s="33"/>
      <c r="AC233" s="33"/>
      <c r="AD233" s="33"/>
      <c r="AE233" s="14"/>
      <c r="AF233" s="58" t="s">
        <v>2</v>
      </c>
      <c r="AH233" s="16">
        <f t="shared" si="27"/>
        <v>0</v>
      </c>
      <c r="AI233" s="16">
        <f t="shared" si="28"/>
        <v>0</v>
      </c>
    </row>
    <row r="234" spans="1:35" ht="20.100000000000001" hidden="1" customHeight="1">
      <c r="A234" s="18" t="str">
        <f>ÖSSZES!$A$109</f>
        <v>Név15</v>
      </c>
      <c r="B234" s="33"/>
      <c r="C234" s="14"/>
      <c r="D234" s="58" t="s">
        <v>2</v>
      </c>
      <c r="E234" s="58" t="s">
        <v>2</v>
      </c>
      <c r="F234" s="33"/>
      <c r="G234" s="33"/>
      <c r="H234" s="33"/>
      <c r="I234" s="33"/>
      <c r="J234" s="14"/>
      <c r="K234" s="58" t="s">
        <v>2</v>
      </c>
      <c r="L234" s="58" t="s">
        <v>2</v>
      </c>
      <c r="M234" s="33"/>
      <c r="N234" s="33"/>
      <c r="O234" s="33"/>
      <c r="P234" s="33"/>
      <c r="Q234" s="14"/>
      <c r="R234" s="58" t="s">
        <v>2</v>
      </c>
      <c r="S234" s="58" t="s">
        <v>2</v>
      </c>
      <c r="T234" s="33"/>
      <c r="U234" s="33"/>
      <c r="V234" s="33"/>
      <c r="W234" s="33"/>
      <c r="X234" s="60" t="s">
        <v>75</v>
      </c>
      <c r="Y234" s="58" t="s">
        <v>2</v>
      </c>
      <c r="Z234" s="58" t="s">
        <v>2</v>
      </c>
      <c r="AA234" s="33"/>
      <c r="AB234" s="33"/>
      <c r="AC234" s="33"/>
      <c r="AD234" s="33"/>
      <c r="AE234" s="14"/>
      <c r="AF234" s="58" t="s">
        <v>2</v>
      </c>
      <c r="AH234" s="16">
        <f t="shared" si="27"/>
        <v>0</v>
      </c>
      <c r="AI234" s="16">
        <f t="shared" si="28"/>
        <v>0</v>
      </c>
    </row>
    <row r="235" spans="1:35" ht="20.100000000000001" hidden="1" customHeight="1">
      <c r="A235" s="18" t="str">
        <f>ÖSSZES!$A$110</f>
        <v>Név16</v>
      </c>
      <c r="B235" s="33"/>
      <c r="C235" s="14"/>
      <c r="D235" s="58" t="s">
        <v>2</v>
      </c>
      <c r="E235" s="58" t="s">
        <v>2</v>
      </c>
      <c r="F235" s="33"/>
      <c r="G235" s="33"/>
      <c r="H235" s="33"/>
      <c r="I235" s="33"/>
      <c r="J235" s="14"/>
      <c r="K235" s="58" t="s">
        <v>2</v>
      </c>
      <c r="L235" s="58" t="s">
        <v>2</v>
      </c>
      <c r="M235" s="33"/>
      <c r="N235" s="33"/>
      <c r="O235" s="33"/>
      <c r="P235" s="33"/>
      <c r="Q235" s="14"/>
      <c r="R235" s="58" t="s">
        <v>2</v>
      </c>
      <c r="S235" s="58" t="s">
        <v>2</v>
      </c>
      <c r="T235" s="33"/>
      <c r="U235" s="33"/>
      <c r="V235" s="33"/>
      <c r="W235" s="33"/>
      <c r="X235" s="60" t="s">
        <v>75</v>
      </c>
      <c r="Y235" s="58" t="s">
        <v>2</v>
      </c>
      <c r="Z235" s="58" t="s">
        <v>2</v>
      </c>
      <c r="AA235" s="33"/>
      <c r="AB235" s="33"/>
      <c r="AC235" s="33"/>
      <c r="AD235" s="33"/>
      <c r="AE235" s="14"/>
      <c r="AF235" s="58" t="s">
        <v>2</v>
      </c>
      <c r="AH235" s="16">
        <f t="shared" si="27"/>
        <v>0</v>
      </c>
      <c r="AI235" s="16">
        <f t="shared" si="28"/>
        <v>0</v>
      </c>
    </row>
    <row r="236" spans="1:35" ht="20.100000000000001" hidden="1" customHeight="1">
      <c r="A236" s="18" t="str">
        <f>ÖSSZES!$A$111</f>
        <v>Név17</v>
      </c>
      <c r="B236" s="33"/>
      <c r="C236" s="14"/>
      <c r="D236" s="58" t="s">
        <v>2</v>
      </c>
      <c r="E236" s="58" t="s">
        <v>2</v>
      </c>
      <c r="F236" s="33"/>
      <c r="G236" s="33"/>
      <c r="H236" s="33"/>
      <c r="I236" s="33"/>
      <c r="J236" s="14"/>
      <c r="K236" s="58" t="s">
        <v>2</v>
      </c>
      <c r="L236" s="58" t="s">
        <v>2</v>
      </c>
      <c r="M236" s="33"/>
      <c r="N236" s="33"/>
      <c r="O236" s="33"/>
      <c r="P236" s="33"/>
      <c r="Q236" s="14"/>
      <c r="R236" s="58" t="s">
        <v>2</v>
      </c>
      <c r="S236" s="58" t="s">
        <v>2</v>
      </c>
      <c r="T236" s="33"/>
      <c r="U236" s="33"/>
      <c r="V236" s="33"/>
      <c r="W236" s="33"/>
      <c r="X236" s="60" t="s">
        <v>75</v>
      </c>
      <c r="Y236" s="58" t="s">
        <v>2</v>
      </c>
      <c r="Z236" s="58" t="s">
        <v>2</v>
      </c>
      <c r="AA236" s="33"/>
      <c r="AB236" s="33"/>
      <c r="AC236" s="33"/>
      <c r="AD236" s="33"/>
      <c r="AE236" s="14"/>
      <c r="AF236" s="58" t="s">
        <v>2</v>
      </c>
      <c r="AH236" s="16">
        <f t="shared" si="27"/>
        <v>0</v>
      </c>
      <c r="AI236" s="16">
        <f t="shared" si="28"/>
        <v>0</v>
      </c>
    </row>
    <row r="237" spans="1:35" ht="20.100000000000001" hidden="1" customHeight="1">
      <c r="A237" s="18" t="str">
        <f>ÖSSZES!$A$112</f>
        <v>Név18</v>
      </c>
      <c r="B237" s="33"/>
      <c r="C237" s="14"/>
      <c r="D237" s="58" t="s">
        <v>2</v>
      </c>
      <c r="E237" s="58" t="s">
        <v>2</v>
      </c>
      <c r="F237" s="33"/>
      <c r="G237" s="33"/>
      <c r="H237" s="33"/>
      <c r="I237" s="33"/>
      <c r="J237" s="14"/>
      <c r="K237" s="58" t="s">
        <v>2</v>
      </c>
      <c r="L237" s="58" t="s">
        <v>2</v>
      </c>
      <c r="M237" s="33"/>
      <c r="N237" s="33"/>
      <c r="O237" s="33"/>
      <c r="P237" s="33"/>
      <c r="Q237" s="14"/>
      <c r="R237" s="58" t="s">
        <v>2</v>
      </c>
      <c r="S237" s="58" t="s">
        <v>2</v>
      </c>
      <c r="T237" s="33"/>
      <c r="U237" s="33"/>
      <c r="V237" s="33"/>
      <c r="W237" s="33"/>
      <c r="X237" s="60" t="s">
        <v>75</v>
      </c>
      <c r="Y237" s="58" t="s">
        <v>2</v>
      </c>
      <c r="Z237" s="58" t="s">
        <v>2</v>
      </c>
      <c r="AA237" s="33"/>
      <c r="AB237" s="33"/>
      <c r="AC237" s="33"/>
      <c r="AD237" s="33"/>
      <c r="AE237" s="14"/>
      <c r="AF237" s="58" t="s">
        <v>2</v>
      </c>
      <c r="AH237" s="16">
        <f t="shared" si="27"/>
        <v>0</v>
      </c>
      <c r="AI237" s="16">
        <f t="shared" si="28"/>
        <v>0</v>
      </c>
    </row>
    <row r="238" spans="1:35" ht="20.100000000000001" hidden="1" customHeight="1">
      <c r="A238" s="18" t="str">
        <f>ÖSSZES!$A$113</f>
        <v>Név19</v>
      </c>
      <c r="B238" s="33"/>
      <c r="C238" s="14"/>
      <c r="D238" s="58" t="s">
        <v>2</v>
      </c>
      <c r="E238" s="58" t="s">
        <v>2</v>
      </c>
      <c r="F238" s="33"/>
      <c r="G238" s="33"/>
      <c r="H238" s="33"/>
      <c r="I238" s="33"/>
      <c r="J238" s="14"/>
      <c r="K238" s="58" t="s">
        <v>2</v>
      </c>
      <c r="L238" s="58" t="s">
        <v>2</v>
      </c>
      <c r="M238" s="33"/>
      <c r="N238" s="33"/>
      <c r="O238" s="33"/>
      <c r="P238" s="33"/>
      <c r="Q238" s="14"/>
      <c r="R238" s="58" t="s">
        <v>2</v>
      </c>
      <c r="S238" s="58" t="s">
        <v>2</v>
      </c>
      <c r="T238" s="33"/>
      <c r="U238" s="33"/>
      <c r="V238" s="33"/>
      <c r="W238" s="33"/>
      <c r="X238" s="60" t="s">
        <v>75</v>
      </c>
      <c r="Y238" s="58" t="s">
        <v>2</v>
      </c>
      <c r="Z238" s="58" t="s">
        <v>2</v>
      </c>
      <c r="AA238" s="33"/>
      <c r="AB238" s="33"/>
      <c r="AC238" s="33"/>
      <c r="AD238" s="33"/>
      <c r="AE238" s="14"/>
      <c r="AF238" s="58" t="s">
        <v>2</v>
      </c>
      <c r="AH238" s="16">
        <f t="shared" si="27"/>
        <v>0</v>
      </c>
      <c r="AI238" s="16">
        <f t="shared" si="28"/>
        <v>0</v>
      </c>
    </row>
    <row r="239" spans="1:35" ht="20.100000000000001" hidden="1" customHeight="1">
      <c r="A239" s="18" t="str">
        <f>ÖSSZES!$A$114</f>
        <v>Név20</v>
      </c>
      <c r="B239" s="33"/>
      <c r="C239" s="14"/>
      <c r="D239" s="58" t="s">
        <v>2</v>
      </c>
      <c r="E239" s="58" t="s">
        <v>2</v>
      </c>
      <c r="F239" s="33"/>
      <c r="G239" s="33"/>
      <c r="H239" s="33"/>
      <c r="I239" s="33"/>
      <c r="J239" s="14"/>
      <c r="K239" s="58" t="s">
        <v>2</v>
      </c>
      <c r="L239" s="58" t="s">
        <v>2</v>
      </c>
      <c r="M239" s="33"/>
      <c r="N239" s="33"/>
      <c r="O239" s="33"/>
      <c r="P239" s="33"/>
      <c r="Q239" s="14"/>
      <c r="R239" s="58" t="s">
        <v>2</v>
      </c>
      <c r="S239" s="58" t="s">
        <v>2</v>
      </c>
      <c r="T239" s="33"/>
      <c r="U239" s="33"/>
      <c r="V239" s="33"/>
      <c r="W239" s="33"/>
      <c r="X239" s="60" t="s">
        <v>75</v>
      </c>
      <c r="Y239" s="58" t="s">
        <v>2</v>
      </c>
      <c r="Z239" s="58" t="s">
        <v>2</v>
      </c>
      <c r="AA239" s="33"/>
      <c r="AB239" s="33"/>
      <c r="AC239" s="33"/>
      <c r="AD239" s="33"/>
      <c r="AE239" s="14"/>
      <c r="AF239" s="58" t="s">
        <v>2</v>
      </c>
      <c r="AH239" s="16">
        <f t="shared" si="27"/>
        <v>0</v>
      </c>
      <c r="AI239" s="16">
        <f t="shared" si="28"/>
        <v>0</v>
      </c>
    </row>
    <row r="240" spans="1:35" ht="20.100000000000001" customHeight="1">
      <c r="A240" s="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H240" s="9"/>
      <c r="AI240" s="9"/>
    </row>
    <row r="241" spans="1:35" s="6" customFormat="1" ht="20.100000000000001" customHeight="1">
      <c r="A241" s="91" t="s">
        <v>15</v>
      </c>
      <c r="B241" s="19">
        <v>1</v>
      </c>
      <c r="C241" s="17">
        <v>2</v>
      </c>
      <c r="D241" s="17">
        <v>3</v>
      </c>
      <c r="E241" s="17">
        <v>4</v>
      </c>
      <c r="F241" s="17">
        <v>5</v>
      </c>
      <c r="G241" s="17">
        <v>6</v>
      </c>
      <c r="H241" s="17">
        <v>7</v>
      </c>
      <c r="I241" s="17">
        <v>8</v>
      </c>
      <c r="J241" s="17">
        <v>9</v>
      </c>
      <c r="K241" s="17">
        <v>10</v>
      </c>
      <c r="L241" s="17">
        <v>11</v>
      </c>
      <c r="M241" s="17">
        <v>12</v>
      </c>
      <c r="N241" s="17">
        <v>13</v>
      </c>
      <c r="O241" s="17">
        <v>14</v>
      </c>
      <c r="P241" s="17">
        <v>15</v>
      </c>
      <c r="Q241" s="17">
        <v>16</v>
      </c>
      <c r="R241" s="17">
        <v>17</v>
      </c>
      <c r="S241" s="17">
        <v>18</v>
      </c>
      <c r="T241" s="17">
        <v>19</v>
      </c>
      <c r="U241" s="17">
        <v>20</v>
      </c>
      <c r="V241" s="17">
        <v>21</v>
      </c>
      <c r="W241" s="17">
        <v>22</v>
      </c>
      <c r="X241" s="17">
        <v>23</v>
      </c>
      <c r="Y241" s="17">
        <v>24</v>
      </c>
      <c r="Z241" s="17">
        <v>25</v>
      </c>
      <c r="AA241" s="17">
        <v>26</v>
      </c>
      <c r="AB241" s="17">
        <v>27</v>
      </c>
      <c r="AC241" s="17">
        <v>28</v>
      </c>
      <c r="AD241" s="17">
        <v>29</v>
      </c>
      <c r="AE241" s="17">
        <v>30</v>
      </c>
      <c r="AH241" s="93" t="s">
        <v>18</v>
      </c>
      <c r="AI241" s="93" t="s">
        <v>19</v>
      </c>
    </row>
    <row r="242" spans="1:35" ht="20.100000000000001" customHeight="1">
      <c r="A242" s="96"/>
      <c r="B242" s="10" t="str">
        <f>'2020'!B84</f>
        <v>V</v>
      </c>
      <c r="C242" s="10" t="str">
        <f>'2020'!C84</f>
        <v>H</v>
      </c>
      <c r="D242" s="10" t="str">
        <f>'2020'!D84</f>
        <v>K</v>
      </c>
      <c r="E242" s="10" t="str">
        <f>'2020'!E84</f>
        <v>Sze</v>
      </c>
      <c r="F242" s="10" t="str">
        <f>'2020'!F84</f>
        <v>Cs</v>
      </c>
      <c r="G242" s="10" t="str">
        <f>'2020'!G84</f>
        <v>P</v>
      </c>
      <c r="H242" s="10" t="str">
        <f>'2020'!H84</f>
        <v>Szo</v>
      </c>
      <c r="I242" s="10" t="str">
        <f>'2020'!I84</f>
        <v>V</v>
      </c>
      <c r="J242" s="10" t="str">
        <f>'2020'!J84</f>
        <v>H</v>
      </c>
      <c r="K242" s="10" t="str">
        <f>'2020'!K84</f>
        <v>K</v>
      </c>
      <c r="L242" s="10" t="str">
        <f>'2020'!L84</f>
        <v>Sze</v>
      </c>
      <c r="M242" s="10" t="str">
        <f>'2020'!M84</f>
        <v>Cs</v>
      </c>
      <c r="N242" s="10" t="str">
        <f>'2020'!N84</f>
        <v>P</v>
      </c>
      <c r="O242" s="10" t="str">
        <f>'2020'!O84</f>
        <v>Szo</v>
      </c>
      <c r="P242" s="10" t="str">
        <f>'2020'!P84</f>
        <v>V</v>
      </c>
      <c r="Q242" s="10" t="str">
        <f>'2020'!Q84</f>
        <v>H</v>
      </c>
      <c r="R242" s="10" t="str">
        <f>'2020'!R84</f>
        <v>K</v>
      </c>
      <c r="S242" s="10" t="str">
        <f>'2020'!S84</f>
        <v>Sze</v>
      </c>
      <c r="T242" s="10" t="str">
        <f>'2020'!T84</f>
        <v>Cs</v>
      </c>
      <c r="U242" s="10" t="str">
        <f>'2020'!U84</f>
        <v>P</v>
      </c>
      <c r="V242" s="10" t="str">
        <f>'2020'!V84</f>
        <v>Szo</v>
      </c>
      <c r="W242" s="10" t="str">
        <f>'2020'!W84</f>
        <v>V</v>
      </c>
      <c r="X242" s="10" t="str">
        <f>'2020'!X84</f>
        <v>H</v>
      </c>
      <c r="Y242" s="10" t="str">
        <f>'2020'!Y84</f>
        <v>K</v>
      </c>
      <c r="Z242" s="10" t="str">
        <f>'2020'!Z84</f>
        <v>Sze</v>
      </c>
      <c r="AA242" s="10" t="str">
        <f>'2020'!AA84</f>
        <v>Cs</v>
      </c>
      <c r="AB242" s="10" t="str">
        <f>'2020'!AB84</f>
        <v>P</v>
      </c>
      <c r="AC242" s="10" t="str">
        <f>'2020'!AC84</f>
        <v>Szo</v>
      </c>
      <c r="AD242" s="10" t="str">
        <f>'2020'!AD84</f>
        <v>V</v>
      </c>
      <c r="AE242" s="10" t="str">
        <f>'2020'!AE84</f>
        <v>H</v>
      </c>
      <c r="AF242" s="1"/>
      <c r="AH242" s="94"/>
      <c r="AI242" s="94"/>
    </row>
    <row r="243" spans="1:35" ht="20.100000000000001" customHeight="1">
      <c r="A243" s="96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"/>
      <c r="AH243" s="94"/>
      <c r="AI243" s="94"/>
    </row>
    <row r="244" spans="1:35" ht="20.100000000000001" customHeight="1">
      <c r="A244" s="18" t="str">
        <f>ÖSSZES!$A$95</f>
        <v>Kovács Kriszitán</v>
      </c>
      <c r="B244" s="58" t="s">
        <v>2</v>
      </c>
      <c r="C244" s="33"/>
      <c r="D244" s="33"/>
      <c r="E244" s="33"/>
      <c r="F244" s="33"/>
      <c r="G244" s="14"/>
      <c r="H244" s="58" t="s">
        <v>2</v>
      </c>
      <c r="I244" s="58" t="s">
        <v>2</v>
      </c>
      <c r="J244" s="33"/>
      <c r="K244" s="33"/>
      <c r="L244" s="33"/>
      <c r="M244" s="33"/>
      <c r="N244" s="14"/>
      <c r="O244" s="58" t="s">
        <v>2</v>
      </c>
      <c r="P244" s="58" t="s">
        <v>2</v>
      </c>
      <c r="Q244" s="33"/>
      <c r="R244" s="33"/>
      <c r="S244" s="33"/>
      <c r="T244" s="33"/>
      <c r="U244" s="14"/>
      <c r="V244" s="58" t="s">
        <v>2</v>
      </c>
      <c r="W244" s="58" t="s">
        <v>2</v>
      </c>
      <c r="X244" s="33"/>
      <c r="Y244" s="33"/>
      <c r="Z244" s="33"/>
      <c r="AA244" s="33"/>
      <c r="AB244" s="14"/>
      <c r="AC244" s="58" t="s">
        <v>2</v>
      </c>
      <c r="AD244" s="58" t="s">
        <v>2</v>
      </c>
      <c r="AE244" s="33"/>
      <c r="AF244" s="1"/>
      <c r="AH244" s="16">
        <f>1*COUNTIF(A244:AF244,"+")</f>
        <v>0</v>
      </c>
      <c r="AI244" s="16">
        <f t="shared" ref="AI244" si="29">1*COUNTIF(B244:AF244,"szf")</f>
        <v>0</v>
      </c>
    </row>
    <row r="245" spans="1:35" ht="20.100000000000001" customHeight="1">
      <c r="A245" s="18" t="str">
        <f>ÖSSZES!$A$96</f>
        <v>Besse Éva</v>
      </c>
      <c r="B245" s="58" t="s">
        <v>2</v>
      </c>
      <c r="C245" s="33"/>
      <c r="D245" s="33"/>
      <c r="E245" s="33"/>
      <c r="F245" s="33"/>
      <c r="G245" s="14"/>
      <c r="H245" s="58" t="s">
        <v>2</v>
      </c>
      <c r="I245" s="58" t="s">
        <v>2</v>
      </c>
      <c r="J245" s="33"/>
      <c r="K245" s="33"/>
      <c r="L245" s="33"/>
      <c r="M245" s="33"/>
      <c r="N245" s="14"/>
      <c r="O245" s="58" t="s">
        <v>2</v>
      </c>
      <c r="P245" s="58" t="s">
        <v>2</v>
      </c>
      <c r="Q245" s="33"/>
      <c r="R245" s="33"/>
      <c r="S245" s="33"/>
      <c r="T245" s="33"/>
      <c r="U245" s="14"/>
      <c r="V245" s="58" t="s">
        <v>2</v>
      </c>
      <c r="W245" s="58" t="s">
        <v>2</v>
      </c>
      <c r="X245" s="33"/>
      <c r="Y245" s="33"/>
      <c r="Z245" s="33"/>
      <c r="AA245" s="33"/>
      <c r="AB245" s="14"/>
      <c r="AC245" s="58" t="s">
        <v>2</v>
      </c>
      <c r="AD245" s="58" t="s">
        <v>2</v>
      </c>
      <c r="AE245" s="33"/>
      <c r="AF245" s="1"/>
      <c r="AH245" s="16">
        <f t="shared" ref="AH245:AH263" si="30">1*COUNTIF(A245:AF245,"+")</f>
        <v>0</v>
      </c>
      <c r="AI245" s="16">
        <f t="shared" ref="AI245:AI263" si="31">1*COUNTIF(B245:AF245,"szf")</f>
        <v>0</v>
      </c>
    </row>
    <row r="246" spans="1:35" ht="20.100000000000001" customHeight="1">
      <c r="A246" s="18" t="str">
        <f>ÖSSZES!$A$97</f>
        <v>Oláh Erika</v>
      </c>
      <c r="B246" s="58" t="s">
        <v>2</v>
      </c>
      <c r="C246" s="33"/>
      <c r="D246" s="33"/>
      <c r="E246" s="33"/>
      <c r="F246" s="33"/>
      <c r="G246" s="14"/>
      <c r="H246" s="58" t="s">
        <v>2</v>
      </c>
      <c r="I246" s="58" t="s">
        <v>2</v>
      </c>
      <c r="J246" s="33"/>
      <c r="K246" s="33"/>
      <c r="L246" s="33"/>
      <c r="M246" s="33"/>
      <c r="N246" s="14"/>
      <c r="O246" s="58" t="s">
        <v>2</v>
      </c>
      <c r="P246" s="58" t="s">
        <v>2</v>
      </c>
      <c r="Q246" s="33"/>
      <c r="R246" s="33"/>
      <c r="S246" s="33"/>
      <c r="T246" s="33"/>
      <c r="U246" s="14"/>
      <c r="V246" s="58" t="s">
        <v>2</v>
      </c>
      <c r="W246" s="58" t="s">
        <v>2</v>
      </c>
      <c r="X246" s="33"/>
      <c r="Y246" s="33"/>
      <c r="Z246" s="33"/>
      <c r="AA246" s="33"/>
      <c r="AB246" s="14"/>
      <c r="AC246" s="58" t="s">
        <v>2</v>
      </c>
      <c r="AD246" s="58" t="s">
        <v>2</v>
      </c>
      <c r="AE246" s="33"/>
      <c r="AF246" s="1"/>
      <c r="AH246" s="16">
        <f t="shared" si="30"/>
        <v>0</v>
      </c>
      <c r="AI246" s="16">
        <f t="shared" si="31"/>
        <v>0</v>
      </c>
    </row>
    <row r="247" spans="1:35" ht="20.100000000000001" customHeight="1">
      <c r="A247" s="18" t="str">
        <f>ÖSSZES!$A$98</f>
        <v>Bulyáki Csaba</v>
      </c>
      <c r="B247" s="58" t="s">
        <v>2</v>
      </c>
      <c r="C247" s="33"/>
      <c r="D247" s="33"/>
      <c r="E247" s="33"/>
      <c r="F247" s="33"/>
      <c r="G247" s="14"/>
      <c r="H247" s="58" t="s">
        <v>2</v>
      </c>
      <c r="I247" s="58" t="s">
        <v>2</v>
      </c>
      <c r="J247" s="33"/>
      <c r="K247" s="33"/>
      <c r="L247" s="33"/>
      <c r="M247" s="33"/>
      <c r="N247" s="14"/>
      <c r="O247" s="58" t="s">
        <v>2</v>
      </c>
      <c r="P247" s="58" t="s">
        <v>2</v>
      </c>
      <c r="Q247" s="33"/>
      <c r="R247" s="33"/>
      <c r="S247" s="33"/>
      <c r="T247" s="33"/>
      <c r="U247" s="14"/>
      <c r="V247" s="58" t="s">
        <v>2</v>
      </c>
      <c r="W247" s="58" t="s">
        <v>2</v>
      </c>
      <c r="X247" s="33"/>
      <c r="Y247" s="33"/>
      <c r="Z247" s="33"/>
      <c r="AA247" s="33"/>
      <c r="AB247" s="14"/>
      <c r="AC247" s="58" t="s">
        <v>2</v>
      </c>
      <c r="AD247" s="58" t="s">
        <v>2</v>
      </c>
      <c r="AE247" s="33"/>
      <c r="AF247" s="1"/>
      <c r="AH247" s="16">
        <f t="shared" si="30"/>
        <v>0</v>
      </c>
      <c r="AI247" s="16">
        <f t="shared" si="31"/>
        <v>0</v>
      </c>
    </row>
    <row r="248" spans="1:35" ht="20.100000000000001" customHeight="1">
      <c r="A248" s="18" t="str">
        <f>ÖSSZES!$A$99</f>
        <v>Fekete Tamás</v>
      </c>
      <c r="B248" s="58" t="s">
        <v>2</v>
      </c>
      <c r="C248" s="33"/>
      <c r="D248" s="33"/>
      <c r="E248" s="33"/>
      <c r="F248" s="33"/>
      <c r="G248" s="14"/>
      <c r="H248" s="58" t="s">
        <v>2</v>
      </c>
      <c r="I248" s="58" t="s">
        <v>2</v>
      </c>
      <c r="J248" s="33"/>
      <c r="K248" s="33"/>
      <c r="L248" s="33"/>
      <c r="M248" s="33"/>
      <c r="N248" s="14"/>
      <c r="O248" s="58" t="s">
        <v>2</v>
      </c>
      <c r="P248" s="58" t="s">
        <v>2</v>
      </c>
      <c r="Q248" s="33"/>
      <c r="R248" s="33"/>
      <c r="S248" s="33"/>
      <c r="T248" s="33"/>
      <c r="U248" s="14"/>
      <c r="V248" s="58" t="s">
        <v>2</v>
      </c>
      <c r="W248" s="58" t="s">
        <v>2</v>
      </c>
      <c r="X248" s="33"/>
      <c r="Y248" s="33"/>
      <c r="Z248" s="33"/>
      <c r="AA248" s="33"/>
      <c r="AB248" s="14"/>
      <c r="AC248" s="58" t="s">
        <v>2</v>
      </c>
      <c r="AD248" s="58" t="s">
        <v>2</v>
      </c>
      <c r="AE248" s="33"/>
      <c r="AF248" s="1"/>
      <c r="AH248" s="16">
        <f t="shared" si="30"/>
        <v>0</v>
      </c>
      <c r="AI248" s="16">
        <f t="shared" si="31"/>
        <v>0</v>
      </c>
    </row>
    <row r="249" spans="1:35" ht="20.100000000000001" customHeight="1">
      <c r="A249" s="18" t="str">
        <f>ÖSSZES!$A$100</f>
        <v>Péter Csaba</v>
      </c>
      <c r="B249" s="58" t="s">
        <v>2</v>
      </c>
      <c r="C249" s="33"/>
      <c r="D249" s="33"/>
      <c r="E249" s="33"/>
      <c r="F249" s="33"/>
      <c r="G249" s="14"/>
      <c r="H249" s="58" t="s">
        <v>2</v>
      </c>
      <c r="I249" s="58" t="s">
        <v>2</v>
      </c>
      <c r="J249" s="33"/>
      <c r="K249" s="33"/>
      <c r="L249" s="33"/>
      <c r="M249" s="33"/>
      <c r="N249" s="14"/>
      <c r="O249" s="58" t="s">
        <v>2</v>
      </c>
      <c r="P249" s="58" t="s">
        <v>2</v>
      </c>
      <c r="Q249" s="33"/>
      <c r="R249" s="33"/>
      <c r="S249" s="33"/>
      <c r="T249" s="33"/>
      <c r="U249" s="14"/>
      <c r="V249" s="58" t="s">
        <v>2</v>
      </c>
      <c r="W249" s="58" t="s">
        <v>2</v>
      </c>
      <c r="X249" s="33"/>
      <c r="Y249" s="33"/>
      <c r="Z249" s="33"/>
      <c r="AA249" s="33"/>
      <c r="AB249" s="14"/>
      <c r="AC249" s="58" t="s">
        <v>2</v>
      </c>
      <c r="AD249" s="58" t="s">
        <v>2</v>
      </c>
      <c r="AE249" s="33"/>
      <c r="AF249" s="1"/>
      <c r="AH249" s="16">
        <f t="shared" si="30"/>
        <v>0</v>
      </c>
      <c r="AI249" s="16">
        <f t="shared" si="31"/>
        <v>0</v>
      </c>
    </row>
    <row r="250" spans="1:35" ht="20.100000000000001" customHeight="1">
      <c r="A250" s="18" t="str">
        <f>ÖSSZES!$A$101</f>
        <v>Tóth János</v>
      </c>
      <c r="B250" s="58" t="s">
        <v>2</v>
      </c>
      <c r="C250" s="33"/>
      <c r="D250" s="33"/>
      <c r="E250" s="33"/>
      <c r="F250" s="33"/>
      <c r="G250" s="14"/>
      <c r="H250" s="58" t="s">
        <v>2</v>
      </c>
      <c r="I250" s="58" t="s">
        <v>2</v>
      </c>
      <c r="J250" s="33"/>
      <c r="K250" s="33"/>
      <c r="L250" s="33"/>
      <c r="M250" s="33"/>
      <c r="N250" s="14"/>
      <c r="O250" s="58" t="s">
        <v>2</v>
      </c>
      <c r="P250" s="58" t="s">
        <v>2</v>
      </c>
      <c r="Q250" s="33"/>
      <c r="R250" s="33"/>
      <c r="S250" s="33"/>
      <c r="T250" s="33"/>
      <c r="U250" s="14"/>
      <c r="V250" s="58" t="s">
        <v>2</v>
      </c>
      <c r="W250" s="58" t="s">
        <v>2</v>
      </c>
      <c r="X250" s="33"/>
      <c r="Y250" s="33"/>
      <c r="Z250" s="33"/>
      <c r="AA250" s="33"/>
      <c r="AB250" s="14"/>
      <c r="AC250" s="58" t="s">
        <v>2</v>
      </c>
      <c r="AD250" s="58" t="s">
        <v>2</v>
      </c>
      <c r="AE250" s="33"/>
      <c r="AF250" s="1"/>
      <c r="AH250" s="16">
        <f t="shared" si="30"/>
        <v>0</v>
      </c>
      <c r="AI250" s="16">
        <f t="shared" si="31"/>
        <v>0</v>
      </c>
    </row>
    <row r="251" spans="1:35" ht="20.100000000000001" customHeight="1">
      <c r="A251" s="18" t="str">
        <f>ÖSSZES!$A$102</f>
        <v>Tóth Krisztián</v>
      </c>
      <c r="B251" s="58" t="s">
        <v>2</v>
      </c>
      <c r="C251" s="33"/>
      <c r="D251" s="33"/>
      <c r="E251" s="33"/>
      <c r="F251" s="33"/>
      <c r="G251" s="14"/>
      <c r="H251" s="58" t="s">
        <v>2</v>
      </c>
      <c r="I251" s="58" t="s">
        <v>2</v>
      </c>
      <c r="J251" s="33"/>
      <c r="K251" s="33"/>
      <c r="L251" s="33"/>
      <c r="M251" s="33"/>
      <c r="N251" s="14"/>
      <c r="O251" s="58" t="s">
        <v>2</v>
      </c>
      <c r="P251" s="58" t="s">
        <v>2</v>
      </c>
      <c r="Q251" s="33"/>
      <c r="R251" s="33"/>
      <c r="S251" s="33"/>
      <c r="T251" s="33"/>
      <c r="U251" s="14"/>
      <c r="V251" s="58" t="s">
        <v>2</v>
      </c>
      <c r="W251" s="58" t="s">
        <v>2</v>
      </c>
      <c r="X251" s="33"/>
      <c r="Y251" s="33"/>
      <c r="Z251" s="33"/>
      <c r="AA251" s="33"/>
      <c r="AB251" s="14"/>
      <c r="AC251" s="58" t="s">
        <v>2</v>
      </c>
      <c r="AD251" s="58" t="s">
        <v>2</v>
      </c>
      <c r="AE251" s="33"/>
      <c r="AF251" s="1"/>
      <c r="AH251" s="16">
        <f t="shared" si="30"/>
        <v>0</v>
      </c>
      <c r="AI251" s="16">
        <f t="shared" si="31"/>
        <v>0</v>
      </c>
    </row>
    <row r="252" spans="1:35" ht="20.100000000000001" customHeight="1">
      <c r="A252" s="18" t="str">
        <f>ÖSSZES!$A$103</f>
        <v>Tassi Szilárd</v>
      </c>
      <c r="B252" s="58" t="s">
        <v>2</v>
      </c>
      <c r="C252" s="33"/>
      <c r="D252" s="33"/>
      <c r="E252" s="33"/>
      <c r="F252" s="33"/>
      <c r="G252" s="14"/>
      <c r="H252" s="58" t="s">
        <v>2</v>
      </c>
      <c r="I252" s="58" t="s">
        <v>2</v>
      </c>
      <c r="J252" s="33"/>
      <c r="K252" s="33"/>
      <c r="L252" s="33"/>
      <c r="M252" s="33"/>
      <c r="N252" s="14"/>
      <c r="O252" s="58" t="s">
        <v>2</v>
      </c>
      <c r="P252" s="58" t="s">
        <v>2</v>
      </c>
      <c r="Q252" s="33"/>
      <c r="R252" s="33"/>
      <c r="S252" s="33"/>
      <c r="T252" s="33"/>
      <c r="U252" s="14"/>
      <c r="V252" s="58" t="s">
        <v>2</v>
      </c>
      <c r="W252" s="58" t="s">
        <v>2</v>
      </c>
      <c r="X252" s="33"/>
      <c r="Y252" s="33"/>
      <c r="Z252" s="33"/>
      <c r="AA252" s="33"/>
      <c r="AB252" s="14"/>
      <c r="AC252" s="58" t="s">
        <v>2</v>
      </c>
      <c r="AD252" s="58" t="s">
        <v>2</v>
      </c>
      <c r="AE252" s="33"/>
      <c r="AF252" s="1"/>
      <c r="AH252" s="16">
        <f t="shared" si="30"/>
        <v>0</v>
      </c>
      <c r="AI252" s="16">
        <f t="shared" si="31"/>
        <v>0</v>
      </c>
    </row>
    <row r="253" spans="1:35" ht="20.100000000000001" customHeight="1">
      <c r="A253" s="18" t="str">
        <f>ÖSSZES!$A$104</f>
        <v>Dancsi Attila</v>
      </c>
      <c r="B253" s="58" t="s">
        <v>2</v>
      </c>
      <c r="C253" s="33"/>
      <c r="D253" s="33"/>
      <c r="E253" s="33"/>
      <c r="F253" s="33"/>
      <c r="G253" s="14"/>
      <c r="H253" s="58" t="s">
        <v>2</v>
      </c>
      <c r="I253" s="58" t="s">
        <v>2</v>
      </c>
      <c r="J253" s="33"/>
      <c r="K253" s="33"/>
      <c r="L253" s="33"/>
      <c r="M253" s="33"/>
      <c r="N253" s="14"/>
      <c r="O253" s="58" t="s">
        <v>2</v>
      </c>
      <c r="P253" s="58" t="s">
        <v>2</v>
      </c>
      <c r="Q253" s="33"/>
      <c r="R253" s="33"/>
      <c r="S253" s="33"/>
      <c r="T253" s="33"/>
      <c r="U253" s="14"/>
      <c r="V253" s="58" t="s">
        <v>2</v>
      </c>
      <c r="W253" s="58" t="s">
        <v>2</v>
      </c>
      <c r="X253" s="33"/>
      <c r="Y253" s="33"/>
      <c r="Z253" s="33"/>
      <c r="AA253" s="33"/>
      <c r="AB253" s="14"/>
      <c r="AC253" s="58" t="s">
        <v>2</v>
      </c>
      <c r="AD253" s="58" t="s">
        <v>2</v>
      </c>
      <c r="AE253" s="33"/>
      <c r="AF253" s="1"/>
      <c r="AH253" s="16">
        <f t="shared" si="30"/>
        <v>0</v>
      </c>
      <c r="AI253" s="16">
        <f t="shared" si="31"/>
        <v>0</v>
      </c>
    </row>
    <row r="254" spans="1:35" ht="20.100000000000001" customHeight="1">
      <c r="A254" s="18" t="str">
        <f>ÖSSZES!$A$105</f>
        <v>Iványi Roland</v>
      </c>
      <c r="B254" s="58" t="s">
        <v>2</v>
      </c>
      <c r="C254" s="33"/>
      <c r="D254" s="33"/>
      <c r="E254" s="33"/>
      <c r="F254" s="33"/>
      <c r="G254" s="14"/>
      <c r="H254" s="58" t="s">
        <v>2</v>
      </c>
      <c r="I254" s="58" t="s">
        <v>2</v>
      </c>
      <c r="J254" s="33"/>
      <c r="K254" s="33"/>
      <c r="L254" s="33"/>
      <c r="M254" s="33"/>
      <c r="N254" s="14"/>
      <c r="O254" s="58" t="s">
        <v>2</v>
      </c>
      <c r="P254" s="58" t="s">
        <v>2</v>
      </c>
      <c r="Q254" s="33"/>
      <c r="R254" s="33"/>
      <c r="S254" s="33"/>
      <c r="T254" s="33"/>
      <c r="U254" s="14"/>
      <c r="V254" s="58" t="s">
        <v>2</v>
      </c>
      <c r="W254" s="58" t="s">
        <v>2</v>
      </c>
      <c r="X254" s="33"/>
      <c r="Y254" s="33"/>
      <c r="Z254" s="33"/>
      <c r="AA254" s="33"/>
      <c r="AB254" s="14"/>
      <c r="AC254" s="58" t="s">
        <v>2</v>
      </c>
      <c r="AD254" s="58" t="s">
        <v>2</v>
      </c>
      <c r="AE254" s="33"/>
      <c r="AF254" s="1"/>
      <c r="AH254" s="16">
        <f t="shared" si="30"/>
        <v>0</v>
      </c>
      <c r="AI254" s="16">
        <f t="shared" si="31"/>
        <v>0</v>
      </c>
    </row>
    <row r="255" spans="1:35" ht="20.100000000000001" hidden="1" customHeight="1">
      <c r="A255" s="18" t="str">
        <f>ÖSSZES!$A$106</f>
        <v>Név12</v>
      </c>
      <c r="B255" s="58" t="s">
        <v>2</v>
      </c>
      <c r="C255" s="33"/>
      <c r="D255" s="33"/>
      <c r="E255" s="33"/>
      <c r="F255" s="33"/>
      <c r="G255" s="14"/>
      <c r="H255" s="58" t="s">
        <v>2</v>
      </c>
      <c r="I255" s="58" t="s">
        <v>2</v>
      </c>
      <c r="J255" s="33"/>
      <c r="K255" s="33"/>
      <c r="L255" s="33"/>
      <c r="M255" s="33"/>
      <c r="N255" s="14"/>
      <c r="O255" s="58" t="s">
        <v>2</v>
      </c>
      <c r="P255" s="58" t="s">
        <v>2</v>
      </c>
      <c r="Q255" s="33"/>
      <c r="R255" s="33"/>
      <c r="S255" s="33"/>
      <c r="T255" s="33"/>
      <c r="U255" s="14"/>
      <c r="V255" s="58" t="s">
        <v>2</v>
      </c>
      <c r="W255" s="58" t="s">
        <v>2</v>
      </c>
      <c r="X255" s="33"/>
      <c r="Y255" s="33"/>
      <c r="Z255" s="33"/>
      <c r="AA255" s="33"/>
      <c r="AB255" s="14"/>
      <c r="AC255" s="58" t="s">
        <v>2</v>
      </c>
      <c r="AD255" s="58" t="s">
        <v>2</v>
      </c>
      <c r="AE255" s="33"/>
      <c r="AF255" s="1"/>
      <c r="AH255" s="16">
        <f t="shared" si="30"/>
        <v>0</v>
      </c>
      <c r="AI255" s="16">
        <f t="shared" si="31"/>
        <v>0</v>
      </c>
    </row>
    <row r="256" spans="1:35" ht="20.100000000000001" hidden="1" customHeight="1">
      <c r="A256" s="18" t="str">
        <f>ÖSSZES!$A$107</f>
        <v>Név13</v>
      </c>
      <c r="B256" s="58" t="s">
        <v>2</v>
      </c>
      <c r="C256" s="33"/>
      <c r="D256" s="33"/>
      <c r="E256" s="33"/>
      <c r="F256" s="33"/>
      <c r="G256" s="14"/>
      <c r="H256" s="58" t="s">
        <v>2</v>
      </c>
      <c r="I256" s="58" t="s">
        <v>2</v>
      </c>
      <c r="J256" s="33"/>
      <c r="K256" s="33"/>
      <c r="L256" s="33"/>
      <c r="M256" s="33"/>
      <c r="N256" s="14"/>
      <c r="O256" s="58" t="s">
        <v>2</v>
      </c>
      <c r="P256" s="58" t="s">
        <v>2</v>
      </c>
      <c r="Q256" s="33"/>
      <c r="R256" s="33"/>
      <c r="S256" s="33"/>
      <c r="T256" s="33"/>
      <c r="U256" s="14"/>
      <c r="V256" s="58" t="s">
        <v>2</v>
      </c>
      <c r="W256" s="58" t="s">
        <v>2</v>
      </c>
      <c r="X256" s="33"/>
      <c r="Y256" s="33"/>
      <c r="Z256" s="33"/>
      <c r="AA256" s="33"/>
      <c r="AB256" s="14"/>
      <c r="AC256" s="58" t="s">
        <v>2</v>
      </c>
      <c r="AD256" s="58" t="s">
        <v>2</v>
      </c>
      <c r="AE256" s="33"/>
      <c r="AF256" s="1"/>
      <c r="AH256" s="16">
        <f t="shared" si="30"/>
        <v>0</v>
      </c>
      <c r="AI256" s="16">
        <f t="shared" si="31"/>
        <v>0</v>
      </c>
    </row>
    <row r="257" spans="1:35" ht="20.100000000000001" hidden="1" customHeight="1">
      <c r="A257" s="18" t="str">
        <f>ÖSSZES!$A$108</f>
        <v>Név14</v>
      </c>
      <c r="B257" s="58" t="s">
        <v>2</v>
      </c>
      <c r="C257" s="33"/>
      <c r="D257" s="33"/>
      <c r="E257" s="33"/>
      <c r="F257" s="33"/>
      <c r="G257" s="14"/>
      <c r="H257" s="58" t="s">
        <v>2</v>
      </c>
      <c r="I257" s="58" t="s">
        <v>2</v>
      </c>
      <c r="J257" s="33"/>
      <c r="K257" s="33"/>
      <c r="L257" s="33"/>
      <c r="M257" s="33"/>
      <c r="N257" s="14"/>
      <c r="O257" s="58" t="s">
        <v>2</v>
      </c>
      <c r="P257" s="58" t="s">
        <v>2</v>
      </c>
      <c r="Q257" s="33"/>
      <c r="R257" s="33"/>
      <c r="S257" s="33"/>
      <c r="T257" s="33"/>
      <c r="U257" s="14"/>
      <c r="V257" s="58" t="s">
        <v>2</v>
      </c>
      <c r="W257" s="58" t="s">
        <v>2</v>
      </c>
      <c r="X257" s="33"/>
      <c r="Y257" s="33"/>
      <c r="Z257" s="33"/>
      <c r="AA257" s="33"/>
      <c r="AB257" s="14"/>
      <c r="AC257" s="58" t="s">
        <v>2</v>
      </c>
      <c r="AD257" s="58" t="s">
        <v>2</v>
      </c>
      <c r="AE257" s="33"/>
      <c r="AF257" s="1"/>
      <c r="AH257" s="16">
        <f t="shared" si="30"/>
        <v>0</v>
      </c>
      <c r="AI257" s="16">
        <f t="shared" si="31"/>
        <v>0</v>
      </c>
    </row>
    <row r="258" spans="1:35" ht="20.100000000000001" hidden="1" customHeight="1">
      <c r="A258" s="18" t="str">
        <f>ÖSSZES!$A$109</f>
        <v>Név15</v>
      </c>
      <c r="B258" s="58" t="s">
        <v>2</v>
      </c>
      <c r="C258" s="33"/>
      <c r="D258" s="33"/>
      <c r="E258" s="33"/>
      <c r="F258" s="33"/>
      <c r="G258" s="14"/>
      <c r="H258" s="58" t="s">
        <v>2</v>
      </c>
      <c r="I258" s="58" t="s">
        <v>2</v>
      </c>
      <c r="J258" s="33"/>
      <c r="K258" s="33"/>
      <c r="L258" s="33"/>
      <c r="M258" s="33"/>
      <c r="N258" s="14"/>
      <c r="O258" s="58" t="s">
        <v>2</v>
      </c>
      <c r="P258" s="58" t="s">
        <v>2</v>
      </c>
      <c r="Q258" s="33"/>
      <c r="R258" s="33"/>
      <c r="S258" s="33"/>
      <c r="T258" s="33"/>
      <c r="U258" s="14"/>
      <c r="V258" s="58" t="s">
        <v>2</v>
      </c>
      <c r="W258" s="58" t="s">
        <v>2</v>
      </c>
      <c r="X258" s="33"/>
      <c r="Y258" s="33"/>
      <c r="Z258" s="33"/>
      <c r="AA258" s="33"/>
      <c r="AB258" s="14"/>
      <c r="AC258" s="58" t="s">
        <v>2</v>
      </c>
      <c r="AD258" s="58" t="s">
        <v>2</v>
      </c>
      <c r="AE258" s="33"/>
      <c r="AF258" s="1"/>
      <c r="AH258" s="16">
        <f t="shared" si="30"/>
        <v>0</v>
      </c>
      <c r="AI258" s="16">
        <f t="shared" si="31"/>
        <v>0</v>
      </c>
    </row>
    <row r="259" spans="1:35" ht="20.100000000000001" hidden="1" customHeight="1">
      <c r="A259" s="18" t="str">
        <f>ÖSSZES!$A$110</f>
        <v>Név16</v>
      </c>
      <c r="B259" s="58" t="s">
        <v>2</v>
      </c>
      <c r="C259" s="33"/>
      <c r="D259" s="33"/>
      <c r="E259" s="33"/>
      <c r="F259" s="33"/>
      <c r="G259" s="14"/>
      <c r="H259" s="58" t="s">
        <v>2</v>
      </c>
      <c r="I259" s="58" t="s">
        <v>2</v>
      </c>
      <c r="J259" s="33"/>
      <c r="K259" s="33"/>
      <c r="L259" s="33"/>
      <c r="M259" s="33"/>
      <c r="N259" s="14"/>
      <c r="O259" s="58" t="s">
        <v>2</v>
      </c>
      <c r="P259" s="58" t="s">
        <v>2</v>
      </c>
      <c r="Q259" s="33"/>
      <c r="R259" s="33"/>
      <c r="S259" s="33"/>
      <c r="T259" s="33"/>
      <c r="U259" s="14"/>
      <c r="V259" s="58" t="s">
        <v>2</v>
      </c>
      <c r="W259" s="58" t="s">
        <v>2</v>
      </c>
      <c r="X259" s="33"/>
      <c r="Y259" s="33"/>
      <c r="Z259" s="33"/>
      <c r="AA259" s="33"/>
      <c r="AB259" s="14"/>
      <c r="AC259" s="58" t="s">
        <v>2</v>
      </c>
      <c r="AD259" s="58" t="s">
        <v>2</v>
      </c>
      <c r="AE259" s="33"/>
      <c r="AF259" s="1"/>
      <c r="AH259" s="16">
        <f t="shared" si="30"/>
        <v>0</v>
      </c>
      <c r="AI259" s="16">
        <f t="shared" si="31"/>
        <v>0</v>
      </c>
    </row>
    <row r="260" spans="1:35" ht="20.100000000000001" hidden="1" customHeight="1">
      <c r="A260" s="18" t="str">
        <f>ÖSSZES!$A$111</f>
        <v>Név17</v>
      </c>
      <c r="B260" s="58" t="s">
        <v>2</v>
      </c>
      <c r="C260" s="33"/>
      <c r="D260" s="33"/>
      <c r="E260" s="33"/>
      <c r="F260" s="33"/>
      <c r="G260" s="14"/>
      <c r="H260" s="58" t="s">
        <v>2</v>
      </c>
      <c r="I260" s="58" t="s">
        <v>2</v>
      </c>
      <c r="J260" s="33"/>
      <c r="K260" s="33"/>
      <c r="L260" s="33"/>
      <c r="M260" s="33"/>
      <c r="N260" s="14"/>
      <c r="O260" s="58" t="s">
        <v>2</v>
      </c>
      <c r="P260" s="58" t="s">
        <v>2</v>
      </c>
      <c r="Q260" s="33"/>
      <c r="R260" s="33"/>
      <c r="S260" s="33"/>
      <c r="T260" s="33"/>
      <c r="U260" s="14"/>
      <c r="V260" s="58" t="s">
        <v>2</v>
      </c>
      <c r="W260" s="58" t="s">
        <v>2</v>
      </c>
      <c r="X260" s="33"/>
      <c r="Y260" s="33"/>
      <c r="Z260" s="33"/>
      <c r="AA260" s="33"/>
      <c r="AB260" s="14"/>
      <c r="AC260" s="58" t="s">
        <v>2</v>
      </c>
      <c r="AD260" s="58" t="s">
        <v>2</v>
      </c>
      <c r="AE260" s="33"/>
      <c r="AF260" s="1"/>
      <c r="AH260" s="16">
        <f t="shared" si="30"/>
        <v>0</v>
      </c>
      <c r="AI260" s="16">
        <f t="shared" si="31"/>
        <v>0</v>
      </c>
    </row>
    <row r="261" spans="1:35" ht="20.100000000000001" hidden="1" customHeight="1">
      <c r="A261" s="18" t="str">
        <f>ÖSSZES!$A$112</f>
        <v>Név18</v>
      </c>
      <c r="B261" s="58" t="s">
        <v>2</v>
      </c>
      <c r="C261" s="33"/>
      <c r="D261" s="33"/>
      <c r="E261" s="33"/>
      <c r="F261" s="33"/>
      <c r="G261" s="14"/>
      <c r="H261" s="58" t="s">
        <v>2</v>
      </c>
      <c r="I261" s="58" t="s">
        <v>2</v>
      </c>
      <c r="J261" s="33"/>
      <c r="K261" s="33"/>
      <c r="L261" s="33"/>
      <c r="M261" s="33"/>
      <c r="N261" s="14"/>
      <c r="O261" s="58" t="s">
        <v>2</v>
      </c>
      <c r="P261" s="58" t="s">
        <v>2</v>
      </c>
      <c r="Q261" s="33"/>
      <c r="R261" s="33"/>
      <c r="S261" s="33"/>
      <c r="T261" s="33"/>
      <c r="U261" s="14"/>
      <c r="V261" s="58" t="s">
        <v>2</v>
      </c>
      <c r="W261" s="58" t="s">
        <v>2</v>
      </c>
      <c r="X261" s="33"/>
      <c r="Y261" s="33"/>
      <c r="Z261" s="33"/>
      <c r="AA261" s="33"/>
      <c r="AB261" s="14"/>
      <c r="AC261" s="58" t="s">
        <v>2</v>
      </c>
      <c r="AD261" s="58" t="s">
        <v>2</v>
      </c>
      <c r="AE261" s="33"/>
      <c r="AF261" s="1"/>
      <c r="AH261" s="16">
        <f t="shared" si="30"/>
        <v>0</v>
      </c>
      <c r="AI261" s="16">
        <f t="shared" si="31"/>
        <v>0</v>
      </c>
    </row>
    <row r="262" spans="1:35" ht="20.100000000000001" hidden="1" customHeight="1">
      <c r="A262" s="18" t="str">
        <f>ÖSSZES!$A$113</f>
        <v>Név19</v>
      </c>
      <c r="B262" s="58" t="s">
        <v>2</v>
      </c>
      <c r="C262" s="33"/>
      <c r="D262" s="33"/>
      <c r="E262" s="33"/>
      <c r="F262" s="33"/>
      <c r="G262" s="14"/>
      <c r="H262" s="58" t="s">
        <v>2</v>
      </c>
      <c r="I262" s="58" t="s">
        <v>2</v>
      </c>
      <c r="J262" s="33"/>
      <c r="K262" s="33"/>
      <c r="L262" s="33"/>
      <c r="M262" s="33"/>
      <c r="N262" s="14"/>
      <c r="O262" s="58" t="s">
        <v>2</v>
      </c>
      <c r="P262" s="58" t="s">
        <v>2</v>
      </c>
      <c r="Q262" s="33"/>
      <c r="R262" s="33"/>
      <c r="S262" s="33"/>
      <c r="T262" s="33"/>
      <c r="U262" s="14"/>
      <c r="V262" s="58" t="s">
        <v>2</v>
      </c>
      <c r="W262" s="58" t="s">
        <v>2</v>
      </c>
      <c r="X262" s="33"/>
      <c r="Y262" s="33"/>
      <c r="Z262" s="33"/>
      <c r="AA262" s="33"/>
      <c r="AB262" s="14"/>
      <c r="AC262" s="58" t="s">
        <v>2</v>
      </c>
      <c r="AD262" s="58" t="s">
        <v>2</v>
      </c>
      <c r="AE262" s="33"/>
      <c r="AF262" s="1"/>
      <c r="AH262" s="16">
        <f t="shared" si="30"/>
        <v>0</v>
      </c>
      <c r="AI262" s="16">
        <f t="shared" si="31"/>
        <v>0</v>
      </c>
    </row>
    <row r="263" spans="1:35" ht="20.100000000000001" hidden="1" customHeight="1">
      <c r="A263" s="18" t="str">
        <f>ÖSSZES!$A$114</f>
        <v>Név20</v>
      </c>
      <c r="B263" s="58" t="s">
        <v>2</v>
      </c>
      <c r="C263" s="33"/>
      <c r="D263" s="33"/>
      <c r="E263" s="33"/>
      <c r="F263" s="33"/>
      <c r="G263" s="14"/>
      <c r="H263" s="58" t="s">
        <v>2</v>
      </c>
      <c r="I263" s="58" t="s">
        <v>2</v>
      </c>
      <c r="J263" s="33"/>
      <c r="K263" s="33"/>
      <c r="L263" s="33"/>
      <c r="M263" s="33"/>
      <c r="N263" s="14"/>
      <c r="O263" s="58" t="s">
        <v>2</v>
      </c>
      <c r="P263" s="58" t="s">
        <v>2</v>
      </c>
      <c r="Q263" s="33"/>
      <c r="R263" s="33"/>
      <c r="S263" s="33"/>
      <c r="T263" s="33"/>
      <c r="U263" s="14"/>
      <c r="V263" s="58" t="s">
        <v>2</v>
      </c>
      <c r="W263" s="58" t="s">
        <v>2</v>
      </c>
      <c r="X263" s="33"/>
      <c r="Y263" s="33"/>
      <c r="Z263" s="33"/>
      <c r="AA263" s="33"/>
      <c r="AB263" s="14"/>
      <c r="AC263" s="58" t="s">
        <v>2</v>
      </c>
      <c r="AD263" s="58" t="s">
        <v>2</v>
      </c>
      <c r="AE263" s="33"/>
      <c r="AF263" s="1"/>
      <c r="AH263" s="16">
        <f t="shared" si="30"/>
        <v>0</v>
      </c>
      <c r="AI263" s="16">
        <f t="shared" si="31"/>
        <v>0</v>
      </c>
    </row>
    <row r="264" spans="1:35" s="13" customFormat="1" ht="20.100000000000001" customHeight="1">
      <c r="A264" s="1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H264" s="9"/>
      <c r="AI264" s="9"/>
    </row>
    <row r="265" spans="1:35" s="6" customFormat="1" ht="20.100000000000001" customHeight="1">
      <c r="A265" s="91" t="s">
        <v>16</v>
      </c>
      <c r="B265" s="17">
        <v>1</v>
      </c>
      <c r="C265" s="17">
        <v>2</v>
      </c>
      <c r="D265" s="17">
        <v>3</v>
      </c>
      <c r="E265" s="17">
        <v>4</v>
      </c>
      <c r="F265" s="17">
        <v>5</v>
      </c>
      <c r="G265" s="17">
        <v>6</v>
      </c>
      <c r="H265" s="17">
        <v>7</v>
      </c>
      <c r="I265" s="17">
        <v>8</v>
      </c>
      <c r="J265" s="17">
        <v>9</v>
      </c>
      <c r="K265" s="17">
        <v>10</v>
      </c>
      <c r="L265" s="17">
        <v>11</v>
      </c>
      <c r="M265" s="17">
        <v>12</v>
      </c>
      <c r="N265" s="17">
        <v>13</v>
      </c>
      <c r="O265" s="17">
        <v>14</v>
      </c>
      <c r="P265" s="17">
        <v>15</v>
      </c>
      <c r="Q265" s="17">
        <v>16</v>
      </c>
      <c r="R265" s="17">
        <v>17</v>
      </c>
      <c r="S265" s="17">
        <v>18</v>
      </c>
      <c r="T265" s="17">
        <v>19</v>
      </c>
      <c r="U265" s="17">
        <v>20</v>
      </c>
      <c r="V265" s="17">
        <v>21</v>
      </c>
      <c r="W265" s="17">
        <v>22</v>
      </c>
      <c r="X265" s="17">
        <v>23</v>
      </c>
      <c r="Y265" s="17">
        <v>24</v>
      </c>
      <c r="Z265" s="19">
        <v>25</v>
      </c>
      <c r="AA265" s="19">
        <v>26</v>
      </c>
      <c r="AB265" s="17">
        <v>27</v>
      </c>
      <c r="AC265" s="17">
        <v>28</v>
      </c>
      <c r="AD265" s="17">
        <v>29</v>
      </c>
      <c r="AE265" s="17">
        <v>30</v>
      </c>
      <c r="AF265" s="17">
        <v>31</v>
      </c>
      <c r="AH265" s="93" t="s">
        <v>18</v>
      </c>
      <c r="AI265" s="93" t="s">
        <v>19</v>
      </c>
    </row>
    <row r="266" spans="1:35" ht="20.100000000000001" customHeight="1">
      <c r="A266" s="96"/>
      <c r="B266" s="10" t="str">
        <f>'2020'!B92</f>
        <v>K</v>
      </c>
      <c r="C266" s="10" t="str">
        <f>'2020'!C92</f>
        <v>Sze</v>
      </c>
      <c r="D266" s="10" t="str">
        <f>'2020'!D92</f>
        <v>Cs</v>
      </c>
      <c r="E266" s="10" t="str">
        <f>'2020'!E92</f>
        <v>P</v>
      </c>
      <c r="F266" s="10" t="str">
        <f>'2020'!F92</f>
        <v>Szo</v>
      </c>
      <c r="G266" s="10" t="str">
        <f>'2020'!G92</f>
        <v>V</v>
      </c>
      <c r="H266" s="10" t="str">
        <f>'2020'!H92</f>
        <v>H</v>
      </c>
      <c r="I266" s="10" t="str">
        <f>'2020'!I92</f>
        <v>K</v>
      </c>
      <c r="J266" s="10" t="str">
        <f>'2020'!J92</f>
        <v>Sze</v>
      </c>
      <c r="K266" s="10" t="str">
        <f>'2020'!K92</f>
        <v>Cs</v>
      </c>
      <c r="L266" s="10" t="str">
        <f>'2020'!L92</f>
        <v>P</v>
      </c>
      <c r="M266" s="10" t="str">
        <f>'2020'!M92</f>
        <v>Szo</v>
      </c>
      <c r="N266" s="10" t="str">
        <f>'2020'!N92</f>
        <v>V</v>
      </c>
      <c r="O266" s="10" t="str">
        <f>'2020'!O92</f>
        <v>H</v>
      </c>
      <c r="P266" s="10" t="str">
        <f>'2020'!P92</f>
        <v>K</v>
      </c>
      <c r="Q266" s="10" t="str">
        <f>'2020'!Q92</f>
        <v>Sze</v>
      </c>
      <c r="R266" s="10" t="str">
        <f>'2020'!R92</f>
        <v>Cs</v>
      </c>
      <c r="S266" s="10" t="str">
        <f>'2020'!S92</f>
        <v>P</v>
      </c>
      <c r="T266" s="10" t="str">
        <f>'2020'!T92</f>
        <v>Szo</v>
      </c>
      <c r="U266" s="10" t="str">
        <f>'2020'!U92</f>
        <v>V</v>
      </c>
      <c r="V266" s="10" t="str">
        <f>'2020'!V92</f>
        <v>H</v>
      </c>
      <c r="W266" s="10" t="str">
        <f>'2020'!W92</f>
        <v>K</v>
      </c>
      <c r="X266" s="10" t="str">
        <f>'2020'!X92</f>
        <v>Sze</v>
      </c>
      <c r="Y266" s="10" t="str">
        <f>'2020'!Y92</f>
        <v>Cs</v>
      </c>
      <c r="Z266" s="10" t="str">
        <f>'2020'!Z92</f>
        <v>P</v>
      </c>
      <c r="AA266" s="10" t="str">
        <f>'2020'!AA92</f>
        <v>Szo</v>
      </c>
      <c r="AB266" s="10" t="str">
        <f>'2020'!AB92</f>
        <v>V</v>
      </c>
      <c r="AC266" s="10" t="str">
        <f>'2020'!AC92</f>
        <v>H</v>
      </c>
      <c r="AD266" s="10" t="str">
        <f>'2020'!AD92</f>
        <v>K</v>
      </c>
      <c r="AE266" s="10" t="str">
        <f>'2020'!AE92</f>
        <v>Sze</v>
      </c>
      <c r="AF266" s="10" t="str">
        <f>'2020'!AF92</f>
        <v>Cs</v>
      </c>
      <c r="AH266" s="94"/>
      <c r="AI266" s="94"/>
    </row>
    <row r="267" spans="1:35" ht="20.100000000000001" customHeight="1">
      <c r="A267" s="96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H267" s="94"/>
      <c r="AI267" s="94"/>
    </row>
    <row r="268" spans="1:35" ht="20.100000000000001" customHeight="1">
      <c r="A268" s="18" t="str">
        <f>ÖSSZES!$A$95</f>
        <v>Kovács Kriszitán</v>
      </c>
      <c r="B268" s="33"/>
      <c r="C268" s="33"/>
      <c r="D268" s="33"/>
      <c r="E268" s="33"/>
      <c r="F268" s="58" t="s">
        <v>2</v>
      </c>
      <c r="G268" s="58" t="s">
        <v>2</v>
      </c>
      <c r="H268" s="33"/>
      <c r="I268" s="33"/>
      <c r="J268" s="33"/>
      <c r="K268" s="33"/>
      <c r="L268" s="33"/>
      <c r="M268" s="33"/>
      <c r="N268" s="58" t="s">
        <v>2</v>
      </c>
      <c r="O268" s="33"/>
      <c r="P268" s="33"/>
      <c r="Q268" s="33"/>
      <c r="R268" s="33"/>
      <c r="S268" s="33"/>
      <c r="T268" s="58" t="s">
        <v>2</v>
      </c>
      <c r="U268" s="58" t="s">
        <v>2</v>
      </c>
      <c r="V268" s="33"/>
      <c r="W268" s="33"/>
      <c r="X268" s="33"/>
      <c r="Y268" s="58" t="s">
        <v>2</v>
      </c>
      <c r="Z268" s="60" t="s">
        <v>75</v>
      </c>
      <c r="AA268" s="58" t="s">
        <v>2</v>
      </c>
      <c r="AB268" s="58" t="s">
        <v>2</v>
      </c>
      <c r="AC268" s="33"/>
      <c r="AD268" s="33"/>
      <c r="AE268" s="33"/>
      <c r="AF268" s="33"/>
      <c r="AH268" s="16">
        <f>1*COUNTIF(A268:AF268,"+")</f>
        <v>0</v>
      </c>
      <c r="AI268" s="16">
        <f t="shared" ref="AI268" si="32">1*COUNTIF(B268:AF268,"szf")</f>
        <v>0</v>
      </c>
    </row>
    <row r="269" spans="1:35" ht="20.100000000000001" customHeight="1">
      <c r="A269" s="18" t="str">
        <f>ÖSSZES!$A$96</f>
        <v>Besse Éva</v>
      </c>
      <c r="B269" s="33"/>
      <c r="C269" s="33"/>
      <c r="D269" s="33"/>
      <c r="E269" s="33"/>
      <c r="F269" s="58" t="s">
        <v>2</v>
      </c>
      <c r="G269" s="58" t="s">
        <v>2</v>
      </c>
      <c r="H269" s="33"/>
      <c r="I269" s="33"/>
      <c r="J269" s="33"/>
      <c r="K269" s="33"/>
      <c r="L269" s="33"/>
      <c r="M269" s="33"/>
      <c r="N269" s="58" t="s">
        <v>2</v>
      </c>
      <c r="O269" s="33"/>
      <c r="P269" s="33"/>
      <c r="Q269" s="33"/>
      <c r="R269" s="33"/>
      <c r="S269" s="33"/>
      <c r="T269" s="58" t="s">
        <v>2</v>
      </c>
      <c r="U269" s="58" t="s">
        <v>2</v>
      </c>
      <c r="V269" s="33"/>
      <c r="W269" s="33"/>
      <c r="X269" s="33"/>
      <c r="Y269" s="58" t="s">
        <v>2</v>
      </c>
      <c r="Z269" s="60" t="s">
        <v>75</v>
      </c>
      <c r="AA269" s="58" t="s">
        <v>2</v>
      </c>
      <c r="AB269" s="58" t="s">
        <v>2</v>
      </c>
      <c r="AC269" s="33"/>
      <c r="AD269" s="33"/>
      <c r="AE269" s="33"/>
      <c r="AF269" s="33"/>
      <c r="AH269" s="16">
        <f t="shared" ref="AH269:AH287" si="33">1*COUNTIF(A269:AF269,"+")</f>
        <v>0</v>
      </c>
      <c r="AI269" s="16">
        <f t="shared" ref="AI269:AI287" si="34">1*COUNTIF(B269:AF269,"szf")</f>
        <v>0</v>
      </c>
    </row>
    <row r="270" spans="1:35" ht="20.100000000000001" customHeight="1">
      <c r="A270" s="18" t="str">
        <f>ÖSSZES!$A$97</f>
        <v>Oláh Erika</v>
      </c>
      <c r="B270" s="33"/>
      <c r="C270" s="33"/>
      <c r="D270" s="33"/>
      <c r="E270" s="33"/>
      <c r="F270" s="58" t="s">
        <v>2</v>
      </c>
      <c r="G270" s="58" t="s">
        <v>2</v>
      </c>
      <c r="H270" s="33"/>
      <c r="I270" s="33"/>
      <c r="J270" s="33"/>
      <c r="K270" s="33"/>
      <c r="L270" s="33"/>
      <c r="M270" s="33"/>
      <c r="N270" s="58" t="s">
        <v>2</v>
      </c>
      <c r="O270" s="33"/>
      <c r="P270" s="33"/>
      <c r="Q270" s="33"/>
      <c r="R270" s="33"/>
      <c r="S270" s="33"/>
      <c r="T270" s="58" t="s">
        <v>2</v>
      </c>
      <c r="U270" s="58" t="s">
        <v>2</v>
      </c>
      <c r="V270" s="33"/>
      <c r="W270" s="33"/>
      <c r="X270" s="33"/>
      <c r="Y270" s="58" t="s">
        <v>2</v>
      </c>
      <c r="Z270" s="60" t="s">
        <v>75</v>
      </c>
      <c r="AA270" s="58" t="s">
        <v>2</v>
      </c>
      <c r="AB270" s="58" t="s">
        <v>2</v>
      </c>
      <c r="AC270" s="33"/>
      <c r="AD270" s="33"/>
      <c r="AE270" s="33"/>
      <c r="AF270" s="33"/>
      <c r="AH270" s="16">
        <f t="shared" si="33"/>
        <v>0</v>
      </c>
      <c r="AI270" s="16">
        <f t="shared" si="34"/>
        <v>0</v>
      </c>
    </row>
    <row r="271" spans="1:35" ht="20.100000000000001" customHeight="1">
      <c r="A271" s="18" t="str">
        <f>ÖSSZES!$A$98</f>
        <v>Bulyáki Csaba</v>
      </c>
      <c r="B271" s="33"/>
      <c r="C271" s="33"/>
      <c r="D271" s="33"/>
      <c r="E271" s="33"/>
      <c r="F271" s="58" t="s">
        <v>2</v>
      </c>
      <c r="G271" s="58" t="s">
        <v>2</v>
      </c>
      <c r="H271" s="33"/>
      <c r="I271" s="33"/>
      <c r="J271" s="33"/>
      <c r="K271" s="33"/>
      <c r="L271" s="33"/>
      <c r="M271" s="33" t="s">
        <v>20</v>
      </c>
      <c r="N271" s="58" t="s">
        <v>2</v>
      </c>
      <c r="O271" s="33"/>
      <c r="P271" s="33"/>
      <c r="Q271" s="33"/>
      <c r="R271" s="33"/>
      <c r="S271" s="33"/>
      <c r="T271" s="58" t="s">
        <v>2</v>
      </c>
      <c r="U271" s="58" t="s">
        <v>2</v>
      </c>
      <c r="V271" s="33" t="s">
        <v>20</v>
      </c>
      <c r="W271" s="33" t="s">
        <v>20</v>
      </c>
      <c r="X271" s="33" t="s">
        <v>20</v>
      </c>
      <c r="Y271" s="58" t="s">
        <v>2</v>
      </c>
      <c r="Z271" s="60" t="s">
        <v>75</v>
      </c>
      <c r="AA271" s="58" t="s">
        <v>2</v>
      </c>
      <c r="AB271" s="58" t="s">
        <v>2</v>
      </c>
      <c r="AC271" s="33" t="s">
        <v>20</v>
      </c>
      <c r="AD271" s="33" t="s">
        <v>20</v>
      </c>
      <c r="AE271" s="33" t="s">
        <v>20</v>
      </c>
      <c r="AF271" s="33" t="s">
        <v>20</v>
      </c>
      <c r="AH271" s="16">
        <f t="shared" si="33"/>
        <v>0</v>
      </c>
      <c r="AI271" s="16">
        <f t="shared" si="34"/>
        <v>8</v>
      </c>
    </row>
    <row r="272" spans="1:35" ht="20.100000000000001" customHeight="1">
      <c r="A272" s="18" t="str">
        <f>ÖSSZES!$A$99</f>
        <v>Fekete Tamás</v>
      </c>
      <c r="B272" s="33"/>
      <c r="C272" s="33"/>
      <c r="D272" s="33"/>
      <c r="E272" s="33"/>
      <c r="F272" s="58" t="s">
        <v>2</v>
      </c>
      <c r="G272" s="58" t="s">
        <v>2</v>
      </c>
      <c r="H272" s="33"/>
      <c r="I272" s="33"/>
      <c r="J272" s="33"/>
      <c r="K272" s="33"/>
      <c r="L272" s="33"/>
      <c r="M272" s="33"/>
      <c r="N272" s="58" t="s">
        <v>2</v>
      </c>
      <c r="O272" s="33"/>
      <c r="P272" s="33"/>
      <c r="Q272" s="33"/>
      <c r="R272" s="33"/>
      <c r="S272" s="33"/>
      <c r="T272" s="58" t="s">
        <v>2</v>
      </c>
      <c r="U272" s="58" t="s">
        <v>2</v>
      </c>
      <c r="V272" s="33"/>
      <c r="W272" s="33"/>
      <c r="X272" s="33"/>
      <c r="Y272" s="58" t="s">
        <v>2</v>
      </c>
      <c r="Z272" s="60" t="s">
        <v>75</v>
      </c>
      <c r="AA272" s="58" t="s">
        <v>2</v>
      </c>
      <c r="AB272" s="58" t="s">
        <v>2</v>
      </c>
      <c r="AC272" s="33"/>
      <c r="AD272" s="33"/>
      <c r="AE272" s="33"/>
      <c r="AF272" s="33"/>
      <c r="AH272" s="16">
        <f t="shared" si="33"/>
        <v>0</v>
      </c>
      <c r="AI272" s="16">
        <f t="shared" si="34"/>
        <v>0</v>
      </c>
    </row>
    <row r="273" spans="1:35" ht="20.100000000000001" customHeight="1">
      <c r="A273" s="18" t="str">
        <f>ÖSSZES!$A$100</f>
        <v>Péter Csaba</v>
      </c>
      <c r="B273" s="33"/>
      <c r="C273" s="33"/>
      <c r="D273" s="33"/>
      <c r="E273" s="33"/>
      <c r="F273" s="58" t="s">
        <v>2</v>
      </c>
      <c r="G273" s="58" t="s">
        <v>2</v>
      </c>
      <c r="H273" s="33"/>
      <c r="I273" s="33"/>
      <c r="J273" s="33"/>
      <c r="K273" s="33"/>
      <c r="L273" s="33"/>
      <c r="M273" s="33"/>
      <c r="N273" s="58" t="s">
        <v>2</v>
      </c>
      <c r="O273" s="33"/>
      <c r="P273" s="33"/>
      <c r="Q273" s="33"/>
      <c r="R273" s="33"/>
      <c r="S273" s="33"/>
      <c r="T273" s="58" t="s">
        <v>2</v>
      </c>
      <c r="U273" s="58" t="s">
        <v>2</v>
      </c>
      <c r="V273" s="33"/>
      <c r="W273" s="33"/>
      <c r="X273" s="33"/>
      <c r="Y273" s="58" t="s">
        <v>2</v>
      </c>
      <c r="Z273" s="60" t="s">
        <v>75</v>
      </c>
      <c r="AA273" s="58" t="s">
        <v>2</v>
      </c>
      <c r="AB273" s="58" t="s">
        <v>2</v>
      </c>
      <c r="AC273" s="33"/>
      <c r="AD273" s="33"/>
      <c r="AE273" s="33"/>
      <c r="AF273" s="33"/>
      <c r="AH273" s="16">
        <f t="shared" si="33"/>
        <v>0</v>
      </c>
      <c r="AI273" s="16">
        <f t="shared" si="34"/>
        <v>0</v>
      </c>
    </row>
    <row r="274" spans="1:35" ht="20.100000000000001" customHeight="1">
      <c r="A274" s="18" t="str">
        <f>ÖSSZES!$A$101</f>
        <v>Tóth János</v>
      </c>
      <c r="B274" s="33"/>
      <c r="C274" s="33"/>
      <c r="D274" s="33"/>
      <c r="E274" s="33"/>
      <c r="F274" s="58" t="s">
        <v>2</v>
      </c>
      <c r="G274" s="58" t="s">
        <v>2</v>
      </c>
      <c r="H274" s="33"/>
      <c r="I274" s="33"/>
      <c r="J274" s="33"/>
      <c r="K274" s="33"/>
      <c r="L274" s="33"/>
      <c r="M274" s="33"/>
      <c r="N274" s="58" t="s">
        <v>2</v>
      </c>
      <c r="O274" s="33"/>
      <c r="P274" s="33"/>
      <c r="Q274" s="33"/>
      <c r="R274" s="33"/>
      <c r="S274" s="33"/>
      <c r="T274" s="58" t="s">
        <v>2</v>
      </c>
      <c r="U274" s="58" t="s">
        <v>2</v>
      </c>
      <c r="V274" s="33"/>
      <c r="W274" s="33"/>
      <c r="X274" s="33"/>
      <c r="Y274" s="58" t="s">
        <v>2</v>
      </c>
      <c r="Z274" s="60" t="s">
        <v>75</v>
      </c>
      <c r="AA274" s="58" t="s">
        <v>2</v>
      </c>
      <c r="AB274" s="58" t="s">
        <v>2</v>
      </c>
      <c r="AC274" s="33"/>
      <c r="AD274" s="33"/>
      <c r="AE274" s="33"/>
      <c r="AF274" s="33"/>
      <c r="AH274" s="16">
        <f t="shared" si="33"/>
        <v>0</v>
      </c>
      <c r="AI274" s="16">
        <f t="shared" si="34"/>
        <v>0</v>
      </c>
    </row>
    <row r="275" spans="1:35" ht="20.100000000000001" customHeight="1">
      <c r="A275" s="18" t="str">
        <f>ÖSSZES!$A$102</f>
        <v>Tóth Krisztián</v>
      </c>
      <c r="B275" s="33"/>
      <c r="C275" s="33"/>
      <c r="D275" s="33"/>
      <c r="E275" s="33"/>
      <c r="F275" s="58" t="s">
        <v>2</v>
      </c>
      <c r="G275" s="58" t="s">
        <v>2</v>
      </c>
      <c r="H275" s="33"/>
      <c r="I275" s="33"/>
      <c r="J275" s="33"/>
      <c r="K275" s="33"/>
      <c r="L275" s="33"/>
      <c r="M275" s="33"/>
      <c r="N275" s="58" t="s">
        <v>2</v>
      </c>
      <c r="O275" s="33"/>
      <c r="P275" s="33"/>
      <c r="Q275" s="33"/>
      <c r="R275" s="33"/>
      <c r="S275" s="33"/>
      <c r="T275" s="58" t="s">
        <v>2</v>
      </c>
      <c r="U275" s="58" t="s">
        <v>2</v>
      </c>
      <c r="V275" s="33"/>
      <c r="W275" s="33"/>
      <c r="X275" s="33"/>
      <c r="Y275" s="58" t="s">
        <v>2</v>
      </c>
      <c r="Z275" s="60" t="s">
        <v>75</v>
      </c>
      <c r="AA275" s="58" t="s">
        <v>2</v>
      </c>
      <c r="AB275" s="58" t="s">
        <v>2</v>
      </c>
      <c r="AC275" s="33"/>
      <c r="AD275" s="33"/>
      <c r="AE275" s="33"/>
      <c r="AF275" s="33"/>
      <c r="AH275" s="16">
        <f t="shared" si="33"/>
        <v>0</v>
      </c>
      <c r="AI275" s="16">
        <f t="shared" si="34"/>
        <v>0</v>
      </c>
    </row>
    <row r="276" spans="1:35" ht="20.100000000000001" customHeight="1">
      <c r="A276" s="18" t="str">
        <f>ÖSSZES!$A$103</f>
        <v>Tassi Szilárd</v>
      </c>
      <c r="B276" s="33"/>
      <c r="C276" s="33"/>
      <c r="D276" s="33"/>
      <c r="E276" s="33"/>
      <c r="F276" s="58" t="s">
        <v>2</v>
      </c>
      <c r="G276" s="58" t="s">
        <v>2</v>
      </c>
      <c r="H276" s="33"/>
      <c r="I276" s="33"/>
      <c r="J276" s="33"/>
      <c r="K276" s="33"/>
      <c r="L276" s="33"/>
      <c r="M276" s="33"/>
      <c r="N276" s="58" t="s">
        <v>2</v>
      </c>
      <c r="O276" s="33"/>
      <c r="P276" s="33"/>
      <c r="Q276" s="33"/>
      <c r="R276" s="33"/>
      <c r="S276" s="33"/>
      <c r="T276" s="58" t="s">
        <v>2</v>
      </c>
      <c r="U276" s="58" t="s">
        <v>2</v>
      </c>
      <c r="V276" s="33"/>
      <c r="W276" s="33"/>
      <c r="X276" s="33"/>
      <c r="Y276" s="58" t="s">
        <v>2</v>
      </c>
      <c r="Z276" s="60" t="s">
        <v>75</v>
      </c>
      <c r="AA276" s="58" t="s">
        <v>2</v>
      </c>
      <c r="AB276" s="58" t="s">
        <v>2</v>
      </c>
      <c r="AC276" s="33"/>
      <c r="AD276" s="33"/>
      <c r="AE276" s="33"/>
      <c r="AF276" s="33"/>
      <c r="AH276" s="16">
        <f t="shared" si="33"/>
        <v>0</v>
      </c>
      <c r="AI276" s="16">
        <f t="shared" si="34"/>
        <v>0</v>
      </c>
    </row>
    <row r="277" spans="1:35" ht="20.100000000000001" customHeight="1">
      <c r="A277" s="18" t="str">
        <f>ÖSSZES!$A$104</f>
        <v>Dancsi Attila</v>
      </c>
      <c r="B277" s="33"/>
      <c r="C277" s="33"/>
      <c r="D277" s="33"/>
      <c r="E277" s="33"/>
      <c r="F277" s="58" t="s">
        <v>2</v>
      </c>
      <c r="G277" s="58" t="s">
        <v>2</v>
      </c>
      <c r="H277" s="33"/>
      <c r="I277" s="33"/>
      <c r="J277" s="33"/>
      <c r="K277" s="33"/>
      <c r="L277" s="33"/>
      <c r="M277" s="33"/>
      <c r="N277" s="58" t="s">
        <v>2</v>
      </c>
      <c r="O277" s="33"/>
      <c r="P277" s="33"/>
      <c r="Q277" s="33"/>
      <c r="R277" s="33"/>
      <c r="S277" s="33"/>
      <c r="T277" s="58" t="s">
        <v>2</v>
      </c>
      <c r="U277" s="58" t="s">
        <v>2</v>
      </c>
      <c r="V277" s="33"/>
      <c r="W277" s="33"/>
      <c r="X277" s="33"/>
      <c r="Y277" s="58" t="s">
        <v>2</v>
      </c>
      <c r="Z277" s="60" t="s">
        <v>75</v>
      </c>
      <c r="AA277" s="58" t="s">
        <v>2</v>
      </c>
      <c r="AB277" s="58" t="s">
        <v>2</v>
      </c>
      <c r="AC277" s="33"/>
      <c r="AD277" s="33"/>
      <c r="AE277" s="33"/>
      <c r="AF277" s="33"/>
      <c r="AH277" s="16">
        <f t="shared" si="33"/>
        <v>0</v>
      </c>
      <c r="AI277" s="16">
        <f t="shared" si="34"/>
        <v>0</v>
      </c>
    </row>
    <row r="278" spans="1:35" ht="20.100000000000001" customHeight="1">
      <c r="A278" s="18" t="str">
        <f>ÖSSZES!$A$105</f>
        <v>Iványi Roland</v>
      </c>
      <c r="B278" s="33"/>
      <c r="C278" s="33"/>
      <c r="D278" s="33"/>
      <c r="E278" s="33"/>
      <c r="F278" s="58" t="s">
        <v>2</v>
      </c>
      <c r="G278" s="58" t="s">
        <v>2</v>
      </c>
      <c r="H278" s="33"/>
      <c r="I278" s="33"/>
      <c r="J278" s="33"/>
      <c r="K278" s="33"/>
      <c r="L278" s="33"/>
      <c r="M278" s="33"/>
      <c r="N278" s="58" t="s">
        <v>2</v>
      </c>
      <c r="O278" s="33"/>
      <c r="P278" s="33"/>
      <c r="Q278" s="33"/>
      <c r="R278" s="33"/>
      <c r="S278" s="33"/>
      <c r="T278" s="58" t="s">
        <v>2</v>
      </c>
      <c r="U278" s="58" t="s">
        <v>2</v>
      </c>
      <c r="V278" s="33"/>
      <c r="W278" s="33"/>
      <c r="X278" s="33"/>
      <c r="Y278" s="58" t="s">
        <v>2</v>
      </c>
      <c r="Z278" s="60" t="s">
        <v>75</v>
      </c>
      <c r="AA278" s="58" t="s">
        <v>2</v>
      </c>
      <c r="AB278" s="58" t="s">
        <v>2</v>
      </c>
      <c r="AC278" s="33"/>
      <c r="AD278" s="33"/>
      <c r="AE278" s="33"/>
      <c r="AF278" s="33"/>
      <c r="AH278" s="16">
        <f t="shared" si="33"/>
        <v>0</v>
      </c>
      <c r="AI278" s="16">
        <f t="shared" si="34"/>
        <v>0</v>
      </c>
    </row>
    <row r="279" spans="1:35" ht="20.100000000000001" hidden="1" customHeight="1">
      <c r="A279" s="18" t="str">
        <f>ÖSSZES!$A$106</f>
        <v>Név12</v>
      </c>
      <c r="B279" s="33"/>
      <c r="C279" s="33"/>
      <c r="D279" s="33"/>
      <c r="E279" s="33"/>
      <c r="F279" s="58" t="s">
        <v>2</v>
      </c>
      <c r="G279" s="58" t="s">
        <v>2</v>
      </c>
      <c r="H279" s="33"/>
      <c r="I279" s="33"/>
      <c r="J279" s="33"/>
      <c r="K279" s="33"/>
      <c r="L279" s="33"/>
      <c r="M279" s="33"/>
      <c r="N279" s="58" t="s">
        <v>2</v>
      </c>
      <c r="O279" s="33"/>
      <c r="P279" s="33"/>
      <c r="Q279" s="33"/>
      <c r="R279" s="33"/>
      <c r="S279" s="33"/>
      <c r="T279" s="58" t="s">
        <v>2</v>
      </c>
      <c r="U279" s="58" t="s">
        <v>2</v>
      </c>
      <c r="V279" s="33"/>
      <c r="W279" s="33"/>
      <c r="X279" s="33"/>
      <c r="Y279" s="58" t="s">
        <v>2</v>
      </c>
      <c r="Z279" s="60" t="s">
        <v>75</v>
      </c>
      <c r="AA279" s="58" t="s">
        <v>2</v>
      </c>
      <c r="AB279" s="58" t="s">
        <v>2</v>
      </c>
      <c r="AC279" s="33"/>
      <c r="AD279" s="33"/>
      <c r="AE279" s="33"/>
      <c r="AF279" s="33"/>
      <c r="AH279" s="16">
        <f t="shared" si="33"/>
        <v>0</v>
      </c>
      <c r="AI279" s="16">
        <f t="shared" si="34"/>
        <v>0</v>
      </c>
    </row>
    <row r="280" spans="1:35" ht="20.100000000000001" hidden="1" customHeight="1">
      <c r="A280" s="18" t="str">
        <f>ÖSSZES!$A$107</f>
        <v>Név13</v>
      </c>
      <c r="B280" s="33"/>
      <c r="C280" s="33"/>
      <c r="D280" s="33"/>
      <c r="E280" s="33"/>
      <c r="F280" s="58" t="s">
        <v>2</v>
      </c>
      <c r="G280" s="58" t="s">
        <v>2</v>
      </c>
      <c r="H280" s="33"/>
      <c r="I280" s="33"/>
      <c r="J280" s="33"/>
      <c r="K280" s="33"/>
      <c r="L280" s="33"/>
      <c r="M280" s="33"/>
      <c r="N280" s="58" t="s">
        <v>2</v>
      </c>
      <c r="O280" s="33"/>
      <c r="P280" s="33"/>
      <c r="Q280" s="33"/>
      <c r="R280" s="33"/>
      <c r="S280" s="33"/>
      <c r="T280" s="58" t="s">
        <v>2</v>
      </c>
      <c r="U280" s="58" t="s">
        <v>2</v>
      </c>
      <c r="V280" s="33"/>
      <c r="W280" s="33"/>
      <c r="X280" s="33"/>
      <c r="Y280" s="58" t="s">
        <v>2</v>
      </c>
      <c r="Z280" s="60" t="s">
        <v>75</v>
      </c>
      <c r="AA280" s="58" t="s">
        <v>2</v>
      </c>
      <c r="AB280" s="58" t="s">
        <v>2</v>
      </c>
      <c r="AC280" s="33"/>
      <c r="AD280" s="33"/>
      <c r="AE280" s="33"/>
      <c r="AF280" s="33"/>
      <c r="AH280" s="16">
        <f t="shared" si="33"/>
        <v>0</v>
      </c>
      <c r="AI280" s="16">
        <f t="shared" si="34"/>
        <v>0</v>
      </c>
    </row>
    <row r="281" spans="1:35" ht="20.100000000000001" hidden="1" customHeight="1">
      <c r="A281" s="18" t="str">
        <f>ÖSSZES!$A$108</f>
        <v>Név14</v>
      </c>
      <c r="B281" s="33"/>
      <c r="C281" s="33"/>
      <c r="D281" s="33"/>
      <c r="E281" s="33"/>
      <c r="F281" s="58" t="s">
        <v>2</v>
      </c>
      <c r="G281" s="58" t="s">
        <v>2</v>
      </c>
      <c r="H281" s="33"/>
      <c r="I281" s="33"/>
      <c r="J281" s="33"/>
      <c r="K281" s="33"/>
      <c r="L281" s="33"/>
      <c r="M281" s="33"/>
      <c r="N281" s="58" t="s">
        <v>2</v>
      </c>
      <c r="O281" s="33"/>
      <c r="P281" s="33"/>
      <c r="Q281" s="33"/>
      <c r="R281" s="33"/>
      <c r="S281" s="33"/>
      <c r="T281" s="58" t="s">
        <v>2</v>
      </c>
      <c r="U281" s="58" t="s">
        <v>2</v>
      </c>
      <c r="V281" s="33"/>
      <c r="W281" s="33"/>
      <c r="X281" s="33"/>
      <c r="Y281" s="58" t="s">
        <v>2</v>
      </c>
      <c r="Z281" s="60" t="s">
        <v>75</v>
      </c>
      <c r="AA281" s="58" t="s">
        <v>2</v>
      </c>
      <c r="AB281" s="58" t="s">
        <v>2</v>
      </c>
      <c r="AC281" s="33"/>
      <c r="AD281" s="33"/>
      <c r="AE281" s="33"/>
      <c r="AF281" s="33"/>
      <c r="AH281" s="16">
        <f t="shared" si="33"/>
        <v>0</v>
      </c>
      <c r="AI281" s="16">
        <f t="shared" si="34"/>
        <v>0</v>
      </c>
    </row>
    <row r="282" spans="1:35" ht="20.100000000000001" hidden="1" customHeight="1">
      <c r="A282" s="18" t="str">
        <f>ÖSSZES!$A$109</f>
        <v>Név15</v>
      </c>
      <c r="B282" s="33"/>
      <c r="C282" s="33"/>
      <c r="D282" s="33"/>
      <c r="E282" s="33"/>
      <c r="F282" s="58" t="s">
        <v>2</v>
      </c>
      <c r="G282" s="58" t="s">
        <v>2</v>
      </c>
      <c r="H282" s="33"/>
      <c r="I282" s="33"/>
      <c r="J282" s="33"/>
      <c r="K282" s="33"/>
      <c r="L282" s="33"/>
      <c r="M282" s="33"/>
      <c r="N282" s="58" t="s">
        <v>2</v>
      </c>
      <c r="O282" s="33"/>
      <c r="P282" s="33"/>
      <c r="Q282" s="33"/>
      <c r="R282" s="33"/>
      <c r="S282" s="33"/>
      <c r="T282" s="58" t="s">
        <v>2</v>
      </c>
      <c r="U282" s="58" t="s">
        <v>2</v>
      </c>
      <c r="V282" s="33"/>
      <c r="W282" s="33"/>
      <c r="X282" s="33"/>
      <c r="Y282" s="58" t="s">
        <v>2</v>
      </c>
      <c r="Z282" s="60" t="s">
        <v>75</v>
      </c>
      <c r="AA282" s="58" t="s">
        <v>2</v>
      </c>
      <c r="AB282" s="58" t="s">
        <v>2</v>
      </c>
      <c r="AC282" s="33"/>
      <c r="AD282" s="33"/>
      <c r="AE282" s="33"/>
      <c r="AF282" s="33"/>
      <c r="AH282" s="16">
        <f t="shared" si="33"/>
        <v>0</v>
      </c>
      <c r="AI282" s="16">
        <f t="shared" si="34"/>
        <v>0</v>
      </c>
    </row>
    <row r="283" spans="1:35" ht="20.100000000000001" hidden="1" customHeight="1">
      <c r="A283" s="18" t="str">
        <f>ÖSSZES!$A$110</f>
        <v>Név16</v>
      </c>
      <c r="B283" s="33"/>
      <c r="C283" s="33"/>
      <c r="D283" s="33"/>
      <c r="E283" s="33"/>
      <c r="F283" s="58" t="s">
        <v>2</v>
      </c>
      <c r="G283" s="58" t="s">
        <v>2</v>
      </c>
      <c r="H283" s="33"/>
      <c r="I283" s="33"/>
      <c r="J283" s="33"/>
      <c r="K283" s="33"/>
      <c r="L283" s="33"/>
      <c r="M283" s="33"/>
      <c r="N283" s="58" t="s">
        <v>2</v>
      </c>
      <c r="O283" s="33"/>
      <c r="P283" s="33"/>
      <c r="Q283" s="33"/>
      <c r="R283" s="33"/>
      <c r="S283" s="33"/>
      <c r="T283" s="58" t="s">
        <v>2</v>
      </c>
      <c r="U283" s="58" t="s">
        <v>2</v>
      </c>
      <c r="V283" s="33"/>
      <c r="W283" s="33"/>
      <c r="X283" s="33"/>
      <c r="Y283" s="58" t="s">
        <v>2</v>
      </c>
      <c r="Z283" s="60" t="s">
        <v>75</v>
      </c>
      <c r="AA283" s="58" t="s">
        <v>2</v>
      </c>
      <c r="AB283" s="58" t="s">
        <v>2</v>
      </c>
      <c r="AC283" s="33"/>
      <c r="AD283" s="33"/>
      <c r="AE283" s="33"/>
      <c r="AF283" s="33"/>
      <c r="AH283" s="16">
        <f t="shared" si="33"/>
        <v>0</v>
      </c>
      <c r="AI283" s="16">
        <f t="shared" si="34"/>
        <v>0</v>
      </c>
    </row>
    <row r="284" spans="1:35" ht="20.100000000000001" hidden="1" customHeight="1">
      <c r="A284" s="18" t="str">
        <f>ÖSSZES!$A$111</f>
        <v>Név17</v>
      </c>
      <c r="B284" s="33"/>
      <c r="C284" s="33"/>
      <c r="D284" s="33"/>
      <c r="E284" s="33"/>
      <c r="F284" s="58" t="s">
        <v>2</v>
      </c>
      <c r="G284" s="58" t="s">
        <v>2</v>
      </c>
      <c r="H284" s="33"/>
      <c r="I284" s="33"/>
      <c r="J284" s="33"/>
      <c r="K284" s="33"/>
      <c r="L284" s="33"/>
      <c r="M284" s="33"/>
      <c r="N284" s="58" t="s">
        <v>2</v>
      </c>
      <c r="O284" s="33"/>
      <c r="P284" s="33"/>
      <c r="Q284" s="33"/>
      <c r="R284" s="33"/>
      <c r="S284" s="33"/>
      <c r="T284" s="58" t="s">
        <v>2</v>
      </c>
      <c r="U284" s="58" t="s">
        <v>2</v>
      </c>
      <c r="V284" s="33"/>
      <c r="W284" s="33"/>
      <c r="X284" s="33"/>
      <c r="Y284" s="58" t="s">
        <v>2</v>
      </c>
      <c r="Z284" s="60" t="s">
        <v>75</v>
      </c>
      <c r="AA284" s="58" t="s">
        <v>2</v>
      </c>
      <c r="AB284" s="58" t="s">
        <v>2</v>
      </c>
      <c r="AC284" s="33"/>
      <c r="AD284" s="33"/>
      <c r="AE284" s="33"/>
      <c r="AF284" s="33"/>
      <c r="AH284" s="16">
        <f t="shared" si="33"/>
        <v>0</v>
      </c>
      <c r="AI284" s="16">
        <f t="shared" si="34"/>
        <v>0</v>
      </c>
    </row>
    <row r="285" spans="1:35" ht="20.100000000000001" hidden="1" customHeight="1">
      <c r="A285" s="18" t="str">
        <f>ÖSSZES!$A$112</f>
        <v>Név18</v>
      </c>
      <c r="B285" s="33"/>
      <c r="C285" s="33"/>
      <c r="D285" s="33"/>
      <c r="E285" s="33"/>
      <c r="F285" s="58" t="s">
        <v>2</v>
      </c>
      <c r="G285" s="58" t="s">
        <v>2</v>
      </c>
      <c r="H285" s="33"/>
      <c r="I285" s="33"/>
      <c r="J285" s="33"/>
      <c r="K285" s="33"/>
      <c r="L285" s="33"/>
      <c r="M285" s="33"/>
      <c r="N285" s="58" t="s">
        <v>2</v>
      </c>
      <c r="O285" s="33"/>
      <c r="P285" s="33"/>
      <c r="Q285" s="33"/>
      <c r="R285" s="33"/>
      <c r="S285" s="33"/>
      <c r="T285" s="58" t="s">
        <v>2</v>
      </c>
      <c r="U285" s="58" t="s">
        <v>2</v>
      </c>
      <c r="V285" s="33"/>
      <c r="W285" s="33"/>
      <c r="X285" s="33"/>
      <c r="Y285" s="58" t="s">
        <v>2</v>
      </c>
      <c r="Z285" s="60" t="s">
        <v>75</v>
      </c>
      <c r="AA285" s="58" t="s">
        <v>2</v>
      </c>
      <c r="AB285" s="58" t="s">
        <v>2</v>
      </c>
      <c r="AC285" s="33"/>
      <c r="AD285" s="33"/>
      <c r="AE285" s="33"/>
      <c r="AF285" s="33"/>
      <c r="AH285" s="16">
        <f t="shared" si="33"/>
        <v>0</v>
      </c>
      <c r="AI285" s="16">
        <f t="shared" si="34"/>
        <v>0</v>
      </c>
    </row>
    <row r="286" spans="1:35" ht="20.100000000000001" hidden="1" customHeight="1">
      <c r="A286" s="18" t="str">
        <f>ÖSSZES!$A$113</f>
        <v>Név19</v>
      </c>
      <c r="B286" s="33"/>
      <c r="C286" s="33"/>
      <c r="D286" s="33"/>
      <c r="E286" s="33"/>
      <c r="F286" s="58" t="s">
        <v>2</v>
      </c>
      <c r="G286" s="58" t="s">
        <v>2</v>
      </c>
      <c r="H286" s="33"/>
      <c r="I286" s="33"/>
      <c r="J286" s="33"/>
      <c r="K286" s="33"/>
      <c r="L286" s="33"/>
      <c r="M286" s="33"/>
      <c r="N286" s="58" t="s">
        <v>2</v>
      </c>
      <c r="O286" s="33"/>
      <c r="P286" s="33"/>
      <c r="Q286" s="33"/>
      <c r="R286" s="33"/>
      <c r="S286" s="33"/>
      <c r="T286" s="58" t="s">
        <v>2</v>
      </c>
      <c r="U286" s="58" t="s">
        <v>2</v>
      </c>
      <c r="V286" s="33"/>
      <c r="W286" s="33"/>
      <c r="X286" s="33"/>
      <c r="Y286" s="58" t="s">
        <v>2</v>
      </c>
      <c r="Z286" s="60" t="s">
        <v>75</v>
      </c>
      <c r="AA286" s="58" t="s">
        <v>2</v>
      </c>
      <c r="AB286" s="58" t="s">
        <v>2</v>
      </c>
      <c r="AC286" s="33"/>
      <c r="AD286" s="33"/>
      <c r="AE286" s="33"/>
      <c r="AF286" s="33"/>
      <c r="AH286" s="16">
        <f t="shared" si="33"/>
        <v>0</v>
      </c>
      <c r="AI286" s="16">
        <f t="shared" si="34"/>
        <v>0</v>
      </c>
    </row>
    <row r="287" spans="1:35" ht="20.100000000000001" hidden="1" customHeight="1">
      <c r="A287" s="18" t="str">
        <f>ÖSSZES!$A$114</f>
        <v>Név20</v>
      </c>
      <c r="B287" s="33"/>
      <c r="C287" s="33"/>
      <c r="D287" s="33"/>
      <c r="E287" s="33"/>
      <c r="F287" s="58" t="s">
        <v>2</v>
      </c>
      <c r="G287" s="58" t="s">
        <v>2</v>
      </c>
      <c r="H287" s="33"/>
      <c r="I287" s="33"/>
      <c r="J287" s="33"/>
      <c r="K287" s="33"/>
      <c r="L287" s="33"/>
      <c r="M287" s="33"/>
      <c r="N287" s="58" t="s">
        <v>2</v>
      </c>
      <c r="O287" s="33"/>
      <c r="P287" s="33"/>
      <c r="Q287" s="33"/>
      <c r="R287" s="33"/>
      <c r="S287" s="33"/>
      <c r="T287" s="58" t="s">
        <v>2</v>
      </c>
      <c r="U287" s="58" t="s">
        <v>2</v>
      </c>
      <c r="V287" s="33"/>
      <c r="W287" s="33"/>
      <c r="X287" s="33"/>
      <c r="Y287" s="58" t="s">
        <v>2</v>
      </c>
      <c r="Z287" s="60" t="s">
        <v>75</v>
      </c>
      <c r="AA287" s="58" t="s">
        <v>2</v>
      </c>
      <c r="AB287" s="58" t="s">
        <v>2</v>
      </c>
      <c r="AC287" s="33"/>
      <c r="AD287" s="33"/>
      <c r="AE287" s="33"/>
      <c r="AF287" s="33"/>
      <c r="AH287" s="16">
        <f t="shared" si="33"/>
        <v>0</v>
      </c>
      <c r="AI287" s="16">
        <f t="shared" si="34"/>
        <v>0</v>
      </c>
    </row>
  </sheetData>
  <sheetProtection password="DD6F" sheet="1" objects="1" scenarios="1"/>
  <mergeCells count="36">
    <mergeCell ref="A241:A243"/>
    <mergeCell ref="AH241:AH243"/>
    <mergeCell ref="AI241:AI243"/>
    <mergeCell ref="A265:A267"/>
    <mergeCell ref="AH265:AH267"/>
    <mergeCell ref="AI265:AI267"/>
    <mergeCell ref="A193:A195"/>
    <mergeCell ref="AH193:AH195"/>
    <mergeCell ref="AI193:AI195"/>
    <mergeCell ref="A217:A219"/>
    <mergeCell ref="AH217:AH219"/>
    <mergeCell ref="AI217:AI219"/>
    <mergeCell ref="A145:A147"/>
    <mergeCell ref="AH145:AH147"/>
    <mergeCell ref="AI145:AI147"/>
    <mergeCell ref="A169:A171"/>
    <mergeCell ref="AH169:AH171"/>
    <mergeCell ref="AI169:AI171"/>
    <mergeCell ref="A97:A99"/>
    <mergeCell ref="AH97:AH99"/>
    <mergeCell ref="AI97:AI99"/>
    <mergeCell ref="A121:A123"/>
    <mergeCell ref="AH121:AH123"/>
    <mergeCell ref="AI121:AI123"/>
    <mergeCell ref="A49:A51"/>
    <mergeCell ref="AH49:AH51"/>
    <mergeCell ref="AI49:AI51"/>
    <mergeCell ref="A73:A75"/>
    <mergeCell ref="AH73:AH75"/>
    <mergeCell ref="AI73:AI75"/>
    <mergeCell ref="A1:A3"/>
    <mergeCell ref="AH1:AH3"/>
    <mergeCell ref="AI1:AI3"/>
    <mergeCell ref="A25:A27"/>
    <mergeCell ref="AH25:AH27"/>
    <mergeCell ref="AI25:AI27"/>
  </mergeCells>
  <conditionalFormatting sqref="A1:XFD3 A24:XFD24 H4:L8 O4:S23 V4:Z23 A48:XFD51 A28:B47 E28:I47 L28:P47 A52:B71 E52:I71 S52:W71 Z52:AD71 AG52:XFD71 A96:XFD99 A144:XFD147 A124:A143 AF124:XFD143 A168:XFD171 AD148:XFD167 A192:XFD195 AG172:XFD191 A216:XFD219 A196:A215 AE196:XFD215 A240:XFD243 A264:XFD267 AF244:XFD263 A288:XFD1048576 A268:A287 X268:X287 AE268:XFD287 A72:XFD75 A120:XFD123 A25:AC27 AD25:XFD47 A76:F95 P76:T95 G100:K119 N100:R119 U100:Y119 AB100:XFD119 D124:H143 R124:V143 Y124:AC143 K124:O143 A148:F167 I148:M167 P148:T167 W148:AA167 A172:C191 M172:Q191 F172:K191 C196:G215 J196:N215 Q196:U215 X196:AB215 A220:E239 H220:L239 O220:S239 AC220:XFD239 E244:I263 A244:B263 L244:P263 S244:W263 Z244:AD263 C268:H287 Q268:U287 A100:D119 U172:X191 V220:Z239 Z268:AA287 I76:M95 H12:L23 H9:H11 J9:L11 I9:I10 A4:D23 AC4:XFD23 Z28:AC47 S28:W47 AC271:AF271 V271:X271 J268:O287 AA172:AE191 L52:P71 W76:AA95 AD76:XFD95">
    <cfRule type="cellIs" dxfId="738" priority="755" operator="equal">
      <formula>"szf"</formula>
    </cfRule>
    <cfRule type="cellIs" dxfId="737" priority="756" operator="equal">
      <formula>"+"</formula>
    </cfRule>
  </conditionalFormatting>
  <conditionalFormatting sqref="G4:G23">
    <cfRule type="cellIs" dxfId="736" priority="751" operator="equal">
      <formula>"+"</formula>
    </cfRule>
    <cfRule type="cellIs" dxfId="735" priority="752" operator="equal">
      <formula>"szf"</formula>
    </cfRule>
  </conditionalFormatting>
  <conditionalFormatting sqref="M4:M23">
    <cfRule type="cellIs" dxfId="734" priority="749" operator="equal">
      <formula>"+"</formula>
    </cfRule>
    <cfRule type="cellIs" dxfId="733" priority="750" operator="equal">
      <formula>"szf"</formula>
    </cfRule>
  </conditionalFormatting>
  <conditionalFormatting sqref="N4:N23">
    <cfRule type="cellIs" dxfId="732" priority="747" operator="equal">
      <formula>"+"</formula>
    </cfRule>
    <cfRule type="cellIs" dxfId="731" priority="748" operator="equal">
      <formula>"szf"</formula>
    </cfRule>
  </conditionalFormatting>
  <conditionalFormatting sqref="T4:T23">
    <cfRule type="cellIs" dxfId="730" priority="745" operator="equal">
      <formula>"+"</formula>
    </cfRule>
    <cfRule type="cellIs" dxfId="729" priority="746" operator="equal">
      <formula>"szf"</formula>
    </cfRule>
  </conditionalFormatting>
  <conditionalFormatting sqref="U4:U23">
    <cfRule type="cellIs" dxfId="728" priority="743" operator="equal">
      <formula>"+"</formula>
    </cfRule>
    <cfRule type="cellIs" dxfId="727" priority="744" operator="equal">
      <formula>"szf"</formula>
    </cfRule>
  </conditionalFormatting>
  <conditionalFormatting sqref="AA4:AA23">
    <cfRule type="cellIs" dxfId="726" priority="741" operator="equal">
      <formula>"+"</formula>
    </cfRule>
    <cfRule type="cellIs" dxfId="725" priority="742" operator="equal">
      <formula>"szf"</formula>
    </cfRule>
  </conditionalFormatting>
  <conditionalFormatting sqref="AB4:AB23">
    <cfRule type="cellIs" dxfId="724" priority="739" operator="equal">
      <formula>"+"</formula>
    </cfRule>
    <cfRule type="cellIs" dxfId="723" priority="740" operator="equal">
      <formula>"szf"</formula>
    </cfRule>
  </conditionalFormatting>
  <conditionalFormatting sqref="C28:C47">
    <cfRule type="cellIs" dxfId="722" priority="737" operator="equal">
      <formula>"+"</formula>
    </cfRule>
    <cfRule type="cellIs" dxfId="721" priority="738" operator="equal">
      <formula>"szf"</formula>
    </cfRule>
  </conditionalFormatting>
  <conditionalFormatting sqref="D28:D47">
    <cfRule type="cellIs" dxfId="720" priority="735" operator="equal">
      <formula>"+"</formula>
    </cfRule>
    <cfRule type="cellIs" dxfId="719" priority="736" operator="equal">
      <formula>"szf"</formula>
    </cfRule>
  </conditionalFormatting>
  <conditionalFormatting sqref="J28:J47">
    <cfRule type="cellIs" dxfId="718" priority="733" operator="equal">
      <formula>"+"</formula>
    </cfRule>
    <cfRule type="cellIs" dxfId="717" priority="734" operator="equal">
      <formula>"szf"</formula>
    </cfRule>
  </conditionalFormatting>
  <conditionalFormatting sqref="K28:K47">
    <cfRule type="cellIs" dxfId="716" priority="731" operator="equal">
      <formula>"+"</formula>
    </cfRule>
    <cfRule type="cellIs" dxfId="715" priority="732" operator="equal">
      <formula>"szf"</formula>
    </cfRule>
  </conditionalFormatting>
  <conditionalFormatting sqref="Q28:Q47">
    <cfRule type="cellIs" dxfId="714" priority="729" operator="equal">
      <formula>"+"</formula>
    </cfRule>
    <cfRule type="cellIs" dxfId="713" priority="730" operator="equal">
      <formula>"szf"</formula>
    </cfRule>
  </conditionalFormatting>
  <conditionalFormatting sqref="R28:R47">
    <cfRule type="cellIs" dxfId="712" priority="727" operator="equal">
      <formula>"+"</formula>
    </cfRule>
    <cfRule type="cellIs" dxfId="711" priority="728" operator="equal">
      <formula>"szf"</formula>
    </cfRule>
  </conditionalFormatting>
  <conditionalFormatting sqref="X28:X47">
    <cfRule type="cellIs" dxfId="710" priority="725" operator="equal">
      <formula>"+"</formula>
    </cfRule>
    <cfRule type="cellIs" dxfId="709" priority="726" operator="equal">
      <formula>"szf"</formula>
    </cfRule>
  </conditionalFormatting>
  <conditionalFormatting sqref="Y28:Y47">
    <cfRule type="cellIs" dxfId="708" priority="723" operator="equal">
      <formula>"+"</formula>
    </cfRule>
    <cfRule type="cellIs" dxfId="707" priority="724" operator="equal">
      <formula>"szf"</formula>
    </cfRule>
  </conditionalFormatting>
  <conditionalFormatting sqref="C52:C71">
    <cfRule type="cellIs" dxfId="706" priority="721" operator="equal">
      <formula>"+"</formula>
    </cfRule>
    <cfRule type="cellIs" dxfId="705" priority="722" operator="equal">
      <formula>"szf"</formula>
    </cfRule>
  </conditionalFormatting>
  <conditionalFormatting sqref="D52:D71">
    <cfRule type="cellIs" dxfId="704" priority="719" operator="equal">
      <formula>"+"</formula>
    </cfRule>
    <cfRule type="cellIs" dxfId="703" priority="720" operator="equal">
      <formula>"szf"</formula>
    </cfRule>
  </conditionalFormatting>
  <conditionalFormatting sqref="J52:J71">
    <cfRule type="cellIs" dxfId="702" priority="717" operator="equal">
      <formula>"+"</formula>
    </cfRule>
    <cfRule type="cellIs" dxfId="701" priority="718" operator="equal">
      <formula>"szf"</formula>
    </cfRule>
  </conditionalFormatting>
  <conditionalFormatting sqref="K52:K71">
    <cfRule type="cellIs" dxfId="700" priority="715" operator="equal">
      <formula>"+"</formula>
    </cfRule>
    <cfRule type="cellIs" dxfId="699" priority="716" operator="equal">
      <formula>"szf"</formula>
    </cfRule>
  </conditionalFormatting>
  <conditionalFormatting sqref="Q52:Q71">
    <cfRule type="cellIs" dxfId="698" priority="713" operator="equal">
      <formula>"+"</formula>
    </cfRule>
    <cfRule type="cellIs" dxfId="697" priority="714" operator="equal">
      <formula>"szf"</formula>
    </cfRule>
  </conditionalFormatting>
  <conditionalFormatting sqref="R52:R71">
    <cfRule type="cellIs" dxfId="696" priority="711" operator="equal">
      <formula>"+"</formula>
    </cfRule>
    <cfRule type="cellIs" dxfId="695" priority="712" operator="equal">
      <formula>"szf"</formula>
    </cfRule>
  </conditionalFormatting>
  <conditionalFormatting sqref="X52:X71">
    <cfRule type="cellIs" dxfId="694" priority="709" operator="equal">
      <formula>"+"</formula>
    </cfRule>
    <cfRule type="cellIs" dxfId="693" priority="710" operator="equal">
      <formula>"szf"</formula>
    </cfRule>
  </conditionalFormatting>
  <conditionalFormatting sqref="Y52:Y71">
    <cfRule type="cellIs" dxfId="692" priority="707" operator="equal">
      <formula>"+"</formula>
    </cfRule>
    <cfRule type="cellIs" dxfId="691" priority="708" operator="equal">
      <formula>"szf"</formula>
    </cfRule>
  </conditionalFormatting>
  <conditionalFormatting sqref="AE52:AE71">
    <cfRule type="cellIs" dxfId="690" priority="705" operator="equal">
      <formula>"+"</formula>
    </cfRule>
    <cfRule type="cellIs" dxfId="689" priority="706" operator="equal">
      <formula>"szf"</formula>
    </cfRule>
  </conditionalFormatting>
  <conditionalFormatting sqref="AF52:AF71">
    <cfRule type="cellIs" dxfId="688" priority="703" operator="equal">
      <formula>"+"</formula>
    </cfRule>
    <cfRule type="cellIs" dxfId="687" priority="704" operator="equal">
      <formula>"szf"</formula>
    </cfRule>
  </conditionalFormatting>
  <conditionalFormatting sqref="G76:G95">
    <cfRule type="cellIs" dxfId="686" priority="701" operator="equal">
      <formula>"+"</formula>
    </cfRule>
    <cfRule type="cellIs" dxfId="685" priority="702" operator="equal">
      <formula>"szf"</formula>
    </cfRule>
  </conditionalFormatting>
  <conditionalFormatting sqref="H76:H95">
    <cfRule type="cellIs" dxfId="684" priority="699" operator="equal">
      <formula>"+"</formula>
    </cfRule>
    <cfRule type="cellIs" dxfId="683" priority="700" operator="equal">
      <formula>"szf"</formula>
    </cfRule>
  </conditionalFormatting>
  <conditionalFormatting sqref="O76:O95">
    <cfRule type="cellIs" dxfId="682" priority="695" operator="equal">
      <formula>"+"</formula>
    </cfRule>
    <cfRule type="cellIs" dxfId="681" priority="696" operator="equal">
      <formula>"szf"</formula>
    </cfRule>
  </conditionalFormatting>
  <conditionalFormatting sqref="U76:U95">
    <cfRule type="cellIs" dxfId="680" priority="693" operator="equal">
      <formula>"+"</formula>
    </cfRule>
    <cfRule type="cellIs" dxfId="679" priority="694" operator="equal">
      <formula>"szf"</formula>
    </cfRule>
  </conditionalFormatting>
  <conditionalFormatting sqref="V76:V95">
    <cfRule type="cellIs" dxfId="678" priority="691" operator="equal">
      <formula>"+"</formula>
    </cfRule>
    <cfRule type="cellIs" dxfId="677" priority="692" operator="equal">
      <formula>"szf"</formula>
    </cfRule>
  </conditionalFormatting>
  <conditionalFormatting sqref="AB76:AB95">
    <cfRule type="cellIs" dxfId="676" priority="689" operator="equal">
      <formula>"+"</formula>
    </cfRule>
    <cfRule type="cellIs" dxfId="675" priority="690" operator="equal">
      <formula>"szf"</formula>
    </cfRule>
  </conditionalFormatting>
  <conditionalFormatting sqref="AC76:AC95">
    <cfRule type="cellIs" dxfId="674" priority="687" operator="equal">
      <formula>"+"</formula>
    </cfRule>
    <cfRule type="cellIs" dxfId="673" priority="688" operator="equal">
      <formula>"szf"</formula>
    </cfRule>
  </conditionalFormatting>
  <conditionalFormatting sqref="E100:E119">
    <cfRule type="cellIs" dxfId="672" priority="685" operator="equal">
      <formula>"+"</formula>
    </cfRule>
    <cfRule type="cellIs" dxfId="671" priority="686" operator="equal">
      <formula>"szf"</formula>
    </cfRule>
  </conditionalFormatting>
  <conditionalFormatting sqref="F100:F119">
    <cfRule type="cellIs" dxfId="670" priority="683" operator="equal">
      <formula>"+"</formula>
    </cfRule>
    <cfRule type="cellIs" dxfId="669" priority="684" operator="equal">
      <formula>"szf"</formula>
    </cfRule>
  </conditionalFormatting>
  <conditionalFormatting sqref="M100:M119">
    <cfRule type="cellIs" dxfId="668" priority="681" operator="equal">
      <formula>"+"</formula>
    </cfRule>
    <cfRule type="cellIs" dxfId="667" priority="682" operator="equal">
      <formula>"szf"</formula>
    </cfRule>
  </conditionalFormatting>
  <conditionalFormatting sqref="L100:L119">
    <cfRule type="cellIs" dxfId="666" priority="677" operator="equal">
      <formula>"+"</formula>
    </cfRule>
    <cfRule type="cellIs" dxfId="665" priority="678" operator="equal">
      <formula>"szf"</formula>
    </cfRule>
  </conditionalFormatting>
  <conditionalFormatting sqref="S100:S119">
    <cfRule type="cellIs" dxfId="664" priority="675" operator="equal">
      <formula>"+"</formula>
    </cfRule>
    <cfRule type="cellIs" dxfId="663" priority="676" operator="equal">
      <formula>"szf"</formula>
    </cfRule>
  </conditionalFormatting>
  <conditionalFormatting sqref="T100:T119">
    <cfRule type="cellIs" dxfId="662" priority="673" operator="equal">
      <formula>"+"</formula>
    </cfRule>
    <cfRule type="cellIs" dxfId="661" priority="674" operator="equal">
      <formula>"szf"</formula>
    </cfRule>
  </conditionalFormatting>
  <conditionalFormatting sqref="Z100:Z119">
    <cfRule type="cellIs" dxfId="660" priority="671" operator="equal">
      <formula>"+"</formula>
    </cfRule>
    <cfRule type="cellIs" dxfId="659" priority="672" operator="equal">
      <formula>"szf"</formula>
    </cfRule>
  </conditionalFormatting>
  <conditionalFormatting sqref="AA100:AA119">
    <cfRule type="cellIs" dxfId="658" priority="669" operator="equal">
      <formula>"+"</formula>
    </cfRule>
    <cfRule type="cellIs" dxfId="657" priority="670" operator="equal">
      <formula>"szf"</formula>
    </cfRule>
  </conditionalFormatting>
  <conditionalFormatting sqref="C124:C143">
    <cfRule type="cellIs" dxfId="656" priority="665" operator="equal">
      <formula>"+"</formula>
    </cfRule>
    <cfRule type="cellIs" dxfId="655" priority="666" operator="equal">
      <formula>"szf"</formula>
    </cfRule>
  </conditionalFormatting>
  <conditionalFormatting sqref="I124:I143">
    <cfRule type="cellIs" dxfId="654" priority="663" operator="equal">
      <formula>"+"</formula>
    </cfRule>
    <cfRule type="cellIs" dxfId="653" priority="664" operator="equal">
      <formula>"szf"</formula>
    </cfRule>
  </conditionalFormatting>
  <conditionalFormatting sqref="J124:J143">
    <cfRule type="cellIs" dxfId="652" priority="661" operator="equal">
      <formula>"+"</formula>
    </cfRule>
    <cfRule type="cellIs" dxfId="651" priority="662" operator="equal">
      <formula>"szf"</formula>
    </cfRule>
  </conditionalFormatting>
  <conditionalFormatting sqref="P124:P143">
    <cfRule type="cellIs" dxfId="650" priority="659" operator="equal">
      <formula>"+"</formula>
    </cfRule>
    <cfRule type="cellIs" dxfId="649" priority="660" operator="equal">
      <formula>"szf"</formula>
    </cfRule>
  </conditionalFormatting>
  <conditionalFormatting sqref="Q124:Q143">
    <cfRule type="cellIs" dxfId="648" priority="657" operator="equal">
      <formula>"+"</formula>
    </cfRule>
    <cfRule type="cellIs" dxfId="647" priority="658" operator="equal">
      <formula>"szf"</formula>
    </cfRule>
  </conditionalFormatting>
  <conditionalFormatting sqref="W124:W143">
    <cfRule type="cellIs" dxfId="646" priority="655" operator="equal">
      <formula>"+"</formula>
    </cfRule>
    <cfRule type="cellIs" dxfId="645" priority="656" operator="equal">
      <formula>"szf"</formula>
    </cfRule>
  </conditionalFormatting>
  <conditionalFormatting sqref="X124:X143">
    <cfRule type="cellIs" dxfId="644" priority="653" operator="equal">
      <formula>"+"</formula>
    </cfRule>
    <cfRule type="cellIs" dxfId="643" priority="654" operator="equal">
      <formula>"szf"</formula>
    </cfRule>
  </conditionalFormatting>
  <conditionalFormatting sqref="AD124:AD143">
    <cfRule type="cellIs" dxfId="642" priority="651" operator="equal">
      <formula>"+"</formula>
    </cfRule>
    <cfRule type="cellIs" dxfId="641" priority="652" operator="equal">
      <formula>"szf"</formula>
    </cfRule>
  </conditionalFormatting>
  <conditionalFormatting sqref="AE124:AE143">
    <cfRule type="cellIs" dxfId="640" priority="649" operator="equal">
      <formula>"+"</formula>
    </cfRule>
    <cfRule type="cellIs" dxfId="639" priority="650" operator="equal">
      <formula>"szf"</formula>
    </cfRule>
  </conditionalFormatting>
  <conditionalFormatting sqref="G148:G167">
    <cfRule type="cellIs" dxfId="638" priority="647" operator="equal">
      <formula>"+"</formula>
    </cfRule>
    <cfRule type="cellIs" dxfId="637" priority="648" operator="equal">
      <formula>"szf"</formula>
    </cfRule>
  </conditionalFormatting>
  <conditionalFormatting sqref="H148:H167">
    <cfRule type="cellIs" dxfId="636" priority="645" operator="equal">
      <formula>"+"</formula>
    </cfRule>
    <cfRule type="cellIs" dxfId="635" priority="646" operator="equal">
      <formula>"szf"</formula>
    </cfRule>
  </conditionalFormatting>
  <conditionalFormatting sqref="N148:N167">
    <cfRule type="cellIs" dxfId="634" priority="643" operator="equal">
      <formula>"+"</formula>
    </cfRule>
    <cfRule type="cellIs" dxfId="633" priority="644" operator="equal">
      <formula>"szf"</formula>
    </cfRule>
  </conditionalFormatting>
  <conditionalFormatting sqref="O148:O167">
    <cfRule type="cellIs" dxfId="632" priority="641" operator="equal">
      <formula>"+"</formula>
    </cfRule>
    <cfRule type="cellIs" dxfId="631" priority="642" operator="equal">
      <formula>"szf"</formula>
    </cfRule>
  </conditionalFormatting>
  <conditionalFormatting sqref="U148:U167">
    <cfRule type="cellIs" dxfId="630" priority="639" operator="equal">
      <formula>"+"</formula>
    </cfRule>
    <cfRule type="cellIs" dxfId="629" priority="640" operator="equal">
      <formula>"szf"</formula>
    </cfRule>
  </conditionalFormatting>
  <conditionalFormatting sqref="V148:V167">
    <cfRule type="cellIs" dxfId="628" priority="637" operator="equal">
      <formula>"+"</formula>
    </cfRule>
    <cfRule type="cellIs" dxfId="627" priority="638" operator="equal">
      <formula>"szf"</formula>
    </cfRule>
  </conditionalFormatting>
  <conditionalFormatting sqref="AB148:AB167">
    <cfRule type="cellIs" dxfId="626" priority="635" operator="equal">
      <formula>"+"</formula>
    </cfRule>
    <cfRule type="cellIs" dxfId="625" priority="636" operator="equal">
      <formula>"szf"</formula>
    </cfRule>
  </conditionalFormatting>
  <conditionalFormatting sqref="AC148:AC167">
    <cfRule type="cellIs" dxfId="624" priority="633" operator="equal">
      <formula>"+"</formula>
    </cfRule>
    <cfRule type="cellIs" dxfId="623" priority="634" operator="equal">
      <formula>"szf"</formula>
    </cfRule>
  </conditionalFormatting>
  <conditionalFormatting sqref="D172:D191">
    <cfRule type="cellIs" dxfId="622" priority="631" operator="equal">
      <formula>"+"</formula>
    </cfRule>
    <cfRule type="cellIs" dxfId="621" priority="632" operator="equal">
      <formula>"szf"</formula>
    </cfRule>
  </conditionalFormatting>
  <conditionalFormatting sqref="E172:E191">
    <cfRule type="cellIs" dxfId="620" priority="629" operator="equal">
      <formula>"+"</formula>
    </cfRule>
    <cfRule type="cellIs" dxfId="619" priority="630" operator="equal">
      <formula>"szf"</formula>
    </cfRule>
  </conditionalFormatting>
  <conditionalFormatting sqref="L172:L191">
    <cfRule type="cellIs" dxfId="618" priority="625" operator="equal">
      <formula>"+"</formula>
    </cfRule>
    <cfRule type="cellIs" dxfId="617" priority="626" operator="equal">
      <formula>"szf"</formula>
    </cfRule>
  </conditionalFormatting>
  <conditionalFormatting sqref="R172:R191">
    <cfRule type="cellIs" dxfId="616" priority="623" operator="equal">
      <formula>"+"</formula>
    </cfRule>
    <cfRule type="cellIs" dxfId="615" priority="624" operator="equal">
      <formula>"szf"</formula>
    </cfRule>
  </conditionalFormatting>
  <conditionalFormatting sqref="S172:T191">
    <cfRule type="cellIs" dxfId="614" priority="621" operator="equal">
      <formula>"+"</formula>
    </cfRule>
    <cfRule type="cellIs" dxfId="613" priority="622" operator="equal">
      <formula>"szf"</formula>
    </cfRule>
  </conditionalFormatting>
  <conditionalFormatting sqref="Y172:Y191">
    <cfRule type="cellIs" dxfId="612" priority="619" operator="equal">
      <formula>"+"</formula>
    </cfRule>
    <cfRule type="cellIs" dxfId="611" priority="620" operator="equal">
      <formula>"szf"</formula>
    </cfRule>
  </conditionalFormatting>
  <conditionalFormatting sqref="Z172:Z191">
    <cfRule type="cellIs" dxfId="610" priority="617" operator="equal">
      <formula>"+"</formula>
    </cfRule>
    <cfRule type="cellIs" dxfId="609" priority="618" operator="equal">
      <formula>"szf"</formula>
    </cfRule>
  </conditionalFormatting>
  <conditionalFormatting sqref="AF172:AF191">
    <cfRule type="cellIs" dxfId="608" priority="615" operator="equal">
      <formula>"+"</formula>
    </cfRule>
    <cfRule type="cellIs" dxfId="607" priority="616" operator="equal">
      <formula>"szf"</formula>
    </cfRule>
  </conditionalFormatting>
  <conditionalFormatting sqref="B196:B215">
    <cfRule type="cellIs" dxfId="606" priority="613" operator="equal">
      <formula>"+"</formula>
    </cfRule>
    <cfRule type="cellIs" dxfId="605" priority="614" operator="equal">
      <formula>"szf"</formula>
    </cfRule>
  </conditionalFormatting>
  <conditionalFormatting sqref="H196:H215">
    <cfRule type="cellIs" dxfId="604" priority="611" operator="equal">
      <formula>"+"</formula>
    </cfRule>
    <cfRule type="cellIs" dxfId="603" priority="612" operator="equal">
      <formula>"szf"</formula>
    </cfRule>
  </conditionalFormatting>
  <conditionalFormatting sqref="I196:I215">
    <cfRule type="cellIs" dxfId="602" priority="609" operator="equal">
      <formula>"+"</formula>
    </cfRule>
    <cfRule type="cellIs" dxfId="601" priority="610" operator="equal">
      <formula>"szf"</formula>
    </cfRule>
  </conditionalFormatting>
  <conditionalFormatting sqref="O196:O215">
    <cfRule type="cellIs" dxfId="600" priority="607" operator="equal">
      <formula>"+"</formula>
    </cfRule>
    <cfRule type="cellIs" dxfId="599" priority="608" operator="equal">
      <formula>"szf"</formula>
    </cfRule>
  </conditionalFormatting>
  <conditionalFormatting sqref="P196:P215">
    <cfRule type="cellIs" dxfId="598" priority="605" operator="equal">
      <formula>"+"</formula>
    </cfRule>
    <cfRule type="cellIs" dxfId="597" priority="606" operator="equal">
      <formula>"szf"</formula>
    </cfRule>
  </conditionalFormatting>
  <conditionalFormatting sqref="V196:V215">
    <cfRule type="cellIs" dxfId="596" priority="603" operator="equal">
      <formula>"+"</formula>
    </cfRule>
    <cfRule type="cellIs" dxfId="595" priority="604" operator="equal">
      <formula>"szf"</formula>
    </cfRule>
  </conditionalFormatting>
  <conditionalFormatting sqref="W196:W215">
    <cfRule type="cellIs" dxfId="594" priority="601" operator="equal">
      <formula>"+"</formula>
    </cfRule>
    <cfRule type="cellIs" dxfId="593" priority="602" operator="equal">
      <formula>"szf"</formula>
    </cfRule>
  </conditionalFormatting>
  <conditionalFormatting sqref="AC196:AC215">
    <cfRule type="cellIs" dxfId="592" priority="599" operator="equal">
      <formula>"+"</formula>
    </cfRule>
    <cfRule type="cellIs" dxfId="591" priority="600" operator="equal">
      <formula>"szf"</formula>
    </cfRule>
  </conditionalFormatting>
  <conditionalFormatting sqref="AD196:AD215">
    <cfRule type="cellIs" dxfId="590" priority="597" operator="equal">
      <formula>"+"</formula>
    </cfRule>
    <cfRule type="cellIs" dxfId="589" priority="598" operator="equal">
      <formula>"szf"</formula>
    </cfRule>
  </conditionalFormatting>
  <conditionalFormatting sqref="F220:F239">
    <cfRule type="cellIs" dxfId="588" priority="595" operator="equal">
      <formula>"+"</formula>
    </cfRule>
    <cfRule type="cellIs" dxfId="587" priority="596" operator="equal">
      <formula>"szf"</formula>
    </cfRule>
  </conditionalFormatting>
  <conditionalFormatting sqref="G220:G239">
    <cfRule type="cellIs" dxfId="586" priority="593" operator="equal">
      <formula>"+"</formula>
    </cfRule>
    <cfRule type="cellIs" dxfId="585" priority="594" operator="equal">
      <formula>"szf"</formula>
    </cfRule>
  </conditionalFormatting>
  <conditionalFormatting sqref="M220:M239">
    <cfRule type="cellIs" dxfId="584" priority="591" operator="equal">
      <formula>"+"</formula>
    </cfRule>
    <cfRule type="cellIs" dxfId="583" priority="592" operator="equal">
      <formula>"szf"</formula>
    </cfRule>
  </conditionalFormatting>
  <conditionalFormatting sqref="N220:N239">
    <cfRule type="cellIs" dxfId="582" priority="589" operator="equal">
      <formula>"+"</formula>
    </cfRule>
    <cfRule type="cellIs" dxfId="581" priority="590" operator="equal">
      <formula>"szf"</formula>
    </cfRule>
  </conditionalFormatting>
  <conditionalFormatting sqref="T220:T239">
    <cfRule type="cellIs" dxfId="580" priority="587" operator="equal">
      <formula>"+"</formula>
    </cfRule>
    <cfRule type="cellIs" dxfId="579" priority="588" operator="equal">
      <formula>"szf"</formula>
    </cfRule>
  </conditionalFormatting>
  <conditionalFormatting sqref="U220:U239">
    <cfRule type="cellIs" dxfId="578" priority="585" operator="equal">
      <formula>"+"</formula>
    </cfRule>
    <cfRule type="cellIs" dxfId="577" priority="586" operator="equal">
      <formula>"szf"</formula>
    </cfRule>
  </conditionalFormatting>
  <conditionalFormatting sqref="AA220:AA239">
    <cfRule type="cellIs" dxfId="576" priority="583" operator="equal">
      <formula>"+"</formula>
    </cfRule>
    <cfRule type="cellIs" dxfId="575" priority="584" operator="equal">
      <formula>"szf"</formula>
    </cfRule>
  </conditionalFormatting>
  <conditionalFormatting sqref="AB220:AB239">
    <cfRule type="cellIs" dxfId="574" priority="581" operator="equal">
      <formula>"+"</formula>
    </cfRule>
    <cfRule type="cellIs" dxfId="573" priority="582" operator="equal">
      <formula>"szf"</formula>
    </cfRule>
  </conditionalFormatting>
  <conditionalFormatting sqref="C244:C263">
    <cfRule type="cellIs" dxfId="572" priority="579" operator="equal">
      <formula>"+"</formula>
    </cfRule>
    <cfRule type="cellIs" dxfId="571" priority="580" operator="equal">
      <formula>"szf"</formula>
    </cfRule>
  </conditionalFormatting>
  <conditionalFormatting sqref="D244:D263">
    <cfRule type="cellIs" dxfId="570" priority="577" operator="equal">
      <formula>"+"</formula>
    </cfRule>
    <cfRule type="cellIs" dxfId="569" priority="578" operator="equal">
      <formula>"szf"</formula>
    </cfRule>
  </conditionalFormatting>
  <conditionalFormatting sqref="J244:J263">
    <cfRule type="cellIs" dxfId="568" priority="575" operator="equal">
      <formula>"+"</formula>
    </cfRule>
    <cfRule type="cellIs" dxfId="567" priority="576" operator="equal">
      <formula>"szf"</formula>
    </cfRule>
  </conditionalFormatting>
  <conditionalFormatting sqref="K244:K263">
    <cfRule type="cellIs" dxfId="566" priority="573" operator="equal">
      <formula>"+"</formula>
    </cfRule>
    <cfRule type="cellIs" dxfId="565" priority="574" operator="equal">
      <formula>"szf"</formula>
    </cfRule>
  </conditionalFormatting>
  <conditionalFormatting sqref="Q244:Q263">
    <cfRule type="cellIs" dxfId="564" priority="571" operator="equal">
      <formula>"+"</formula>
    </cfRule>
    <cfRule type="cellIs" dxfId="563" priority="572" operator="equal">
      <formula>"szf"</formula>
    </cfRule>
  </conditionalFormatting>
  <conditionalFormatting sqref="R244:R263">
    <cfRule type="cellIs" dxfId="562" priority="569" operator="equal">
      <formula>"+"</formula>
    </cfRule>
    <cfRule type="cellIs" dxfId="561" priority="570" operator="equal">
      <formula>"szf"</formula>
    </cfRule>
  </conditionalFormatting>
  <conditionalFormatting sqref="X244:X263">
    <cfRule type="cellIs" dxfId="560" priority="567" operator="equal">
      <formula>"+"</formula>
    </cfRule>
    <cfRule type="cellIs" dxfId="559" priority="568" operator="equal">
      <formula>"szf"</formula>
    </cfRule>
  </conditionalFormatting>
  <conditionalFormatting sqref="Y244:Y263">
    <cfRule type="cellIs" dxfId="558" priority="565" operator="equal">
      <formula>"+"</formula>
    </cfRule>
    <cfRule type="cellIs" dxfId="557" priority="566" operator="equal">
      <formula>"szf"</formula>
    </cfRule>
  </conditionalFormatting>
  <conditionalFormatting sqref="AE244:AE263">
    <cfRule type="cellIs" dxfId="556" priority="563" operator="equal">
      <formula>"+"</formula>
    </cfRule>
    <cfRule type="cellIs" dxfId="555" priority="564" operator="equal">
      <formula>"szf"</formula>
    </cfRule>
  </conditionalFormatting>
  <conditionalFormatting sqref="B268:B287">
    <cfRule type="cellIs" dxfId="554" priority="561" operator="equal">
      <formula>"+"</formula>
    </cfRule>
    <cfRule type="cellIs" dxfId="553" priority="562" operator="equal">
      <formula>"szf"</formula>
    </cfRule>
  </conditionalFormatting>
  <conditionalFormatting sqref="I268:I287">
    <cfRule type="cellIs" dxfId="552" priority="557" operator="equal">
      <formula>"+"</formula>
    </cfRule>
    <cfRule type="cellIs" dxfId="551" priority="558" operator="equal">
      <formula>"szf"</formula>
    </cfRule>
  </conditionalFormatting>
  <conditionalFormatting sqref="P268:P287">
    <cfRule type="cellIs" dxfId="550" priority="553" operator="equal">
      <formula>"+"</formula>
    </cfRule>
    <cfRule type="cellIs" dxfId="549" priority="554" operator="equal">
      <formula>"szf"</formula>
    </cfRule>
  </conditionalFormatting>
  <conditionalFormatting sqref="V268:V287">
    <cfRule type="cellIs" dxfId="548" priority="551" operator="equal">
      <formula>"+"</formula>
    </cfRule>
    <cfRule type="cellIs" dxfId="547" priority="552" operator="equal">
      <formula>"szf"</formula>
    </cfRule>
  </conditionalFormatting>
  <conditionalFormatting sqref="W268:W287">
    <cfRule type="cellIs" dxfId="546" priority="549" operator="equal">
      <formula>"+"</formula>
    </cfRule>
    <cfRule type="cellIs" dxfId="545" priority="550" operator="equal">
      <formula>"szf"</formula>
    </cfRule>
  </conditionalFormatting>
  <conditionalFormatting sqref="AC268:AC287">
    <cfRule type="cellIs" dxfId="544" priority="547" operator="equal">
      <formula>"+"</formula>
    </cfRule>
    <cfRule type="cellIs" dxfId="543" priority="548" operator="equal">
      <formula>"szf"</formula>
    </cfRule>
  </conditionalFormatting>
  <conditionalFormatting sqref="AD268:AD287">
    <cfRule type="cellIs" dxfId="542" priority="545" operator="equal">
      <formula>"+"</formula>
    </cfRule>
    <cfRule type="cellIs" dxfId="541" priority="546" operator="equal">
      <formula>"szf"</formula>
    </cfRule>
  </conditionalFormatting>
  <conditionalFormatting sqref="Y268:Y287">
    <cfRule type="cellIs" dxfId="540" priority="543" operator="equal">
      <formula>"+"</formula>
    </cfRule>
    <cfRule type="cellIs" dxfId="539" priority="544" operator="equal">
      <formula>"szf"</formula>
    </cfRule>
  </conditionalFormatting>
  <conditionalFormatting sqref="AB268:AB287">
    <cfRule type="cellIs" dxfId="538" priority="541" operator="equal">
      <formula>"+"</formula>
    </cfRule>
    <cfRule type="cellIs" dxfId="537" priority="542" operator="equal">
      <formula>"szf"</formula>
    </cfRule>
  </conditionalFormatting>
  <conditionalFormatting sqref="N76:N95">
    <cfRule type="cellIs" dxfId="536" priority="539" operator="equal">
      <formula>"szf"</formula>
    </cfRule>
    <cfRule type="cellIs" dxfId="535" priority="540" operator="equal">
      <formula>"+"</formula>
    </cfRule>
  </conditionalFormatting>
  <conditionalFormatting sqref="B124:B143">
    <cfRule type="cellIs" dxfId="534" priority="537" operator="equal">
      <formula>"szf"</formula>
    </cfRule>
    <cfRule type="cellIs" dxfId="533" priority="538" operator="equal">
      <formula>"+"</formula>
    </cfRule>
  </conditionalFormatting>
  <conditionalFormatting sqref="E4:F4">
    <cfRule type="cellIs" dxfId="532" priority="533" operator="equal">
      <formula>"szf"</formula>
    </cfRule>
  </conditionalFormatting>
  <conditionalFormatting sqref="E4:F23">
    <cfRule type="cellIs" dxfId="531" priority="531" operator="equal">
      <formula>"+"</formula>
    </cfRule>
    <cfRule type="cellIs" dxfId="530" priority="532" operator="equal">
      <formula>"szf"</formula>
    </cfRule>
  </conditionalFormatting>
  <conditionalFormatting sqref="S7">
    <cfRule type="cellIs" dxfId="529" priority="530" operator="equal">
      <formula>"Szo"</formula>
    </cfRule>
  </conditionalFormatting>
  <conditionalFormatting sqref="B9:H11 J9:AF11 I9:I10 B1:AF8 B12:AF1048576">
    <cfRule type="cellIs" dxfId="528" priority="528" operator="equal">
      <formula>"V"</formula>
    </cfRule>
    <cfRule type="cellIs" dxfId="527" priority="529" operator="equal">
      <formula>"Szo"</formula>
    </cfRule>
  </conditionalFormatting>
  <conditionalFormatting sqref="L4:M4">
    <cfRule type="cellIs" dxfId="526" priority="527" operator="equal">
      <formula>"szf"</formula>
    </cfRule>
  </conditionalFormatting>
  <conditionalFormatting sqref="L4:M23">
    <cfRule type="cellIs" dxfId="525" priority="525" operator="equal">
      <formula>"+"</formula>
    </cfRule>
    <cfRule type="cellIs" dxfId="524" priority="526" operator="equal">
      <formula>"szf"</formula>
    </cfRule>
  </conditionalFormatting>
  <conditionalFormatting sqref="S4:T4">
    <cfRule type="cellIs" dxfId="523" priority="524" operator="equal">
      <formula>"szf"</formula>
    </cfRule>
  </conditionalFormatting>
  <conditionalFormatting sqref="S4:T23">
    <cfRule type="cellIs" dxfId="522" priority="522" operator="equal">
      <formula>"+"</formula>
    </cfRule>
    <cfRule type="cellIs" dxfId="521" priority="523" operator="equal">
      <formula>"szf"</formula>
    </cfRule>
  </conditionalFormatting>
  <conditionalFormatting sqref="Z4:AA4">
    <cfRule type="cellIs" dxfId="520" priority="521" operator="equal">
      <formula>"szf"</formula>
    </cfRule>
  </conditionalFormatting>
  <conditionalFormatting sqref="Z4:AA23">
    <cfRule type="cellIs" dxfId="519" priority="519" operator="equal">
      <formula>"+"</formula>
    </cfRule>
    <cfRule type="cellIs" dxfId="518" priority="520" operator="equal">
      <formula>"szf"</formula>
    </cfRule>
  </conditionalFormatting>
  <conditionalFormatting sqref="B28:C28">
    <cfRule type="cellIs" dxfId="517" priority="518" operator="equal">
      <formula>"szf"</formula>
    </cfRule>
  </conditionalFormatting>
  <conditionalFormatting sqref="B28:C47">
    <cfRule type="cellIs" dxfId="516" priority="516" operator="equal">
      <formula>"+"</formula>
    </cfRule>
    <cfRule type="cellIs" dxfId="515" priority="517" operator="equal">
      <formula>"szf"</formula>
    </cfRule>
  </conditionalFormatting>
  <conditionalFormatting sqref="I28:J28">
    <cfRule type="cellIs" dxfId="514" priority="515" operator="equal">
      <formula>"szf"</formula>
    </cfRule>
  </conditionalFormatting>
  <conditionalFormatting sqref="I28:J47">
    <cfRule type="cellIs" dxfId="513" priority="513" operator="equal">
      <formula>"+"</formula>
    </cfRule>
    <cfRule type="cellIs" dxfId="512" priority="514" operator="equal">
      <formula>"szf"</formula>
    </cfRule>
  </conditionalFormatting>
  <conditionalFormatting sqref="P28:Q28">
    <cfRule type="cellIs" dxfId="511" priority="512" operator="equal">
      <formula>"szf"</formula>
    </cfRule>
  </conditionalFormatting>
  <conditionalFormatting sqref="P28:Q47">
    <cfRule type="cellIs" dxfId="510" priority="510" operator="equal">
      <formula>"+"</formula>
    </cfRule>
    <cfRule type="cellIs" dxfId="509" priority="511" operator="equal">
      <formula>"szf"</formula>
    </cfRule>
  </conditionalFormatting>
  <conditionalFormatting sqref="W28:X28">
    <cfRule type="cellIs" dxfId="508" priority="509" operator="equal">
      <formula>"szf"</formula>
    </cfRule>
  </conditionalFormatting>
  <conditionalFormatting sqref="W28:X47">
    <cfRule type="cellIs" dxfId="507" priority="507" operator="equal">
      <formula>"+"</formula>
    </cfRule>
    <cfRule type="cellIs" dxfId="506" priority="508" operator="equal">
      <formula>"szf"</formula>
    </cfRule>
  </conditionalFormatting>
  <conditionalFormatting sqref="AD28:AD46">
    <cfRule type="cellIs" dxfId="505" priority="505" operator="equal">
      <formula>"+"</formula>
    </cfRule>
    <cfRule type="cellIs" dxfId="504" priority="506" operator="equal">
      <formula>"szf"</formula>
    </cfRule>
  </conditionalFormatting>
  <conditionalFormatting sqref="AD28">
    <cfRule type="cellIs" dxfId="503" priority="504" operator="equal">
      <formula>"szf"</formula>
    </cfRule>
  </conditionalFormatting>
  <conditionalFormatting sqref="AD28:AD46">
    <cfRule type="cellIs" dxfId="502" priority="502" operator="equal">
      <formula>"+"</formula>
    </cfRule>
    <cfRule type="cellIs" dxfId="501" priority="503" operator="equal">
      <formula>"szf"</formula>
    </cfRule>
  </conditionalFormatting>
  <conditionalFormatting sqref="B52:B70">
    <cfRule type="cellIs" dxfId="500" priority="500" operator="equal">
      <formula>"+"</formula>
    </cfRule>
    <cfRule type="cellIs" dxfId="499" priority="501" operator="equal">
      <formula>"szf"</formula>
    </cfRule>
  </conditionalFormatting>
  <conditionalFormatting sqref="B52">
    <cfRule type="cellIs" dxfId="498" priority="499" operator="equal">
      <formula>"szf"</formula>
    </cfRule>
  </conditionalFormatting>
  <conditionalFormatting sqref="B52:B70">
    <cfRule type="cellIs" dxfId="497" priority="497" operator="equal">
      <formula>"+"</formula>
    </cfRule>
    <cfRule type="cellIs" dxfId="496" priority="498" operator="equal">
      <formula>"szf"</formula>
    </cfRule>
  </conditionalFormatting>
  <conditionalFormatting sqref="H52:H70">
    <cfRule type="cellIs" dxfId="495" priority="495" operator="equal">
      <formula>"+"</formula>
    </cfRule>
    <cfRule type="cellIs" dxfId="494" priority="496" operator="equal">
      <formula>"szf"</formula>
    </cfRule>
  </conditionalFormatting>
  <conditionalFormatting sqref="H52">
    <cfRule type="cellIs" dxfId="493" priority="494" operator="equal">
      <formula>"szf"</formula>
    </cfRule>
  </conditionalFormatting>
  <conditionalFormatting sqref="H52:H70">
    <cfRule type="cellIs" dxfId="492" priority="492" operator="equal">
      <formula>"+"</formula>
    </cfRule>
    <cfRule type="cellIs" dxfId="491" priority="493" operator="equal">
      <formula>"szf"</formula>
    </cfRule>
  </conditionalFormatting>
  <conditionalFormatting sqref="I52:I70">
    <cfRule type="cellIs" dxfId="490" priority="490" operator="equal">
      <formula>"+"</formula>
    </cfRule>
    <cfRule type="cellIs" dxfId="489" priority="491" operator="equal">
      <formula>"szf"</formula>
    </cfRule>
  </conditionalFormatting>
  <conditionalFormatting sqref="I52">
    <cfRule type="cellIs" dxfId="488" priority="489" operator="equal">
      <formula>"szf"</formula>
    </cfRule>
  </conditionalFormatting>
  <conditionalFormatting sqref="I52:I70">
    <cfRule type="cellIs" dxfId="487" priority="487" operator="equal">
      <formula>"+"</formula>
    </cfRule>
    <cfRule type="cellIs" dxfId="486" priority="488" operator="equal">
      <formula>"szf"</formula>
    </cfRule>
  </conditionalFormatting>
  <conditionalFormatting sqref="P52:P70">
    <cfRule type="cellIs" dxfId="485" priority="485" operator="equal">
      <formula>"+"</formula>
    </cfRule>
    <cfRule type="cellIs" dxfId="484" priority="486" operator="equal">
      <formula>"szf"</formula>
    </cfRule>
  </conditionalFormatting>
  <conditionalFormatting sqref="P52">
    <cfRule type="cellIs" dxfId="483" priority="484" operator="equal">
      <formula>"szf"</formula>
    </cfRule>
  </conditionalFormatting>
  <conditionalFormatting sqref="P52:P70">
    <cfRule type="cellIs" dxfId="482" priority="482" operator="equal">
      <formula>"+"</formula>
    </cfRule>
    <cfRule type="cellIs" dxfId="481" priority="483" operator="equal">
      <formula>"szf"</formula>
    </cfRule>
  </conditionalFormatting>
  <conditionalFormatting sqref="O52:O70">
    <cfRule type="cellIs" dxfId="480" priority="480" operator="equal">
      <formula>"+"</formula>
    </cfRule>
    <cfRule type="cellIs" dxfId="479" priority="481" operator="equal">
      <formula>"szf"</formula>
    </cfRule>
  </conditionalFormatting>
  <conditionalFormatting sqref="O52">
    <cfRule type="cellIs" dxfId="478" priority="479" operator="equal">
      <formula>"szf"</formula>
    </cfRule>
  </conditionalFormatting>
  <conditionalFormatting sqref="O52:O70">
    <cfRule type="cellIs" dxfId="477" priority="477" operator="equal">
      <formula>"+"</formula>
    </cfRule>
    <cfRule type="cellIs" dxfId="476" priority="478" operator="equal">
      <formula>"szf"</formula>
    </cfRule>
  </conditionalFormatting>
  <conditionalFormatting sqref="V52:V70">
    <cfRule type="cellIs" dxfId="475" priority="475" operator="equal">
      <formula>"+"</formula>
    </cfRule>
    <cfRule type="cellIs" dxfId="474" priority="476" operator="equal">
      <formula>"szf"</formula>
    </cfRule>
  </conditionalFormatting>
  <conditionalFormatting sqref="V52">
    <cfRule type="cellIs" dxfId="473" priority="474" operator="equal">
      <formula>"szf"</formula>
    </cfRule>
  </conditionalFormatting>
  <conditionalFormatting sqref="V52:V70">
    <cfRule type="cellIs" dxfId="472" priority="472" operator="equal">
      <formula>"+"</formula>
    </cfRule>
    <cfRule type="cellIs" dxfId="471" priority="473" operator="equal">
      <formula>"szf"</formula>
    </cfRule>
  </conditionalFormatting>
  <conditionalFormatting sqref="W52:W70">
    <cfRule type="cellIs" dxfId="470" priority="470" operator="equal">
      <formula>"+"</formula>
    </cfRule>
    <cfRule type="cellIs" dxfId="469" priority="471" operator="equal">
      <formula>"szf"</formula>
    </cfRule>
  </conditionalFormatting>
  <conditionalFormatting sqref="W52">
    <cfRule type="cellIs" dxfId="468" priority="469" operator="equal">
      <formula>"szf"</formula>
    </cfRule>
  </conditionalFormatting>
  <conditionalFormatting sqref="W52:W70">
    <cfRule type="cellIs" dxfId="467" priority="467" operator="equal">
      <formula>"+"</formula>
    </cfRule>
    <cfRule type="cellIs" dxfId="466" priority="468" operator="equal">
      <formula>"szf"</formula>
    </cfRule>
  </conditionalFormatting>
  <conditionalFormatting sqref="AC52:AC70">
    <cfRule type="cellIs" dxfId="465" priority="465" operator="equal">
      <formula>"+"</formula>
    </cfRule>
    <cfRule type="cellIs" dxfId="464" priority="466" operator="equal">
      <formula>"szf"</formula>
    </cfRule>
  </conditionalFormatting>
  <conditionalFormatting sqref="AC52">
    <cfRule type="cellIs" dxfId="463" priority="464" operator="equal">
      <formula>"szf"</formula>
    </cfRule>
  </conditionalFormatting>
  <conditionalFormatting sqref="AC52:AC70">
    <cfRule type="cellIs" dxfId="462" priority="462" operator="equal">
      <formula>"+"</formula>
    </cfRule>
    <cfRule type="cellIs" dxfId="461" priority="463" operator="equal">
      <formula>"szf"</formula>
    </cfRule>
  </conditionalFormatting>
  <conditionalFormatting sqref="AD52:AD70">
    <cfRule type="cellIs" dxfId="460" priority="460" operator="equal">
      <formula>"+"</formula>
    </cfRule>
    <cfRule type="cellIs" dxfId="459" priority="461" operator="equal">
      <formula>"szf"</formula>
    </cfRule>
  </conditionalFormatting>
  <conditionalFormatting sqref="AD52">
    <cfRule type="cellIs" dxfId="458" priority="459" operator="equal">
      <formula>"szf"</formula>
    </cfRule>
  </conditionalFormatting>
  <conditionalFormatting sqref="AD52:AD70">
    <cfRule type="cellIs" dxfId="457" priority="457" operator="equal">
      <formula>"+"</formula>
    </cfRule>
    <cfRule type="cellIs" dxfId="456" priority="458" operator="equal">
      <formula>"szf"</formula>
    </cfRule>
  </conditionalFormatting>
  <conditionalFormatting sqref="E76:E95">
    <cfRule type="cellIs" dxfId="455" priority="455" operator="equal">
      <formula>"+"</formula>
    </cfRule>
    <cfRule type="cellIs" dxfId="454" priority="456" operator="equal">
      <formula>"szf"</formula>
    </cfRule>
  </conditionalFormatting>
  <conditionalFormatting sqref="E76">
    <cfRule type="cellIs" dxfId="453" priority="454" operator="equal">
      <formula>"szf"</formula>
    </cfRule>
  </conditionalFormatting>
  <conditionalFormatting sqref="E76:E95">
    <cfRule type="cellIs" dxfId="452" priority="452" operator="equal">
      <formula>"+"</formula>
    </cfRule>
    <cfRule type="cellIs" dxfId="451" priority="453" operator="equal">
      <formula>"szf"</formula>
    </cfRule>
  </conditionalFormatting>
  <conditionalFormatting sqref="F76:F95">
    <cfRule type="cellIs" dxfId="450" priority="450" operator="equal">
      <formula>"+"</formula>
    </cfRule>
    <cfRule type="cellIs" dxfId="449" priority="451" operator="equal">
      <formula>"szf"</formula>
    </cfRule>
  </conditionalFormatting>
  <conditionalFormatting sqref="F76">
    <cfRule type="cellIs" dxfId="448" priority="449" operator="equal">
      <formula>"szf"</formula>
    </cfRule>
  </conditionalFormatting>
  <conditionalFormatting sqref="F76:F95">
    <cfRule type="cellIs" dxfId="447" priority="447" operator="equal">
      <formula>"+"</formula>
    </cfRule>
    <cfRule type="cellIs" dxfId="446" priority="448" operator="equal">
      <formula>"szf"</formula>
    </cfRule>
  </conditionalFormatting>
  <conditionalFormatting sqref="L76:L95">
    <cfRule type="cellIs" dxfId="445" priority="445" operator="equal">
      <formula>"+"</formula>
    </cfRule>
    <cfRule type="cellIs" dxfId="444" priority="446" operator="equal">
      <formula>"szf"</formula>
    </cfRule>
  </conditionalFormatting>
  <conditionalFormatting sqref="L76">
    <cfRule type="cellIs" dxfId="443" priority="444" operator="equal">
      <formula>"szf"</formula>
    </cfRule>
  </conditionalFormatting>
  <conditionalFormatting sqref="L76:L95">
    <cfRule type="cellIs" dxfId="442" priority="442" operator="equal">
      <formula>"+"</formula>
    </cfRule>
    <cfRule type="cellIs" dxfId="441" priority="443" operator="equal">
      <formula>"szf"</formula>
    </cfRule>
  </conditionalFormatting>
  <conditionalFormatting sqref="M76:M95">
    <cfRule type="cellIs" dxfId="440" priority="440" operator="equal">
      <formula>"+"</formula>
    </cfRule>
    <cfRule type="cellIs" dxfId="439" priority="441" operator="equal">
      <formula>"szf"</formula>
    </cfRule>
  </conditionalFormatting>
  <conditionalFormatting sqref="M76">
    <cfRule type="cellIs" dxfId="438" priority="439" operator="equal">
      <formula>"szf"</formula>
    </cfRule>
  </conditionalFormatting>
  <conditionalFormatting sqref="M76:M95">
    <cfRule type="cellIs" dxfId="437" priority="437" operator="equal">
      <formula>"+"</formula>
    </cfRule>
    <cfRule type="cellIs" dxfId="436" priority="438" operator="equal">
      <formula>"szf"</formula>
    </cfRule>
  </conditionalFormatting>
  <conditionalFormatting sqref="S76:S95">
    <cfRule type="cellIs" dxfId="435" priority="435" operator="equal">
      <formula>"+"</formula>
    </cfRule>
    <cfRule type="cellIs" dxfId="434" priority="436" operator="equal">
      <formula>"szf"</formula>
    </cfRule>
  </conditionalFormatting>
  <conditionalFormatting sqref="S76">
    <cfRule type="cellIs" dxfId="433" priority="434" operator="equal">
      <formula>"szf"</formula>
    </cfRule>
  </conditionalFormatting>
  <conditionalFormatting sqref="S76:S95">
    <cfRule type="cellIs" dxfId="432" priority="432" operator="equal">
      <formula>"+"</formula>
    </cfRule>
    <cfRule type="cellIs" dxfId="431" priority="433" operator="equal">
      <formula>"szf"</formula>
    </cfRule>
  </conditionalFormatting>
  <conditionalFormatting sqref="T76:T95">
    <cfRule type="cellIs" dxfId="430" priority="430" operator="equal">
      <formula>"+"</formula>
    </cfRule>
    <cfRule type="cellIs" dxfId="429" priority="431" operator="equal">
      <formula>"szf"</formula>
    </cfRule>
  </conditionalFormatting>
  <conditionalFormatting sqref="T76">
    <cfRule type="cellIs" dxfId="428" priority="429" operator="equal">
      <formula>"szf"</formula>
    </cfRule>
  </conditionalFormatting>
  <conditionalFormatting sqref="T76:T95">
    <cfRule type="cellIs" dxfId="427" priority="427" operator="equal">
      <formula>"+"</formula>
    </cfRule>
    <cfRule type="cellIs" dxfId="426" priority="428" operator="equal">
      <formula>"szf"</formula>
    </cfRule>
  </conditionalFormatting>
  <conditionalFormatting sqref="Z76:Z95">
    <cfRule type="cellIs" dxfId="425" priority="425" operator="equal">
      <formula>"+"</formula>
    </cfRule>
    <cfRule type="cellIs" dxfId="424" priority="426" operator="equal">
      <formula>"szf"</formula>
    </cfRule>
  </conditionalFormatting>
  <conditionalFormatting sqref="Z76">
    <cfRule type="cellIs" dxfId="423" priority="424" operator="equal">
      <formula>"szf"</formula>
    </cfRule>
  </conditionalFormatting>
  <conditionalFormatting sqref="Z76:Z95">
    <cfRule type="cellIs" dxfId="422" priority="422" operator="equal">
      <formula>"+"</formula>
    </cfRule>
    <cfRule type="cellIs" dxfId="421" priority="423" operator="equal">
      <formula>"szf"</formula>
    </cfRule>
  </conditionalFormatting>
  <conditionalFormatting sqref="AA76:AA95">
    <cfRule type="cellIs" dxfId="420" priority="420" operator="equal">
      <formula>"+"</formula>
    </cfRule>
    <cfRule type="cellIs" dxfId="419" priority="421" operator="equal">
      <formula>"szf"</formula>
    </cfRule>
  </conditionalFormatting>
  <conditionalFormatting sqref="AA76">
    <cfRule type="cellIs" dxfId="418" priority="419" operator="equal">
      <formula>"szf"</formula>
    </cfRule>
  </conditionalFormatting>
  <conditionalFormatting sqref="AA76:AA95">
    <cfRule type="cellIs" dxfId="417" priority="417" operator="equal">
      <formula>"+"</formula>
    </cfRule>
    <cfRule type="cellIs" dxfId="416" priority="418" operator="equal">
      <formula>"szf"</formula>
    </cfRule>
  </conditionalFormatting>
  <conditionalFormatting sqref="C100:C119">
    <cfRule type="cellIs" dxfId="415" priority="415" operator="equal">
      <formula>"+"</formula>
    </cfRule>
    <cfRule type="cellIs" dxfId="414" priority="416" operator="equal">
      <formula>"szf"</formula>
    </cfRule>
  </conditionalFormatting>
  <conditionalFormatting sqref="C100">
    <cfRule type="cellIs" dxfId="413" priority="414" operator="equal">
      <formula>"szf"</formula>
    </cfRule>
  </conditionalFormatting>
  <conditionalFormatting sqref="C100:C119">
    <cfRule type="cellIs" dxfId="412" priority="412" operator="equal">
      <formula>"+"</formula>
    </cfRule>
    <cfRule type="cellIs" dxfId="411" priority="413" operator="equal">
      <formula>"szf"</formula>
    </cfRule>
  </conditionalFormatting>
  <conditionalFormatting sqref="D100:D119">
    <cfRule type="cellIs" dxfId="410" priority="410" operator="equal">
      <formula>"+"</formula>
    </cfRule>
    <cfRule type="cellIs" dxfId="409" priority="411" operator="equal">
      <formula>"szf"</formula>
    </cfRule>
  </conditionalFormatting>
  <conditionalFormatting sqref="D100">
    <cfRule type="cellIs" dxfId="408" priority="409" operator="equal">
      <formula>"szf"</formula>
    </cfRule>
  </conditionalFormatting>
  <conditionalFormatting sqref="D100:D119">
    <cfRule type="cellIs" dxfId="407" priority="407" operator="equal">
      <formula>"+"</formula>
    </cfRule>
    <cfRule type="cellIs" dxfId="406" priority="408" operator="equal">
      <formula>"szf"</formula>
    </cfRule>
  </conditionalFormatting>
  <conditionalFormatting sqref="J100:J119">
    <cfRule type="cellIs" dxfId="405" priority="405" operator="equal">
      <formula>"+"</formula>
    </cfRule>
    <cfRule type="cellIs" dxfId="404" priority="406" operator="equal">
      <formula>"szf"</formula>
    </cfRule>
  </conditionalFormatting>
  <conditionalFormatting sqref="J100">
    <cfRule type="cellIs" dxfId="403" priority="404" operator="equal">
      <formula>"szf"</formula>
    </cfRule>
  </conditionalFormatting>
  <conditionalFormatting sqref="J100:J119">
    <cfRule type="cellIs" dxfId="402" priority="402" operator="equal">
      <formula>"+"</formula>
    </cfRule>
    <cfRule type="cellIs" dxfId="401" priority="403" operator="equal">
      <formula>"szf"</formula>
    </cfRule>
  </conditionalFormatting>
  <conditionalFormatting sqref="K100:K119">
    <cfRule type="cellIs" dxfId="400" priority="400" operator="equal">
      <formula>"+"</formula>
    </cfRule>
    <cfRule type="cellIs" dxfId="399" priority="401" operator="equal">
      <formula>"szf"</formula>
    </cfRule>
  </conditionalFormatting>
  <conditionalFormatting sqref="K100">
    <cfRule type="cellIs" dxfId="398" priority="399" operator="equal">
      <formula>"szf"</formula>
    </cfRule>
  </conditionalFormatting>
  <conditionalFormatting sqref="K100:K119">
    <cfRule type="cellIs" dxfId="397" priority="397" operator="equal">
      <formula>"+"</formula>
    </cfRule>
    <cfRule type="cellIs" dxfId="396" priority="398" operator="equal">
      <formula>"szf"</formula>
    </cfRule>
  </conditionalFormatting>
  <conditionalFormatting sqref="Q100:Q119">
    <cfRule type="cellIs" dxfId="395" priority="395" operator="equal">
      <formula>"+"</formula>
    </cfRule>
    <cfRule type="cellIs" dxfId="394" priority="396" operator="equal">
      <formula>"szf"</formula>
    </cfRule>
  </conditionalFormatting>
  <conditionalFormatting sqref="Q100">
    <cfRule type="cellIs" dxfId="393" priority="394" operator="equal">
      <formula>"szf"</formula>
    </cfRule>
  </conditionalFormatting>
  <conditionalFormatting sqref="Q100:Q119">
    <cfRule type="cellIs" dxfId="392" priority="392" operator="equal">
      <formula>"+"</formula>
    </cfRule>
    <cfRule type="cellIs" dxfId="391" priority="393" operator="equal">
      <formula>"szf"</formula>
    </cfRule>
  </conditionalFormatting>
  <conditionalFormatting sqref="R100:R119">
    <cfRule type="cellIs" dxfId="390" priority="390" operator="equal">
      <formula>"+"</formula>
    </cfRule>
    <cfRule type="cellIs" dxfId="389" priority="391" operator="equal">
      <formula>"szf"</formula>
    </cfRule>
  </conditionalFormatting>
  <conditionalFormatting sqref="R100">
    <cfRule type="cellIs" dxfId="388" priority="389" operator="equal">
      <formula>"szf"</formula>
    </cfRule>
  </conditionalFormatting>
  <conditionalFormatting sqref="R100:R119">
    <cfRule type="cellIs" dxfId="387" priority="387" operator="equal">
      <formula>"+"</formula>
    </cfRule>
    <cfRule type="cellIs" dxfId="386" priority="388" operator="equal">
      <formula>"szf"</formula>
    </cfRule>
  </conditionalFormatting>
  <conditionalFormatting sqref="X100:X119">
    <cfRule type="cellIs" dxfId="385" priority="385" operator="equal">
      <formula>"+"</formula>
    </cfRule>
    <cfRule type="cellIs" dxfId="384" priority="386" operator="equal">
      <formula>"szf"</formula>
    </cfRule>
  </conditionalFormatting>
  <conditionalFormatting sqref="X100">
    <cfRule type="cellIs" dxfId="383" priority="384" operator="equal">
      <formula>"szf"</formula>
    </cfRule>
  </conditionalFormatting>
  <conditionalFormatting sqref="X100:X119">
    <cfRule type="cellIs" dxfId="382" priority="382" operator="equal">
      <formula>"+"</formula>
    </cfRule>
    <cfRule type="cellIs" dxfId="381" priority="383" operator="equal">
      <formula>"szf"</formula>
    </cfRule>
  </conditionalFormatting>
  <conditionalFormatting sqref="Y100:Y119">
    <cfRule type="cellIs" dxfId="380" priority="380" operator="equal">
      <formula>"+"</formula>
    </cfRule>
    <cfRule type="cellIs" dxfId="379" priority="381" operator="equal">
      <formula>"szf"</formula>
    </cfRule>
  </conditionalFormatting>
  <conditionalFormatting sqref="Y100">
    <cfRule type="cellIs" dxfId="378" priority="379" operator="equal">
      <formula>"szf"</formula>
    </cfRule>
  </conditionalFormatting>
  <conditionalFormatting sqref="Y100:Y119">
    <cfRule type="cellIs" dxfId="377" priority="377" operator="equal">
      <formula>"+"</formula>
    </cfRule>
    <cfRule type="cellIs" dxfId="376" priority="378" operator="equal">
      <formula>"szf"</formula>
    </cfRule>
  </conditionalFormatting>
  <conditionalFormatting sqref="AE100:AE119">
    <cfRule type="cellIs" dxfId="375" priority="375" operator="equal">
      <formula>"+"</formula>
    </cfRule>
    <cfRule type="cellIs" dxfId="374" priority="376" operator="equal">
      <formula>"szf"</formula>
    </cfRule>
  </conditionalFormatting>
  <conditionalFormatting sqref="AE100">
    <cfRule type="cellIs" dxfId="373" priority="374" operator="equal">
      <formula>"szf"</formula>
    </cfRule>
  </conditionalFormatting>
  <conditionalFormatting sqref="AE100:AE119">
    <cfRule type="cellIs" dxfId="372" priority="372" operator="equal">
      <formula>"+"</formula>
    </cfRule>
    <cfRule type="cellIs" dxfId="371" priority="373" operator="equal">
      <formula>"szf"</formula>
    </cfRule>
  </conditionalFormatting>
  <conditionalFormatting sqref="AF100:AF119">
    <cfRule type="cellIs" dxfId="370" priority="370" operator="equal">
      <formula>"+"</formula>
    </cfRule>
    <cfRule type="cellIs" dxfId="369" priority="371" operator="equal">
      <formula>"szf"</formula>
    </cfRule>
  </conditionalFormatting>
  <conditionalFormatting sqref="AF100">
    <cfRule type="cellIs" dxfId="368" priority="369" operator="equal">
      <formula>"szf"</formula>
    </cfRule>
  </conditionalFormatting>
  <conditionalFormatting sqref="AF100:AF119">
    <cfRule type="cellIs" dxfId="367" priority="367" operator="equal">
      <formula>"+"</formula>
    </cfRule>
    <cfRule type="cellIs" dxfId="366" priority="368" operator="equal">
      <formula>"szf"</formula>
    </cfRule>
  </conditionalFormatting>
  <conditionalFormatting sqref="G124:G143">
    <cfRule type="cellIs" dxfId="365" priority="365" operator="equal">
      <formula>"+"</formula>
    </cfRule>
    <cfRule type="cellIs" dxfId="364" priority="366" operator="equal">
      <formula>"szf"</formula>
    </cfRule>
  </conditionalFormatting>
  <conditionalFormatting sqref="G124">
    <cfRule type="cellIs" dxfId="363" priority="364" operator="equal">
      <formula>"szf"</formula>
    </cfRule>
  </conditionalFormatting>
  <conditionalFormatting sqref="G124:G143">
    <cfRule type="cellIs" dxfId="362" priority="362" operator="equal">
      <formula>"+"</formula>
    </cfRule>
    <cfRule type="cellIs" dxfId="361" priority="363" operator="equal">
      <formula>"szf"</formula>
    </cfRule>
  </conditionalFormatting>
  <conditionalFormatting sqref="H124:H143">
    <cfRule type="cellIs" dxfId="360" priority="360" operator="equal">
      <formula>"+"</formula>
    </cfRule>
    <cfRule type="cellIs" dxfId="359" priority="361" operator="equal">
      <formula>"szf"</formula>
    </cfRule>
  </conditionalFormatting>
  <conditionalFormatting sqref="H124">
    <cfRule type="cellIs" dxfId="358" priority="359" operator="equal">
      <formula>"szf"</formula>
    </cfRule>
  </conditionalFormatting>
  <conditionalFormatting sqref="H124:H143">
    <cfRule type="cellIs" dxfId="357" priority="357" operator="equal">
      <formula>"+"</formula>
    </cfRule>
    <cfRule type="cellIs" dxfId="356" priority="358" operator="equal">
      <formula>"szf"</formula>
    </cfRule>
  </conditionalFormatting>
  <conditionalFormatting sqref="N124:N143">
    <cfRule type="cellIs" dxfId="355" priority="355" operator="equal">
      <formula>"+"</formula>
    </cfRule>
    <cfRule type="cellIs" dxfId="354" priority="356" operator="equal">
      <formula>"szf"</formula>
    </cfRule>
  </conditionalFormatting>
  <conditionalFormatting sqref="N124">
    <cfRule type="cellIs" dxfId="353" priority="354" operator="equal">
      <formula>"szf"</formula>
    </cfRule>
  </conditionalFormatting>
  <conditionalFormatting sqref="N124:N143">
    <cfRule type="cellIs" dxfId="352" priority="352" operator="equal">
      <formula>"+"</formula>
    </cfRule>
    <cfRule type="cellIs" dxfId="351" priority="353" operator="equal">
      <formula>"szf"</formula>
    </cfRule>
  </conditionalFormatting>
  <conditionalFormatting sqref="O124:O143">
    <cfRule type="cellIs" dxfId="350" priority="350" operator="equal">
      <formula>"+"</formula>
    </cfRule>
    <cfRule type="cellIs" dxfId="349" priority="351" operator="equal">
      <formula>"szf"</formula>
    </cfRule>
  </conditionalFormatting>
  <conditionalFormatting sqref="O124">
    <cfRule type="cellIs" dxfId="348" priority="349" operator="equal">
      <formula>"szf"</formula>
    </cfRule>
  </conditionalFormatting>
  <conditionalFormatting sqref="O124:O143">
    <cfRule type="cellIs" dxfId="347" priority="347" operator="equal">
      <formula>"+"</formula>
    </cfRule>
    <cfRule type="cellIs" dxfId="346" priority="348" operator="equal">
      <formula>"szf"</formula>
    </cfRule>
  </conditionalFormatting>
  <conditionalFormatting sqref="U124:U143">
    <cfRule type="cellIs" dxfId="345" priority="345" operator="equal">
      <formula>"+"</formula>
    </cfRule>
    <cfRule type="cellIs" dxfId="344" priority="346" operator="equal">
      <formula>"szf"</formula>
    </cfRule>
  </conditionalFormatting>
  <conditionalFormatting sqref="U124">
    <cfRule type="cellIs" dxfId="343" priority="344" operator="equal">
      <formula>"szf"</formula>
    </cfRule>
  </conditionalFormatting>
  <conditionalFormatting sqref="U124:U143">
    <cfRule type="cellIs" dxfId="342" priority="342" operator="equal">
      <formula>"+"</formula>
    </cfRule>
    <cfRule type="cellIs" dxfId="341" priority="343" operator="equal">
      <formula>"szf"</formula>
    </cfRule>
  </conditionalFormatting>
  <conditionalFormatting sqref="V124:V143">
    <cfRule type="cellIs" dxfId="340" priority="340" operator="equal">
      <formula>"+"</formula>
    </cfRule>
    <cfRule type="cellIs" dxfId="339" priority="341" operator="equal">
      <formula>"szf"</formula>
    </cfRule>
  </conditionalFormatting>
  <conditionalFormatting sqref="V124">
    <cfRule type="cellIs" dxfId="338" priority="339" operator="equal">
      <formula>"szf"</formula>
    </cfRule>
  </conditionalFormatting>
  <conditionalFormatting sqref="V124:V143">
    <cfRule type="cellIs" dxfId="337" priority="337" operator="equal">
      <formula>"+"</formula>
    </cfRule>
    <cfRule type="cellIs" dxfId="336" priority="338" operator="equal">
      <formula>"szf"</formula>
    </cfRule>
  </conditionalFormatting>
  <conditionalFormatting sqref="AC124:AC143">
    <cfRule type="cellIs" dxfId="335" priority="335" operator="equal">
      <formula>"+"</formula>
    </cfRule>
    <cfRule type="cellIs" dxfId="334" priority="336" operator="equal">
      <formula>"szf"</formula>
    </cfRule>
  </conditionalFormatting>
  <conditionalFormatting sqref="AC124">
    <cfRule type="cellIs" dxfId="333" priority="334" operator="equal">
      <formula>"szf"</formula>
    </cfRule>
  </conditionalFormatting>
  <conditionalFormatting sqref="AC124:AC143">
    <cfRule type="cellIs" dxfId="332" priority="332" operator="equal">
      <formula>"+"</formula>
    </cfRule>
    <cfRule type="cellIs" dxfId="331" priority="333" operator="equal">
      <formula>"szf"</formula>
    </cfRule>
  </conditionalFormatting>
  <conditionalFormatting sqref="AB124:AB143">
    <cfRule type="cellIs" dxfId="330" priority="330" operator="equal">
      <formula>"+"</formula>
    </cfRule>
    <cfRule type="cellIs" dxfId="329" priority="331" operator="equal">
      <formula>"szf"</formula>
    </cfRule>
  </conditionalFormatting>
  <conditionalFormatting sqref="AB124">
    <cfRule type="cellIs" dxfId="328" priority="329" operator="equal">
      <formula>"szf"</formula>
    </cfRule>
  </conditionalFormatting>
  <conditionalFormatting sqref="AB124:AB143">
    <cfRule type="cellIs" dxfId="327" priority="327" operator="equal">
      <formula>"+"</formula>
    </cfRule>
    <cfRule type="cellIs" dxfId="326" priority="328" operator="equal">
      <formula>"szf"</formula>
    </cfRule>
  </conditionalFormatting>
  <conditionalFormatting sqref="E148:E167">
    <cfRule type="cellIs" dxfId="325" priority="325" operator="equal">
      <formula>"+"</formula>
    </cfRule>
    <cfRule type="cellIs" dxfId="324" priority="326" operator="equal">
      <formula>"szf"</formula>
    </cfRule>
  </conditionalFormatting>
  <conditionalFormatting sqref="E148">
    <cfRule type="cellIs" dxfId="323" priority="324" operator="equal">
      <formula>"szf"</formula>
    </cfRule>
  </conditionalFormatting>
  <conditionalFormatting sqref="E148:E167">
    <cfRule type="cellIs" dxfId="322" priority="322" operator="equal">
      <formula>"+"</formula>
    </cfRule>
    <cfRule type="cellIs" dxfId="321" priority="323" operator="equal">
      <formula>"szf"</formula>
    </cfRule>
  </conditionalFormatting>
  <conditionalFormatting sqref="F148:F167">
    <cfRule type="cellIs" dxfId="320" priority="320" operator="equal">
      <formula>"+"</formula>
    </cfRule>
    <cfRule type="cellIs" dxfId="319" priority="321" operator="equal">
      <formula>"szf"</formula>
    </cfRule>
  </conditionalFormatting>
  <conditionalFormatting sqref="F148">
    <cfRule type="cellIs" dxfId="318" priority="319" operator="equal">
      <formula>"szf"</formula>
    </cfRule>
  </conditionalFormatting>
  <conditionalFormatting sqref="F148:F167">
    <cfRule type="cellIs" dxfId="317" priority="317" operator="equal">
      <formula>"+"</formula>
    </cfRule>
    <cfRule type="cellIs" dxfId="316" priority="318" operator="equal">
      <formula>"szf"</formula>
    </cfRule>
  </conditionalFormatting>
  <conditionalFormatting sqref="M148:M167">
    <cfRule type="cellIs" dxfId="315" priority="315" operator="equal">
      <formula>"+"</formula>
    </cfRule>
    <cfRule type="cellIs" dxfId="314" priority="316" operator="equal">
      <formula>"szf"</formula>
    </cfRule>
  </conditionalFormatting>
  <conditionalFormatting sqref="M148">
    <cfRule type="cellIs" dxfId="313" priority="314" operator="equal">
      <formula>"szf"</formula>
    </cfRule>
  </conditionalFormatting>
  <conditionalFormatting sqref="M148:M167">
    <cfRule type="cellIs" dxfId="312" priority="312" operator="equal">
      <formula>"+"</formula>
    </cfRule>
    <cfRule type="cellIs" dxfId="311" priority="313" operator="equal">
      <formula>"szf"</formula>
    </cfRule>
  </conditionalFormatting>
  <conditionalFormatting sqref="L148:L167">
    <cfRule type="cellIs" dxfId="310" priority="310" operator="equal">
      <formula>"+"</formula>
    </cfRule>
    <cfRule type="cellIs" dxfId="309" priority="311" operator="equal">
      <formula>"szf"</formula>
    </cfRule>
  </conditionalFormatting>
  <conditionalFormatting sqref="L148">
    <cfRule type="cellIs" dxfId="308" priority="309" operator="equal">
      <formula>"szf"</formula>
    </cfRule>
  </conditionalFormatting>
  <conditionalFormatting sqref="L148:L167">
    <cfRule type="cellIs" dxfId="307" priority="307" operator="equal">
      <formula>"+"</formula>
    </cfRule>
    <cfRule type="cellIs" dxfId="306" priority="308" operator="equal">
      <formula>"szf"</formula>
    </cfRule>
  </conditionalFormatting>
  <conditionalFormatting sqref="S148:S167">
    <cfRule type="cellIs" dxfId="305" priority="305" operator="equal">
      <formula>"+"</formula>
    </cfRule>
    <cfRule type="cellIs" dxfId="304" priority="306" operator="equal">
      <formula>"szf"</formula>
    </cfRule>
  </conditionalFormatting>
  <conditionalFormatting sqref="S148">
    <cfRule type="cellIs" dxfId="303" priority="304" operator="equal">
      <formula>"szf"</formula>
    </cfRule>
  </conditionalFormatting>
  <conditionalFormatting sqref="S148:S167">
    <cfRule type="cellIs" dxfId="302" priority="302" operator="equal">
      <formula>"+"</formula>
    </cfRule>
    <cfRule type="cellIs" dxfId="301" priority="303" operator="equal">
      <formula>"szf"</formula>
    </cfRule>
  </conditionalFormatting>
  <conditionalFormatting sqref="T148:T167">
    <cfRule type="cellIs" dxfId="300" priority="300" operator="equal">
      <formula>"+"</formula>
    </cfRule>
    <cfRule type="cellIs" dxfId="299" priority="301" operator="equal">
      <formula>"szf"</formula>
    </cfRule>
  </conditionalFormatting>
  <conditionalFormatting sqref="T148">
    <cfRule type="cellIs" dxfId="298" priority="299" operator="equal">
      <formula>"szf"</formula>
    </cfRule>
  </conditionalFormatting>
  <conditionalFormatting sqref="T148:T167">
    <cfRule type="cellIs" dxfId="297" priority="297" operator="equal">
      <formula>"+"</formula>
    </cfRule>
    <cfRule type="cellIs" dxfId="296" priority="298" operator="equal">
      <formula>"szf"</formula>
    </cfRule>
  </conditionalFormatting>
  <conditionalFormatting sqref="AA148:AA167">
    <cfRule type="cellIs" dxfId="295" priority="295" operator="equal">
      <formula>"+"</formula>
    </cfRule>
    <cfRule type="cellIs" dxfId="294" priority="296" operator="equal">
      <formula>"szf"</formula>
    </cfRule>
  </conditionalFormatting>
  <conditionalFormatting sqref="AA148">
    <cfRule type="cellIs" dxfId="293" priority="294" operator="equal">
      <formula>"szf"</formula>
    </cfRule>
  </conditionalFormatting>
  <conditionalFormatting sqref="AA148:AA167">
    <cfRule type="cellIs" dxfId="292" priority="292" operator="equal">
      <formula>"+"</formula>
    </cfRule>
    <cfRule type="cellIs" dxfId="291" priority="293" operator="equal">
      <formula>"szf"</formula>
    </cfRule>
  </conditionalFormatting>
  <conditionalFormatting sqref="Z148:Z167">
    <cfRule type="cellIs" dxfId="290" priority="290" operator="equal">
      <formula>"+"</formula>
    </cfRule>
    <cfRule type="cellIs" dxfId="289" priority="291" operator="equal">
      <formula>"szf"</formula>
    </cfRule>
  </conditionalFormatting>
  <conditionalFormatting sqref="Z148">
    <cfRule type="cellIs" dxfId="288" priority="289" operator="equal">
      <formula>"szf"</formula>
    </cfRule>
  </conditionalFormatting>
  <conditionalFormatting sqref="Z148:Z167">
    <cfRule type="cellIs" dxfId="287" priority="287" operator="equal">
      <formula>"+"</formula>
    </cfRule>
    <cfRule type="cellIs" dxfId="286" priority="288" operator="equal">
      <formula>"szf"</formula>
    </cfRule>
  </conditionalFormatting>
  <conditionalFormatting sqref="B172:B191">
    <cfRule type="cellIs" dxfId="285" priority="285" operator="equal">
      <formula>"+"</formula>
    </cfRule>
    <cfRule type="cellIs" dxfId="284" priority="286" operator="equal">
      <formula>"szf"</formula>
    </cfRule>
  </conditionalFormatting>
  <conditionalFormatting sqref="B172">
    <cfRule type="cellIs" dxfId="283" priority="284" operator="equal">
      <formula>"szf"</formula>
    </cfRule>
  </conditionalFormatting>
  <conditionalFormatting sqref="B172:B191">
    <cfRule type="cellIs" dxfId="282" priority="282" operator="equal">
      <formula>"+"</formula>
    </cfRule>
    <cfRule type="cellIs" dxfId="281" priority="283" operator="equal">
      <formula>"szf"</formula>
    </cfRule>
  </conditionalFormatting>
  <conditionalFormatting sqref="C172:C191">
    <cfRule type="cellIs" dxfId="280" priority="280" operator="equal">
      <formula>"+"</formula>
    </cfRule>
    <cfRule type="cellIs" dxfId="279" priority="281" operator="equal">
      <formula>"szf"</formula>
    </cfRule>
  </conditionalFormatting>
  <conditionalFormatting sqref="C172">
    <cfRule type="cellIs" dxfId="278" priority="279" operator="equal">
      <formula>"szf"</formula>
    </cfRule>
  </conditionalFormatting>
  <conditionalFormatting sqref="C172:C191">
    <cfRule type="cellIs" dxfId="277" priority="277" operator="equal">
      <formula>"+"</formula>
    </cfRule>
    <cfRule type="cellIs" dxfId="276" priority="278" operator="equal">
      <formula>"szf"</formula>
    </cfRule>
  </conditionalFormatting>
  <conditionalFormatting sqref="I172:I191">
    <cfRule type="cellIs" dxfId="275" priority="275" operator="equal">
      <formula>"+"</formula>
    </cfRule>
    <cfRule type="cellIs" dxfId="274" priority="276" operator="equal">
      <formula>"szf"</formula>
    </cfRule>
  </conditionalFormatting>
  <conditionalFormatting sqref="I172">
    <cfRule type="cellIs" dxfId="273" priority="274" operator="equal">
      <formula>"szf"</formula>
    </cfRule>
  </conditionalFormatting>
  <conditionalFormatting sqref="I172:I191">
    <cfRule type="cellIs" dxfId="272" priority="272" operator="equal">
      <formula>"+"</formula>
    </cfRule>
    <cfRule type="cellIs" dxfId="271" priority="273" operator="equal">
      <formula>"szf"</formula>
    </cfRule>
  </conditionalFormatting>
  <conditionalFormatting sqref="J172:J191">
    <cfRule type="cellIs" dxfId="270" priority="270" operator="equal">
      <formula>"+"</formula>
    </cfRule>
    <cfRule type="cellIs" dxfId="269" priority="271" operator="equal">
      <formula>"szf"</formula>
    </cfRule>
  </conditionalFormatting>
  <conditionalFormatting sqref="J172">
    <cfRule type="cellIs" dxfId="268" priority="269" operator="equal">
      <formula>"szf"</formula>
    </cfRule>
  </conditionalFormatting>
  <conditionalFormatting sqref="J172:J191">
    <cfRule type="cellIs" dxfId="267" priority="267" operator="equal">
      <formula>"+"</formula>
    </cfRule>
    <cfRule type="cellIs" dxfId="266" priority="268" operator="equal">
      <formula>"szf"</formula>
    </cfRule>
  </conditionalFormatting>
  <conditionalFormatting sqref="P172:P191">
    <cfRule type="cellIs" dxfId="265" priority="265" operator="equal">
      <formula>"+"</formula>
    </cfRule>
    <cfRule type="cellIs" dxfId="264" priority="266" operator="equal">
      <formula>"szf"</formula>
    </cfRule>
  </conditionalFormatting>
  <conditionalFormatting sqref="P172">
    <cfRule type="cellIs" dxfId="263" priority="264" operator="equal">
      <formula>"szf"</formula>
    </cfRule>
  </conditionalFormatting>
  <conditionalFormatting sqref="P172:P191">
    <cfRule type="cellIs" dxfId="262" priority="262" operator="equal">
      <formula>"+"</formula>
    </cfRule>
    <cfRule type="cellIs" dxfId="261" priority="263" operator="equal">
      <formula>"szf"</formula>
    </cfRule>
  </conditionalFormatting>
  <conditionalFormatting sqref="Q172:Q191">
    <cfRule type="cellIs" dxfId="260" priority="260" operator="equal">
      <formula>"+"</formula>
    </cfRule>
    <cfRule type="cellIs" dxfId="259" priority="261" operator="equal">
      <formula>"szf"</formula>
    </cfRule>
  </conditionalFormatting>
  <conditionalFormatting sqref="Q172">
    <cfRule type="cellIs" dxfId="258" priority="259" operator="equal">
      <formula>"szf"</formula>
    </cfRule>
  </conditionalFormatting>
  <conditionalFormatting sqref="Q172:Q191">
    <cfRule type="cellIs" dxfId="257" priority="257" operator="equal">
      <formula>"+"</formula>
    </cfRule>
    <cfRule type="cellIs" dxfId="256" priority="258" operator="equal">
      <formula>"szf"</formula>
    </cfRule>
  </conditionalFormatting>
  <conditionalFormatting sqref="W172:W191">
    <cfRule type="cellIs" dxfId="255" priority="255" operator="equal">
      <formula>"+"</formula>
    </cfRule>
    <cfRule type="cellIs" dxfId="254" priority="256" operator="equal">
      <formula>"szf"</formula>
    </cfRule>
  </conditionalFormatting>
  <conditionalFormatting sqref="W172">
    <cfRule type="cellIs" dxfId="253" priority="254" operator="equal">
      <formula>"szf"</formula>
    </cfRule>
  </conditionalFormatting>
  <conditionalFormatting sqref="W172:W191">
    <cfRule type="cellIs" dxfId="252" priority="252" operator="equal">
      <formula>"+"</formula>
    </cfRule>
    <cfRule type="cellIs" dxfId="251" priority="253" operator="equal">
      <formula>"szf"</formula>
    </cfRule>
  </conditionalFormatting>
  <conditionalFormatting sqref="X172:X191">
    <cfRule type="cellIs" dxfId="250" priority="250" operator="equal">
      <formula>"+"</formula>
    </cfRule>
    <cfRule type="cellIs" dxfId="249" priority="251" operator="equal">
      <formula>"szf"</formula>
    </cfRule>
  </conditionalFormatting>
  <conditionalFormatting sqref="X172">
    <cfRule type="cellIs" dxfId="248" priority="249" operator="equal">
      <formula>"szf"</formula>
    </cfRule>
  </conditionalFormatting>
  <conditionalFormatting sqref="X172:X191">
    <cfRule type="cellIs" dxfId="247" priority="247" operator="equal">
      <formula>"+"</formula>
    </cfRule>
    <cfRule type="cellIs" dxfId="246" priority="248" operator="equal">
      <formula>"szf"</formula>
    </cfRule>
  </conditionalFormatting>
  <conditionalFormatting sqref="AD172:AD191">
    <cfRule type="cellIs" dxfId="245" priority="245" operator="equal">
      <formula>"+"</formula>
    </cfRule>
    <cfRule type="cellIs" dxfId="244" priority="246" operator="equal">
      <formula>"szf"</formula>
    </cfRule>
  </conditionalFormatting>
  <conditionalFormatting sqref="AD172">
    <cfRule type="cellIs" dxfId="243" priority="244" operator="equal">
      <formula>"szf"</formula>
    </cfRule>
  </conditionalFormatting>
  <conditionalFormatting sqref="AD172:AD191">
    <cfRule type="cellIs" dxfId="242" priority="242" operator="equal">
      <formula>"+"</formula>
    </cfRule>
    <cfRule type="cellIs" dxfId="241" priority="243" operator="equal">
      <formula>"szf"</formula>
    </cfRule>
  </conditionalFormatting>
  <conditionalFormatting sqref="AE172:AE191">
    <cfRule type="cellIs" dxfId="240" priority="240" operator="equal">
      <formula>"+"</formula>
    </cfRule>
    <cfRule type="cellIs" dxfId="239" priority="241" operator="equal">
      <formula>"szf"</formula>
    </cfRule>
  </conditionalFormatting>
  <conditionalFormatting sqref="AE172">
    <cfRule type="cellIs" dxfId="238" priority="239" operator="equal">
      <formula>"szf"</formula>
    </cfRule>
  </conditionalFormatting>
  <conditionalFormatting sqref="AE172:AE191">
    <cfRule type="cellIs" dxfId="237" priority="237" operator="equal">
      <formula>"+"</formula>
    </cfRule>
    <cfRule type="cellIs" dxfId="236" priority="238" operator="equal">
      <formula>"szf"</formula>
    </cfRule>
  </conditionalFormatting>
  <conditionalFormatting sqref="F196:F215">
    <cfRule type="cellIs" dxfId="235" priority="235" operator="equal">
      <formula>"+"</formula>
    </cfRule>
    <cfRule type="cellIs" dxfId="234" priority="236" operator="equal">
      <formula>"szf"</formula>
    </cfRule>
  </conditionalFormatting>
  <conditionalFormatting sqref="F196">
    <cfRule type="cellIs" dxfId="233" priority="234" operator="equal">
      <formula>"szf"</formula>
    </cfRule>
  </conditionalFormatting>
  <conditionalFormatting sqref="F196:F215">
    <cfRule type="cellIs" dxfId="232" priority="232" operator="equal">
      <formula>"+"</formula>
    </cfRule>
    <cfRule type="cellIs" dxfId="231" priority="233" operator="equal">
      <formula>"szf"</formula>
    </cfRule>
  </conditionalFormatting>
  <conditionalFormatting sqref="G196:G215">
    <cfRule type="cellIs" dxfId="230" priority="230" operator="equal">
      <formula>"+"</formula>
    </cfRule>
    <cfRule type="cellIs" dxfId="229" priority="231" operator="equal">
      <formula>"szf"</formula>
    </cfRule>
  </conditionalFormatting>
  <conditionalFormatting sqref="G196">
    <cfRule type="cellIs" dxfId="228" priority="229" operator="equal">
      <formula>"szf"</formula>
    </cfRule>
  </conditionalFormatting>
  <conditionalFormatting sqref="G196:G215">
    <cfRule type="cellIs" dxfId="227" priority="227" operator="equal">
      <formula>"+"</formula>
    </cfRule>
    <cfRule type="cellIs" dxfId="226" priority="228" operator="equal">
      <formula>"szf"</formula>
    </cfRule>
  </conditionalFormatting>
  <conditionalFormatting sqref="M196:M215">
    <cfRule type="cellIs" dxfId="225" priority="225" operator="equal">
      <formula>"+"</formula>
    </cfRule>
    <cfRule type="cellIs" dxfId="224" priority="226" operator="equal">
      <formula>"szf"</formula>
    </cfRule>
  </conditionalFormatting>
  <conditionalFormatting sqref="M196">
    <cfRule type="cellIs" dxfId="223" priority="224" operator="equal">
      <formula>"szf"</formula>
    </cfRule>
  </conditionalFormatting>
  <conditionalFormatting sqref="M196:M215">
    <cfRule type="cellIs" dxfId="222" priority="222" operator="equal">
      <formula>"+"</formula>
    </cfRule>
    <cfRule type="cellIs" dxfId="221" priority="223" operator="equal">
      <formula>"szf"</formula>
    </cfRule>
  </conditionalFormatting>
  <conditionalFormatting sqref="N196:N215">
    <cfRule type="cellIs" dxfId="220" priority="220" operator="equal">
      <formula>"+"</formula>
    </cfRule>
    <cfRule type="cellIs" dxfId="219" priority="221" operator="equal">
      <formula>"szf"</formula>
    </cfRule>
  </conditionalFormatting>
  <conditionalFormatting sqref="N196">
    <cfRule type="cellIs" dxfId="218" priority="219" operator="equal">
      <formula>"szf"</formula>
    </cfRule>
  </conditionalFormatting>
  <conditionalFormatting sqref="N196:N215">
    <cfRule type="cellIs" dxfId="217" priority="217" operator="equal">
      <formula>"+"</formula>
    </cfRule>
    <cfRule type="cellIs" dxfId="216" priority="218" operator="equal">
      <formula>"szf"</formula>
    </cfRule>
  </conditionalFormatting>
  <conditionalFormatting sqref="T196:T215">
    <cfRule type="cellIs" dxfId="215" priority="215" operator="equal">
      <formula>"+"</formula>
    </cfRule>
    <cfRule type="cellIs" dxfId="214" priority="216" operator="equal">
      <formula>"szf"</formula>
    </cfRule>
  </conditionalFormatting>
  <conditionalFormatting sqref="T196">
    <cfRule type="cellIs" dxfId="213" priority="214" operator="equal">
      <formula>"szf"</formula>
    </cfRule>
  </conditionalFormatting>
  <conditionalFormatting sqref="T196:T215">
    <cfRule type="cellIs" dxfId="212" priority="212" operator="equal">
      <formula>"+"</formula>
    </cfRule>
    <cfRule type="cellIs" dxfId="211" priority="213" operator="equal">
      <formula>"szf"</formula>
    </cfRule>
  </conditionalFormatting>
  <conditionalFormatting sqref="U196:U215">
    <cfRule type="cellIs" dxfId="210" priority="210" operator="equal">
      <formula>"+"</formula>
    </cfRule>
    <cfRule type="cellIs" dxfId="209" priority="211" operator="equal">
      <formula>"szf"</formula>
    </cfRule>
  </conditionalFormatting>
  <conditionalFormatting sqref="U196">
    <cfRule type="cellIs" dxfId="208" priority="209" operator="equal">
      <formula>"szf"</formula>
    </cfRule>
  </conditionalFormatting>
  <conditionalFormatting sqref="U196:U215">
    <cfRule type="cellIs" dxfId="207" priority="207" operator="equal">
      <formula>"+"</formula>
    </cfRule>
    <cfRule type="cellIs" dxfId="206" priority="208" operator="equal">
      <formula>"szf"</formula>
    </cfRule>
  </conditionalFormatting>
  <conditionalFormatting sqref="AB196:AB215">
    <cfRule type="cellIs" dxfId="205" priority="205" operator="equal">
      <formula>"+"</formula>
    </cfRule>
    <cfRule type="cellIs" dxfId="204" priority="206" operator="equal">
      <formula>"szf"</formula>
    </cfRule>
  </conditionalFormatting>
  <conditionalFormatting sqref="AB196">
    <cfRule type="cellIs" dxfId="203" priority="204" operator="equal">
      <formula>"szf"</formula>
    </cfRule>
  </conditionalFormatting>
  <conditionalFormatting sqref="AB196:AB215">
    <cfRule type="cellIs" dxfId="202" priority="202" operator="equal">
      <formula>"+"</formula>
    </cfRule>
    <cfRule type="cellIs" dxfId="201" priority="203" operator="equal">
      <formula>"szf"</formula>
    </cfRule>
  </conditionalFormatting>
  <conditionalFormatting sqref="AA196:AA215">
    <cfRule type="cellIs" dxfId="200" priority="200" operator="equal">
      <formula>"+"</formula>
    </cfRule>
    <cfRule type="cellIs" dxfId="199" priority="201" operator="equal">
      <formula>"szf"</formula>
    </cfRule>
  </conditionalFormatting>
  <conditionalFormatting sqref="AA196">
    <cfRule type="cellIs" dxfId="198" priority="199" operator="equal">
      <formula>"szf"</formula>
    </cfRule>
  </conditionalFormatting>
  <conditionalFormatting sqref="AA196:AA215">
    <cfRule type="cellIs" dxfId="197" priority="197" operator="equal">
      <formula>"+"</formula>
    </cfRule>
    <cfRule type="cellIs" dxfId="196" priority="198" operator="equal">
      <formula>"szf"</formula>
    </cfRule>
  </conditionalFormatting>
  <conditionalFormatting sqref="D220:D239">
    <cfRule type="cellIs" dxfId="195" priority="195" operator="equal">
      <formula>"+"</formula>
    </cfRule>
    <cfRule type="cellIs" dxfId="194" priority="196" operator="equal">
      <formula>"szf"</formula>
    </cfRule>
  </conditionalFormatting>
  <conditionalFormatting sqref="D220">
    <cfRule type="cellIs" dxfId="193" priority="194" operator="equal">
      <formula>"szf"</formula>
    </cfRule>
  </conditionalFormatting>
  <conditionalFormatting sqref="D220:D239">
    <cfRule type="cellIs" dxfId="192" priority="192" operator="equal">
      <formula>"+"</formula>
    </cfRule>
    <cfRule type="cellIs" dxfId="191" priority="193" operator="equal">
      <formula>"szf"</formula>
    </cfRule>
  </conditionalFormatting>
  <conditionalFormatting sqref="E220:E239">
    <cfRule type="cellIs" dxfId="190" priority="190" operator="equal">
      <formula>"+"</formula>
    </cfRule>
    <cfRule type="cellIs" dxfId="189" priority="191" operator="equal">
      <formula>"szf"</formula>
    </cfRule>
  </conditionalFormatting>
  <conditionalFormatting sqref="E220">
    <cfRule type="cellIs" dxfId="188" priority="189" operator="equal">
      <formula>"szf"</formula>
    </cfRule>
  </conditionalFormatting>
  <conditionalFormatting sqref="E220:E239">
    <cfRule type="cellIs" dxfId="187" priority="187" operator="equal">
      <formula>"+"</formula>
    </cfRule>
    <cfRule type="cellIs" dxfId="186" priority="188" operator="equal">
      <formula>"szf"</formula>
    </cfRule>
  </conditionalFormatting>
  <conditionalFormatting sqref="K220:K239">
    <cfRule type="cellIs" dxfId="185" priority="185" operator="equal">
      <formula>"+"</formula>
    </cfRule>
    <cfRule type="cellIs" dxfId="184" priority="186" operator="equal">
      <formula>"szf"</formula>
    </cfRule>
  </conditionalFormatting>
  <conditionalFormatting sqref="K220">
    <cfRule type="cellIs" dxfId="183" priority="184" operator="equal">
      <formula>"szf"</formula>
    </cfRule>
  </conditionalFormatting>
  <conditionalFormatting sqref="K220:K239">
    <cfRule type="cellIs" dxfId="182" priority="182" operator="equal">
      <formula>"+"</formula>
    </cfRule>
    <cfRule type="cellIs" dxfId="181" priority="183" operator="equal">
      <formula>"szf"</formula>
    </cfRule>
  </conditionalFormatting>
  <conditionalFormatting sqref="L220:L239">
    <cfRule type="cellIs" dxfId="180" priority="180" operator="equal">
      <formula>"+"</formula>
    </cfRule>
    <cfRule type="cellIs" dxfId="179" priority="181" operator="equal">
      <formula>"szf"</formula>
    </cfRule>
  </conditionalFormatting>
  <conditionalFormatting sqref="L220">
    <cfRule type="cellIs" dxfId="178" priority="179" operator="equal">
      <formula>"szf"</formula>
    </cfRule>
  </conditionalFormatting>
  <conditionalFormatting sqref="L220:L239">
    <cfRule type="cellIs" dxfId="177" priority="177" operator="equal">
      <formula>"+"</formula>
    </cfRule>
    <cfRule type="cellIs" dxfId="176" priority="178" operator="equal">
      <formula>"szf"</formula>
    </cfRule>
  </conditionalFormatting>
  <conditionalFormatting sqref="R220:R239">
    <cfRule type="cellIs" dxfId="175" priority="175" operator="equal">
      <formula>"+"</formula>
    </cfRule>
    <cfRule type="cellIs" dxfId="174" priority="176" operator="equal">
      <formula>"szf"</formula>
    </cfRule>
  </conditionalFormatting>
  <conditionalFormatting sqref="R220">
    <cfRule type="cellIs" dxfId="173" priority="174" operator="equal">
      <formula>"szf"</formula>
    </cfRule>
  </conditionalFormatting>
  <conditionalFormatting sqref="R220:R239">
    <cfRule type="cellIs" dxfId="172" priority="172" operator="equal">
      <formula>"+"</formula>
    </cfRule>
    <cfRule type="cellIs" dxfId="171" priority="173" operator="equal">
      <formula>"szf"</formula>
    </cfRule>
  </conditionalFormatting>
  <conditionalFormatting sqref="S220:S239">
    <cfRule type="cellIs" dxfId="170" priority="170" operator="equal">
      <formula>"+"</formula>
    </cfRule>
    <cfRule type="cellIs" dxfId="169" priority="171" operator="equal">
      <formula>"szf"</formula>
    </cfRule>
  </conditionalFormatting>
  <conditionalFormatting sqref="S220">
    <cfRule type="cellIs" dxfId="168" priority="169" operator="equal">
      <formula>"szf"</formula>
    </cfRule>
  </conditionalFormatting>
  <conditionalFormatting sqref="S220:S239">
    <cfRule type="cellIs" dxfId="167" priority="167" operator="equal">
      <formula>"+"</formula>
    </cfRule>
    <cfRule type="cellIs" dxfId="166" priority="168" operator="equal">
      <formula>"szf"</formula>
    </cfRule>
  </conditionalFormatting>
  <conditionalFormatting sqref="Y220:Y239">
    <cfRule type="cellIs" dxfId="165" priority="165" operator="equal">
      <formula>"+"</formula>
    </cfRule>
    <cfRule type="cellIs" dxfId="164" priority="166" operator="equal">
      <formula>"szf"</formula>
    </cfRule>
  </conditionalFormatting>
  <conditionalFormatting sqref="Y220">
    <cfRule type="cellIs" dxfId="163" priority="164" operator="equal">
      <formula>"szf"</formula>
    </cfRule>
  </conditionalFormatting>
  <conditionalFormatting sqref="Y220:Y239">
    <cfRule type="cellIs" dxfId="162" priority="162" operator="equal">
      <formula>"+"</formula>
    </cfRule>
    <cfRule type="cellIs" dxfId="161" priority="163" operator="equal">
      <formula>"szf"</formula>
    </cfRule>
  </conditionalFormatting>
  <conditionalFormatting sqref="Z220:Z239">
    <cfRule type="cellIs" dxfId="160" priority="160" operator="equal">
      <formula>"+"</formula>
    </cfRule>
    <cfRule type="cellIs" dxfId="159" priority="161" operator="equal">
      <formula>"szf"</formula>
    </cfRule>
  </conditionalFormatting>
  <conditionalFormatting sqref="Z220">
    <cfRule type="cellIs" dxfId="158" priority="159" operator="equal">
      <formula>"szf"</formula>
    </cfRule>
  </conditionalFormatting>
  <conditionalFormatting sqref="Z220:Z239">
    <cfRule type="cellIs" dxfId="157" priority="157" operator="equal">
      <formula>"+"</formula>
    </cfRule>
    <cfRule type="cellIs" dxfId="156" priority="158" operator="equal">
      <formula>"szf"</formula>
    </cfRule>
  </conditionalFormatting>
  <conditionalFormatting sqref="AF220:AF239">
    <cfRule type="cellIs" dxfId="155" priority="155" operator="equal">
      <formula>"+"</formula>
    </cfRule>
    <cfRule type="cellIs" dxfId="154" priority="156" operator="equal">
      <formula>"szf"</formula>
    </cfRule>
  </conditionalFormatting>
  <conditionalFormatting sqref="AF220">
    <cfRule type="cellIs" dxfId="153" priority="154" operator="equal">
      <formula>"szf"</formula>
    </cfRule>
  </conditionalFormatting>
  <conditionalFormatting sqref="AF220:AF239">
    <cfRule type="cellIs" dxfId="152" priority="152" operator="equal">
      <formula>"+"</formula>
    </cfRule>
    <cfRule type="cellIs" dxfId="151" priority="153" operator="equal">
      <formula>"szf"</formula>
    </cfRule>
  </conditionalFormatting>
  <conditionalFormatting sqref="B244:B263">
    <cfRule type="cellIs" dxfId="150" priority="150" operator="equal">
      <formula>"+"</formula>
    </cfRule>
    <cfRule type="cellIs" dxfId="149" priority="151" operator="equal">
      <formula>"szf"</formula>
    </cfRule>
  </conditionalFormatting>
  <conditionalFormatting sqref="B244">
    <cfRule type="cellIs" dxfId="148" priority="149" operator="equal">
      <formula>"szf"</formula>
    </cfRule>
  </conditionalFormatting>
  <conditionalFormatting sqref="B244:B263">
    <cfRule type="cellIs" dxfId="147" priority="147" operator="equal">
      <formula>"+"</formula>
    </cfRule>
    <cfRule type="cellIs" dxfId="146" priority="148" operator="equal">
      <formula>"szf"</formula>
    </cfRule>
  </conditionalFormatting>
  <conditionalFormatting sqref="H244:H263">
    <cfRule type="cellIs" dxfId="145" priority="145" operator="equal">
      <formula>"+"</formula>
    </cfRule>
    <cfRule type="cellIs" dxfId="144" priority="146" operator="equal">
      <formula>"szf"</formula>
    </cfRule>
  </conditionalFormatting>
  <conditionalFormatting sqref="H244">
    <cfRule type="cellIs" dxfId="143" priority="144" operator="equal">
      <formula>"szf"</formula>
    </cfRule>
  </conditionalFormatting>
  <conditionalFormatting sqref="H244:H263">
    <cfRule type="cellIs" dxfId="142" priority="142" operator="equal">
      <formula>"+"</formula>
    </cfRule>
    <cfRule type="cellIs" dxfId="141" priority="143" operator="equal">
      <formula>"szf"</formula>
    </cfRule>
  </conditionalFormatting>
  <conditionalFormatting sqref="I244:I263">
    <cfRule type="cellIs" dxfId="140" priority="140" operator="equal">
      <formula>"+"</formula>
    </cfRule>
    <cfRule type="cellIs" dxfId="139" priority="141" operator="equal">
      <formula>"szf"</formula>
    </cfRule>
  </conditionalFormatting>
  <conditionalFormatting sqref="I244">
    <cfRule type="cellIs" dxfId="138" priority="139" operator="equal">
      <formula>"szf"</formula>
    </cfRule>
  </conditionalFormatting>
  <conditionalFormatting sqref="I244:I263">
    <cfRule type="cellIs" dxfId="137" priority="137" operator="equal">
      <formula>"+"</formula>
    </cfRule>
    <cfRule type="cellIs" dxfId="136" priority="138" operator="equal">
      <formula>"szf"</formula>
    </cfRule>
  </conditionalFormatting>
  <conditionalFormatting sqref="AD28">
    <cfRule type="cellIs" dxfId="135" priority="136" operator="equal">
      <formula>"szf"</formula>
    </cfRule>
  </conditionalFormatting>
  <conditionalFormatting sqref="AD28:AD47">
    <cfRule type="cellIs" dxfId="134" priority="134" operator="equal">
      <formula>"+"</formula>
    </cfRule>
    <cfRule type="cellIs" dxfId="133" priority="135" operator="equal">
      <formula>"szf"</formula>
    </cfRule>
  </conditionalFormatting>
  <conditionalFormatting sqref="B52">
    <cfRule type="cellIs" dxfId="132" priority="133" operator="equal">
      <formula>"szf"</formula>
    </cfRule>
  </conditionalFormatting>
  <conditionalFormatting sqref="B52:B71">
    <cfRule type="cellIs" dxfId="131" priority="131" operator="equal">
      <formula>"+"</formula>
    </cfRule>
    <cfRule type="cellIs" dxfId="130" priority="132" operator="equal">
      <formula>"szf"</formula>
    </cfRule>
  </conditionalFormatting>
  <conditionalFormatting sqref="H52">
    <cfRule type="cellIs" dxfId="129" priority="130" operator="equal">
      <formula>"szf"</formula>
    </cfRule>
  </conditionalFormatting>
  <conditionalFormatting sqref="H52:H71">
    <cfRule type="cellIs" dxfId="128" priority="128" operator="equal">
      <formula>"+"</formula>
    </cfRule>
    <cfRule type="cellIs" dxfId="127" priority="129" operator="equal">
      <formula>"szf"</formula>
    </cfRule>
  </conditionalFormatting>
  <conditionalFormatting sqref="I52">
    <cfRule type="cellIs" dxfId="126" priority="127" operator="equal">
      <formula>"szf"</formula>
    </cfRule>
  </conditionalFormatting>
  <conditionalFormatting sqref="I52:I71">
    <cfRule type="cellIs" dxfId="125" priority="125" operator="equal">
      <formula>"+"</formula>
    </cfRule>
    <cfRule type="cellIs" dxfId="124" priority="126" operator="equal">
      <formula>"szf"</formula>
    </cfRule>
  </conditionalFormatting>
  <conditionalFormatting sqref="O52">
    <cfRule type="cellIs" dxfId="123" priority="124" operator="equal">
      <formula>"szf"</formula>
    </cfRule>
  </conditionalFormatting>
  <conditionalFormatting sqref="O52:O71">
    <cfRule type="cellIs" dxfId="122" priority="122" operator="equal">
      <formula>"+"</formula>
    </cfRule>
    <cfRule type="cellIs" dxfId="121" priority="123" operator="equal">
      <formula>"szf"</formula>
    </cfRule>
  </conditionalFormatting>
  <conditionalFormatting sqref="P52">
    <cfRule type="cellIs" dxfId="120" priority="121" operator="equal">
      <formula>"szf"</formula>
    </cfRule>
  </conditionalFormatting>
  <conditionalFormatting sqref="P52:P71">
    <cfRule type="cellIs" dxfId="119" priority="119" operator="equal">
      <formula>"+"</formula>
    </cfRule>
    <cfRule type="cellIs" dxfId="118" priority="120" operator="equal">
      <formula>"szf"</formula>
    </cfRule>
  </conditionalFormatting>
  <conditionalFormatting sqref="V52">
    <cfRule type="cellIs" dxfId="117" priority="118" operator="equal">
      <formula>"szf"</formula>
    </cfRule>
  </conditionalFormatting>
  <conditionalFormatting sqref="V52:V71">
    <cfRule type="cellIs" dxfId="116" priority="116" operator="equal">
      <formula>"+"</formula>
    </cfRule>
    <cfRule type="cellIs" dxfId="115" priority="117" operator="equal">
      <formula>"szf"</formula>
    </cfRule>
  </conditionalFormatting>
  <conditionalFormatting sqref="W52">
    <cfRule type="cellIs" dxfId="114" priority="115" operator="equal">
      <formula>"szf"</formula>
    </cfRule>
  </conditionalFormatting>
  <conditionalFormatting sqref="W52:W71">
    <cfRule type="cellIs" dxfId="113" priority="113" operator="equal">
      <formula>"+"</formula>
    </cfRule>
    <cfRule type="cellIs" dxfId="112" priority="114" operator="equal">
      <formula>"szf"</formula>
    </cfRule>
  </conditionalFormatting>
  <conditionalFormatting sqref="AC52">
    <cfRule type="cellIs" dxfId="111" priority="112" operator="equal">
      <formula>"szf"</formula>
    </cfRule>
  </conditionalFormatting>
  <conditionalFormatting sqref="AC52:AC71">
    <cfRule type="cellIs" dxfId="110" priority="110" operator="equal">
      <formula>"+"</formula>
    </cfRule>
    <cfRule type="cellIs" dxfId="109" priority="111" operator="equal">
      <formula>"szf"</formula>
    </cfRule>
  </conditionalFormatting>
  <conditionalFormatting sqref="AD52">
    <cfRule type="cellIs" dxfId="108" priority="109" operator="equal">
      <formula>"szf"</formula>
    </cfRule>
  </conditionalFormatting>
  <conditionalFormatting sqref="AD52:AD71">
    <cfRule type="cellIs" dxfId="107" priority="107" operator="equal">
      <formula>"+"</formula>
    </cfRule>
    <cfRule type="cellIs" dxfId="106" priority="108" operator="equal">
      <formula>"szf"</formula>
    </cfRule>
  </conditionalFormatting>
  <conditionalFormatting sqref="O244:O263">
    <cfRule type="cellIs" dxfId="105" priority="105" operator="equal">
      <formula>"+"</formula>
    </cfRule>
    <cfRule type="cellIs" dxfId="104" priority="106" operator="equal">
      <formula>"szf"</formula>
    </cfRule>
  </conditionalFormatting>
  <conditionalFormatting sqref="O244">
    <cfRule type="cellIs" dxfId="103" priority="104" operator="equal">
      <formula>"szf"</formula>
    </cfRule>
  </conditionalFormatting>
  <conditionalFormatting sqref="O244:O263">
    <cfRule type="cellIs" dxfId="102" priority="102" operator="equal">
      <formula>"+"</formula>
    </cfRule>
    <cfRule type="cellIs" dxfId="101" priority="103" operator="equal">
      <formula>"szf"</formula>
    </cfRule>
  </conditionalFormatting>
  <conditionalFormatting sqref="P244:P263">
    <cfRule type="cellIs" dxfId="100" priority="100" operator="equal">
      <formula>"+"</formula>
    </cfRule>
    <cfRule type="cellIs" dxfId="99" priority="101" operator="equal">
      <formula>"szf"</formula>
    </cfRule>
  </conditionalFormatting>
  <conditionalFormatting sqref="P244">
    <cfRule type="cellIs" dxfId="98" priority="99" operator="equal">
      <formula>"szf"</formula>
    </cfRule>
  </conditionalFormatting>
  <conditionalFormatting sqref="P244:P263">
    <cfRule type="cellIs" dxfId="97" priority="97" operator="equal">
      <formula>"+"</formula>
    </cfRule>
    <cfRule type="cellIs" dxfId="96" priority="98" operator="equal">
      <formula>"szf"</formula>
    </cfRule>
  </conditionalFormatting>
  <conditionalFormatting sqref="V244:V263">
    <cfRule type="cellIs" dxfId="95" priority="95" operator="equal">
      <formula>"+"</formula>
    </cfRule>
    <cfRule type="cellIs" dxfId="94" priority="96" operator="equal">
      <formula>"szf"</formula>
    </cfRule>
  </conditionalFormatting>
  <conditionalFormatting sqref="V244">
    <cfRule type="cellIs" dxfId="93" priority="94" operator="equal">
      <formula>"szf"</formula>
    </cfRule>
  </conditionalFormatting>
  <conditionalFormatting sqref="V244:V263">
    <cfRule type="cellIs" dxfId="92" priority="92" operator="equal">
      <formula>"+"</formula>
    </cfRule>
    <cfRule type="cellIs" dxfId="91" priority="93" operator="equal">
      <formula>"szf"</formula>
    </cfRule>
  </conditionalFormatting>
  <conditionalFormatting sqref="W244:W263">
    <cfRule type="cellIs" dxfId="90" priority="90" operator="equal">
      <formula>"+"</formula>
    </cfRule>
    <cfRule type="cellIs" dxfId="89" priority="91" operator="equal">
      <formula>"szf"</formula>
    </cfRule>
  </conditionalFormatting>
  <conditionalFormatting sqref="W244">
    <cfRule type="cellIs" dxfId="88" priority="89" operator="equal">
      <formula>"szf"</formula>
    </cfRule>
  </conditionalFormatting>
  <conditionalFormatting sqref="W244:W263">
    <cfRule type="cellIs" dxfId="87" priority="87" operator="equal">
      <formula>"+"</formula>
    </cfRule>
    <cfRule type="cellIs" dxfId="86" priority="88" operator="equal">
      <formula>"szf"</formula>
    </cfRule>
  </conditionalFormatting>
  <conditionalFormatting sqref="AC244:AC263">
    <cfRule type="cellIs" dxfId="85" priority="85" operator="equal">
      <formula>"+"</formula>
    </cfRule>
    <cfRule type="cellIs" dxfId="84" priority="86" operator="equal">
      <formula>"szf"</formula>
    </cfRule>
  </conditionalFormatting>
  <conditionalFormatting sqref="AC244">
    <cfRule type="cellIs" dxfId="83" priority="84" operator="equal">
      <formula>"szf"</formula>
    </cfRule>
  </conditionalFormatting>
  <conditionalFormatting sqref="AC244:AC263">
    <cfRule type="cellIs" dxfId="82" priority="82" operator="equal">
      <formula>"+"</formula>
    </cfRule>
    <cfRule type="cellIs" dxfId="81" priority="83" operator="equal">
      <formula>"szf"</formula>
    </cfRule>
  </conditionalFormatting>
  <conditionalFormatting sqref="AD244:AD263">
    <cfRule type="cellIs" dxfId="80" priority="80" operator="equal">
      <formula>"+"</formula>
    </cfRule>
    <cfRule type="cellIs" dxfId="79" priority="81" operator="equal">
      <formula>"szf"</formula>
    </cfRule>
  </conditionalFormatting>
  <conditionalFormatting sqref="AD244">
    <cfRule type="cellIs" dxfId="78" priority="79" operator="equal">
      <formula>"szf"</formula>
    </cfRule>
  </conditionalFormatting>
  <conditionalFormatting sqref="AD244:AD263">
    <cfRule type="cellIs" dxfId="77" priority="77" operator="equal">
      <formula>"+"</formula>
    </cfRule>
    <cfRule type="cellIs" dxfId="76" priority="78" operator="equal">
      <formula>"szf"</formula>
    </cfRule>
  </conditionalFormatting>
  <conditionalFormatting sqref="F268:F287">
    <cfRule type="cellIs" dxfId="75" priority="75" operator="equal">
      <formula>"+"</formula>
    </cfRule>
    <cfRule type="cellIs" dxfId="74" priority="76" operator="equal">
      <formula>"szf"</formula>
    </cfRule>
  </conditionalFormatting>
  <conditionalFormatting sqref="F268">
    <cfRule type="cellIs" dxfId="73" priority="74" operator="equal">
      <formula>"szf"</formula>
    </cfRule>
  </conditionalFormatting>
  <conditionalFormatting sqref="F268:F287">
    <cfRule type="cellIs" dxfId="72" priority="72" operator="equal">
      <formula>"+"</formula>
    </cfRule>
    <cfRule type="cellIs" dxfId="71" priority="73" operator="equal">
      <formula>"szf"</formula>
    </cfRule>
  </conditionalFormatting>
  <conditionalFormatting sqref="G268:G287">
    <cfRule type="cellIs" dxfId="70" priority="70" operator="equal">
      <formula>"+"</formula>
    </cfRule>
    <cfRule type="cellIs" dxfId="69" priority="71" operator="equal">
      <formula>"szf"</formula>
    </cfRule>
  </conditionalFormatting>
  <conditionalFormatting sqref="G268">
    <cfRule type="cellIs" dxfId="68" priority="69" operator="equal">
      <formula>"szf"</formula>
    </cfRule>
  </conditionalFormatting>
  <conditionalFormatting sqref="G268:G287">
    <cfRule type="cellIs" dxfId="67" priority="67" operator="equal">
      <formula>"+"</formula>
    </cfRule>
    <cfRule type="cellIs" dxfId="66" priority="68" operator="equal">
      <formula>"szf"</formula>
    </cfRule>
  </conditionalFormatting>
  <conditionalFormatting sqref="N268:N287">
    <cfRule type="cellIs" dxfId="65" priority="65" operator="equal">
      <formula>"+"</formula>
    </cfRule>
    <cfRule type="cellIs" dxfId="64" priority="66" operator="equal">
      <formula>"szf"</formula>
    </cfRule>
  </conditionalFormatting>
  <conditionalFormatting sqref="N268">
    <cfRule type="cellIs" dxfId="63" priority="64" operator="equal">
      <formula>"szf"</formula>
    </cfRule>
  </conditionalFormatting>
  <conditionalFormatting sqref="N268:N287">
    <cfRule type="cellIs" dxfId="62" priority="62" operator="equal">
      <formula>"+"</formula>
    </cfRule>
    <cfRule type="cellIs" dxfId="61" priority="63" operator="equal">
      <formula>"szf"</formula>
    </cfRule>
  </conditionalFormatting>
  <conditionalFormatting sqref="M268:M287">
    <cfRule type="cellIs" dxfId="60" priority="60" operator="equal">
      <formula>"+"</formula>
    </cfRule>
    <cfRule type="cellIs" dxfId="59" priority="61" operator="equal">
      <formula>"szf"</formula>
    </cfRule>
  </conditionalFormatting>
  <conditionalFormatting sqref="M268">
    <cfRule type="cellIs" dxfId="58" priority="59" operator="equal">
      <formula>"szf"</formula>
    </cfRule>
  </conditionalFormatting>
  <conditionalFormatting sqref="M268:M287">
    <cfRule type="cellIs" dxfId="57" priority="57" operator="equal">
      <formula>"+"</formula>
    </cfRule>
    <cfRule type="cellIs" dxfId="56" priority="58" operator="equal">
      <formula>"szf"</formula>
    </cfRule>
  </conditionalFormatting>
  <conditionalFormatting sqref="T268:T287">
    <cfRule type="cellIs" dxfId="55" priority="55" operator="equal">
      <formula>"+"</formula>
    </cfRule>
    <cfRule type="cellIs" dxfId="54" priority="56" operator="equal">
      <formula>"szf"</formula>
    </cfRule>
  </conditionalFormatting>
  <conditionalFormatting sqref="T268">
    <cfRule type="cellIs" dxfId="53" priority="54" operator="equal">
      <formula>"szf"</formula>
    </cfRule>
  </conditionalFormatting>
  <conditionalFormatting sqref="T268:T287">
    <cfRule type="cellIs" dxfId="52" priority="52" operator="equal">
      <formula>"+"</formula>
    </cfRule>
    <cfRule type="cellIs" dxfId="51" priority="53" operator="equal">
      <formula>"szf"</formula>
    </cfRule>
  </conditionalFormatting>
  <conditionalFormatting sqref="U268:U287">
    <cfRule type="cellIs" dxfId="50" priority="50" operator="equal">
      <formula>"+"</formula>
    </cfRule>
    <cfRule type="cellIs" dxfId="49" priority="51" operator="equal">
      <formula>"szf"</formula>
    </cfRule>
  </conditionalFormatting>
  <conditionalFormatting sqref="U268">
    <cfRule type="cellIs" dxfId="48" priority="49" operator="equal">
      <formula>"szf"</formula>
    </cfRule>
  </conditionalFormatting>
  <conditionalFormatting sqref="U268:U287">
    <cfRule type="cellIs" dxfId="47" priority="47" operator="equal">
      <formula>"+"</formula>
    </cfRule>
    <cfRule type="cellIs" dxfId="46" priority="48" operator="equal">
      <formula>"szf"</formula>
    </cfRule>
  </conditionalFormatting>
  <conditionalFormatting sqref="AA268:AA287">
    <cfRule type="cellIs" dxfId="45" priority="45" operator="equal">
      <formula>"+"</formula>
    </cfRule>
    <cfRule type="cellIs" dxfId="44" priority="46" operator="equal">
      <formula>"szf"</formula>
    </cfRule>
  </conditionalFormatting>
  <conditionalFormatting sqref="AA268">
    <cfRule type="cellIs" dxfId="43" priority="44" operator="equal">
      <formula>"szf"</formula>
    </cfRule>
  </conditionalFormatting>
  <conditionalFormatting sqref="AA268:AA287">
    <cfRule type="cellIs" dxfId="42" priority="42" operator="equal">
      <formula>"+"</formula>
    </cfRule>
    <cfRule type="cellIs" dxfId="41" priority="43" operator="equal">
      <formula>"szf"</formula>
    </cfRule>
  </conditionalFormatting>
  <conditionalFormatting sqref="AB268:AB287">
    <cfRule type="cellIs" dxfId="40" priority="40" operator="equal">
      <formula>"szf"</formula>
    </cfRule>
    <cfRule type="cellIs" dxfId="39" priority="41" operator="equal">
      <formula>"+"</formula>
    </cfRule>
  </conditionalFormatting>
  <conditionalFormatting sqref="AB268:AB287">
    <cfRule type="cellIs" dxfId="38" priority="38" operator="equal">
      <formula>"+"</formula>
    </cfRule>
    <cfRule type="cellIs" dxfId="37" priority="39" operator="equal">
      <formula>"szf"</formula>
    </cfRule>
  </conditionalFormatting>
  <conditionalFormatting sqref="AB268">
    <cfRule type="cellIs" dxfId="36" priority="37" operator="equal">
      <formula>"szf"</formula>
    </cfRule>
  </conditionalFormatting>
  <conditionalFormatting sqref="AB268:AB287">
    <cfRule type="cellIs" dxfId="35" priority="35" operator="equal">
      <formula>"+"</formula>
    </cfRule>
    <cfRule type="cellIs" dxfId="34" priority="36" operator="equal">
      <formula>"szf"</formula>
    </cfRule>
  </conditionalFormatting>
  <conditionalFormatting sqref="N76:N95">
    <cfRule type="cellIs" dxfId="33" priority="33" operator="equal">
      <formula>"szf"</formula>
    </cfRule>
    <cfRule type="cellIs" dxfId="32" priority="34" operator="equal">
      <formula>"+"</formula>
    </cfRule>
  </conditionalFormatting>
  <conditionalFormatting sqref="B124:B142">
    <cfRule type="cellIs" dxfId="31" priority="31" operator="equal">
      <formula>"szf"</formula>
    </cfRule>
    <cfRule type="cellIs" dxfId="30" priority="32" operator="equal">
      <formula>"+"</formula>
    </cfRule>
  </conditionalFormatting>
  <conditionalFormatting sqref="V172:V191">
    <cfRule type="cellIs" dxfId="29" priority="29" operator="equal">
      <formula>"+"</formula>
    </cfRule>
    <cfRule type="cellIs" dxfId="28" priority="30" operator="equal">
      <formula>"szf"</formula>
    </cfRule>
  </conditionalFormatting>
  <conditionalFormatting sqref="V172">
    <cfRule type="cellIs" dxfId="27" priority="28" operator="equal">
      <formula>"szf"</formula>
    </cfRule>
  </conditionalFormatting>
  <conditionalFormatting sqref="V172:V191">
    <cfRule type="cellIs" dxfId="26" priority="26" operator="equal">
      <formula>"+"</formula>
    </cfRule>
    <cfRule type="cellIs" dxfId="25" priority="27" operator="equal">
      <formula>"szf"</formula>
    </cfRule>
  </conditionalFormatting>
  <conditionalFormatting sqref="Y268:Y287">
    <cfRule type="cellIs" dxfId="24" priority="24" operator="equal">
      <formula>"szf"</formula>
    </cfRule>
    <cfRule type="cellIs" dxfId="23" priority="25" operator="equal">
      <formula>"+"</formula>
    </cfRule>
  </conditionalFormatting>
  <conditionalFormatting sqref="Y268:Y287">
    <cfRule type="cellIs" dxfId="22" priority="22" operator="equal">
      <formula>"+"</formula>
    </cfRule>
    <cfRule type="cellIs" dxfId="21" priority="23" operator="equal">
      <formula>"szf"</formula>
    </cfRule>
  </conditionalFormatting>
  <conditionalFormatting sqref="Y268">
    <cfRule type="cellIs" dxfId="20" priority="21" operator="equal">
      <formula>"szf"</formula>
    </cfRule>
  </conditionalFormatting>
  <conditionalFormatting sqref="Y268:Y287">
    <cfRule type="cellIs" dxfId="19" priority="19" operator="equal">
      <formula>"+"</formula>
    </cfRule>
    <cfRule type="cellIs" dxfId="18" priority="20" operator="equal">
      <formula>"szf"</formula>
    </cfRule>
  </conditionalFormatting>
  <conditionalFormatting sqref="C7">
    <cfRule type="cellIs" dxfId="17" priority="17" operator="equal">
      <formula>"+"</formula>
    </cfRule>
    <cfRule type="cellIs" dxfId="16" priority="18" operator="equal">
      <formula>"szf"</formula>
    </cfRule>
  </conditionalFormatting>
  <conditionalFormatting sqref="AD7">
    <cfRule type="cellIs" dxfId="15" priority="15" operator="equal">
      <formula>"+"</formula>
    </cfRule>
    <cfRule type="cellIs" dxfId="14" priority="16" operator="equal">
      <formula>"szf"</formula>
    </cfRule>
  </conditionalFormatting>
  <conditionalFormatting sqref="AC32">
    <cfRule type="cellIs" dxfId="13" priority="13" operator="equal">
      <formula>"+"</formula>
    </cfRule>
    <cfRule type="cellIs" dxfId="12" priority="14" operator="equal">
      <formula>"szf"</formula>
    </cfRule>
  </conditionalFormatting>
  <conditionalFormatting sqref="Y55">
    <cfRule type="cellIs" dxfId="11" priority="11" operator="equal">
      <formula>"szf"</formula>
    </cfRule>
    <cfRule type="cellIs" dxfId="10" priority="12" operator="equal">
      <formula>"+"</formula>
    </cfRule>
  </conditionalFormatting>
  <conditionalFormatting sqref="AF55">
    <cfRule type="cellIs" dxfId="9" priority="9" operator="equal">
      <formula>"szf"</formula>
    </cfRule>
    <cfRule type="cellIs" dxfId="8" priority="10" operator="equal">
      <formula>"+"</formula>
    </cfRule>
  </conditionalFormatting>
  <conditionalFormatting sqref="AB79">
    <cfRule type="cellIs" dxfId="7" priority="7" operator="equal">
      <formula>"+"</formula>
    </cfRule>
    <cfRule type="cellIs" dxfId="6" priority="8" operator="equal">
      <formula>"szf"</formula>
    </cfRule>
  </conditionalFormatting>
  <conditionalFormatting sqref="AE79">
    <cfRule type="cellIs" dxfId="5" priority="5" operator="equal">
      <formula>"+"</formula>
    </cfRule>
    <cfRule type="cellIs" dxfId="4" priority="6" operator="equal">
      <formula>"szf"</formula>
    </cfRule>
  </conditionalFormatting>
  <conditionalFormatting sqref="AC76">
    <cfRule type="cellIs" dxfId="3" priority="3" operator="equal">
      <formula>"szf"</formula>
    </cfRule>
    <cfRule type="cellIs" dxfId="2" priority="4" operator="equal">
      <formula>"+"</formula>
    </cfRule>
  </conditionalFormatting>
  <conditionalFormatting sqref="AC76">
    <cfRule type="cellIs" dxfId="1" priority="1" operator="equal">
      <formula>"+"</formula>
    </cfRule>
    <cfRule type="cellIs" dxfId="0" priority="2" operator="equal">
      <formula>"szf"</formula>
    </cfRule>
  </conditionalFormatting>
  <printOptions horizontalCentered="1" verticalCentered="1"/>
  <pageMargins left="0.39370078740157483" right="0.39370078740157483" top="0.24" bottom="0.3" header="0.17" footer="0.3"/>
  <pageSetup paperSize="9" orientation="landscape" horizontalDpi="4294967292" r:id="rId1"/>
  <headerFooter alignWithMargins="0">
    <oddFooter>&amp;RCim: C:\besse\szab_szn\szabi.xls</oddFooter>
  </headerFooter>
  <rowBreaks count="11" manualBreakCount="11">
    <brk id="23" max="16383" man="1"/>
    <brk id="47" max="16383" man="1"/>
    <brk id="71" max="16383" man="1"/>
    <brk id="95" max="16383" man="1"/>
    <brk id="119" max="16383" man="1"/>
    <brk id="143" max="16383" man="1"/>
    <brk id="167" max="16383" man="1"/>
    <brk id="191" max="16383" man="1"/>
    <brk id="215" max="16383" man="1"/>
    <brk id="239" max="16383" man="1"/>
    <brk id="26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Ünnep</vt:lpstr>
      <vt:lpstr>2020</vt:lpstr>
      <vt:lpstr>ÖSSZES</vt:lpstr>
      <vt:lpstr>A</vt:lpstr>
      <vt:lpstr>B</vt:lpstr>
      <vt:lpstr>C</vt:lpstr>
      <vt:lpstr>D</vt:lpstr>
      <vt:lpstr>N</vt:lpstr>
    </vt:vector>
  </TitlesOfParts>
  <Company>BIOGAL RT.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7385</dc:creator>
  <cp:lastModifiedBy>Lajos Csuka</cp:lastModifiedBy>
  <cp:lastPrinted>2020-02-03T09:47:17Z</cp:lastPrinted>
  <dcterms:created xsi:type="dcterms:W3CDTF">2008-11-26T06:21:45Z</dcterms:created>
  <dcterms:modified xsi:type="dcterms:W3CDTF">2020-05-01T20:34:42Z</dcterms:modified>
</cp:coreProperties>
</file>